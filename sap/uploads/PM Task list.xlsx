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488" i="1" l="1"/>
  <c r="E3488" i="1"/>
  <c r="M3487" i="1"/>
  <c r="E3487" i="1"/>
  <c r="M3486" i="1"/>
  <c r="E3486" i="1"/>
  <c r="M3485" i="1"/>
  <c r="E3485" i="1"/>
  <c r="M3484" i="1"/>
  <c r="E3484" i="1"/>
  <c r="M3483" i="1"/>
  <c r="E3483" i="1"/>
  <c r="M3482" i="1"/>
  <c r="E3482" i="1"/>
  <c r="M3481" i="1"/>
  <c r="E3481" i="1"/>
  <c r="M3480" i="1"/>
  <c r="E3480" i="1"/>
  <c r="M3479" i="1"/>
  <c r="E3479" i="1"/>
  <c r="M3478" i="1"/>
  <c r="E3478" i="1"/>
  <c r="M3477" i="1"/>
  <c r="E3477" i="1"/>
  <c r="M3476" i="1"/>
  <c r="E3476" i="1"/>
  <c r="M3475" i="1"/>
  <c r="E3475" i="1"/>
  <c r="M3474" i="1"/>
  <c r="E3474" i="1"/>
  <c r="M3473" i="1"/>
  <c r="E3473" i="1"/>
  <c r="M3472" i="1"/>
  <c r="E3472" i="1"/>
  <c r="M3471" i="1"/>
  <c r="E3471" i="1"/>
  <c r="M3470" i="1"/>
  <c r="E3470" i="1"/>
  <c r="M3469" i="1"/>
  <c r="E3469" i="1"/>
  <c r="M3468" i="1"/>
  <c r="E3468" i="1"/>
  <c r="M3467" i="1"/>
  <c r="E3467" i="1"/>
  <c r="M3466" i="1"/>
  <c r="E3466" i="1"/>
  <c r="M3465" i="1"/>
  <c r="E3465" i="1"/>
  <c r="M3464" i="1"/>
  <c r="E3464" i="1"/>
  <c r="M3463" i="1"/>
  <c r="E3463" i="1"/>
  <c r="M3462" i="1"/>
  <c r="E3462" i="1"/>
  <c r="M3461" i="1"/>
  <c r="E3461" i="1"/>
  <c r="M3460" i="1"/>
  <c r="E3460" i="1"/>
  <c r="M3459" i="1"/>
  <c r="E3459" i="1"/>
  <c r="M3458" i="1"/>
  <c r="E3458" i="1"/>
  <c r="M3457" i="1"/>
  <c r="E3457" i="1"/>
  <c r="M3456" i="1"/>
  <c r="E3456" i="1"/>
  <c r="M3455" i="1"/>
  <c r="E3455" i="1"/>
  <c r="E3454" i="1"/>
  <c r="E3453" i="1"/>
  <c r="E3452" i="1"/>
  <c r="E3451" i="1"/>
  <c r="E3450" i="1"/>
  <c r="E3449" i="1"/>
  <c r="M3448" i="1"/>
  <c r="E3448" i="1"/>
  <c r="E3447" i="1"/>
  <c r="M3446" i="1"/>
  <c r="E3446" i="1"/>
  <c r="M3445" i="1"/>
  <c r="E3445" i="1"/>
  <c r="M3444" i="1"/>
  <c r="E3444" i="1"/>
  <c r="E3443" i="1"/>
  <c r="M3442" i="1"/>
  <c r="E3442" i="1"/>
  <c r="E3441" i="1"/>
  <c r="M3440" i="1"/>
  <c r="E3440" i="1"/>
  <c r="M3439" i="1"/>
  <c r="E3439" i="1"/>
  <c r="E3438" i="1"/>
  <c r="E3437" i="1"/>
  <c r="E3436" i="1"/>
  <c r="M3435" i="1"/>
  <c r="E3435" i="1"/>
  <c r="E3434" i="1"/>
  <c r="E3433" i="1"/>
  <c r="E3432" i="1"/>
  <c r="E3431" i="1"/>
  <c r="E3430" i="1"/>
  <c r="E3429" i="1"/>
  <c r="E3428" i="1"/>
  <c r="M3427" i="1"/>
  <c r="E3427" i="1"/>
  <c r="M3426" i="1"/>
  <c r="E3426" i="1"/>
  <c r="E3425" i="1"/>
  <c r="M3424" i="1"/>
  <c r="E3424" i="1"/>
  <c r="E3423" i="1"/>
  <c r="E3422" i="1"/>
  <c r="E3421" i="1"/>
  <c r="E3420" i="1"/>
  <c r="E3419" i="1"/>
  <c r="E3418" i="1"/>
  <c r="E3417" i="1"/>
  <c r="E3416" i="1"/>
  <c r="E3415" i="1"/>
  <c r="E3414" i="1"/>
  <c r="M3413" i="1"/>
  <c r="E3413" i="1"/>
  <c r="E3410" i="1"/>
  <c r="M3409" i="1"/>
  <c r="E3409" i="1"/>
  <c r="E3408" i="1"/>
  <c r="E3407" i="1"/>
  <c r="E3406" i="1"/>
  <c r="E3405" i="1"/>
  <c r="M3404" i="1"/>
  <c r="E3404" i="1"/>
  <c r="E3403" i="1"/>
  <c r="M3402" i="1"/>
  <c r="E3402" i="1"/>
  <c r="E3401" i="1"/>
  <c r="M3400" i="1"/>
  <c r="E3400" i="1"/>
  <c r="E3399" i="1"/>
  <c r="E3398" i="1"/>
  <c r="E3397" i="1"/>
  <c r="E3396" i="1"/>
  <c r="E3395" i="1"/>
  <c r="E3394" i="1"/>
  <c r="E3393" i="1"/>
  <c r="M3392" i="1"/>
  <c r="E3392" i="1"/>
  <c r="E3391" i="1"/>
  <c r="E3390" i="1"/>
  <c r="E3389" i="1"/>
  <c r="E3388" i="1"/>
  <c r="E3387" i="1"/>
  <c r="E3386" i="1"/>
  <c r="E3385" i="1"/>
  <c r="E3384" i="1"/>
  <c r="E3383" i="1"/>
  <c r="M3382" i="1"/>
  <c r="E3382" i="1"/>
  <c r="E3381" i="1"/>
  <c r="E3380" i="1"/>
  <c r="E3379" i="1"/>
  <c r="E3378" i="1"/>
  <c r="E3377" i="1"/>
  <c r="E3376" i="1"/>
  <c r="E3375" i="1"/>
  <c r="E3374" i="1"/>
  <c r="E3373" i="1"/>
  <c r="M3372" i="1"/>
  <c r="E3372" i="1"/>
  <c r="M3371" i="1"/>
  <c r="E3371" i="1"/>
  <c r="M3370" i="1"/>
  <c r="E3370" i="1"/>
  <c r="M3369" i="1"/>
  <c r="E3369" i="1"/>
  <c r="M3368" i="1"/>
  <c r="E3368" i="1"/>
  <c r="E3367" i="1"/>
  <c r="E3366" i="1"/>
  <c r="E3365" i="1"/>
  <c r="M3364" i="1"/>
  <c r="E3364" i="1"/>
  <c r="M3363" i="1"/>
  <c r="E3363" i="1"/>
  <c r="M3362" i="1"/>
  <c r="E3362" i="1"/>
  <c r="M3361" i="1"/>
  <c r="E3361" i="1"/>
  <c r="M3360" i="1"/>
  <c r="E3360" i="1"/>
  <c r="M3359" i="1"/>
  <c r="E3359" i="1"/>
  <c r="M3357" i="1"/>
  <c r="M3356" i="1"/>
  <c r="E3356" i="1"/>
  <c r="M3355" i="1"/>
  <c r="E3355" i="1"/>
  <c r="M3354" i="1"/>
  <c r="E3354" i="1"/>
  <c r="E3353" i="1"/>
  <c r="E3352" i="1"/>
  <c r="E3351" i="1"/>
  <c r="E3350" i="1"/>
  <c r="M3349" i="1"/>
  <c r="E3349" i="1"/>
  <c r="M3348" i="1"/>
  <c r="E3348" i="1"/>
  <c r="M3347" i="1"/>
  <c r="E3347" i="1"/>
  <c r="M3346" i="1"/>
  <c r="E3346" i="1"/>
  <c r="E3345" i="1"/>
  <c r="E3344" i="1"/>
  <c r="M3343" i="1"/>
  <c r="E3343" i="1"/>
  <c r="M3342" i="1"/>
  <c r="E3342" i="1"/>
  <c r="E3341" i="1"/>
  <c r="M3340" i="1"/>
  <c r="E3340" i="1"/>
  <c r="M3339" i="1"/>
  <c r="E3339" i="1"/>
  <c r="M3338" i="1"/>
  <c r="E3338" i="1"/>
  <c r="E3337" i="1"/>
  <c r="E3336" i="1"/>
  <c r="E3335" i="1"/>
  <c r="E3334" i="1"/>
  <c r="E3333" i="1"/>
  <c r="E3332" i="1"/>
  <c r="E3331" i="1"/>
  <c r="E3330" i="1"/>
  <c r="E3329" i="1"/>
  <c r="E3328" i="1"/>
  <c r="M3327" i="1"/>
  <c r="E3327" i="1"/>
  <c r="E3326" i="1"/>
  <c r="E3325" i="1"/>
  <c r="E3324" i="1"/>
  <c r="E3323" i="1"/>
  <c r="E3322" i="1"/>
  <c r="E3321" i="1"/>
  <c r="M3320" i="1"/>
  <c r="E3320" i="1"/>
  <c r="E3319" i="1"/>
  <c r="M3318" i="1"/>
  <c r="E3318" i="1"/>
  <c r="E3317" i="1"/>
  <c r="E3316" i="1"/>
  <c r="M3315" i="1"/>
  <c r="E3315" i="1"/>
  <c r="M3314" i="1"/>
  <c r="E3314" i="1"/>
  <c r="M3313" i="1"/>
  <c r="E3313" i="1"/>
  <c r="M3312" i="1"/>
  <c r="E3312" i="1"/>
  <c r="E3311" i="1"/>
  <c r="M3310" i="1"/>
  <c r="E3310" i="1"/>
  <c r="E3309" i="1"/>
  <c r="M3308" i="1"/>
  <c r="E3308" i="1"/>
  <c r="E3307" i="1"/>
  <c r="M3306" i="1"/>
  <c r="E3306" i="1"/>
  <c r="M3305" i="1"/>
  <c r="E3305" i="1"/>
  <c r="M3304" i="1"/>
  <c r="E3304" i="1"/>
  <c r="M3303" i="1"/>
  <c r="E3303" i="1"/>
  <c r="E3302" i="1"/>
  <c r="E3301" i="1"/>
  <c r="E3300" i="1"/>
  <c r="M3299" i="1"/>
  <c r="E3299" i="1"/>
  <c r="M3298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M3284" i="1"/>
  <c r="E3284" i="1"/>
  <c r="E3283" i="1"/>
  <c r="E3282" i="1"/>
  <c r="E3281" i="1"/>
  <c r="E3280" i="1"/>
  <c r="E3279" i="1"/>
  <c r="E3278" i="1"/>
  <c r="E3277" i="1"/>
  <c r="E3276" i="1"/>
  <c r="E3275" i="1"/>
  <c r="M3274" i="1"/>
  <c r="E3274" i="1"/>
  <c r="M3273" i="1"/>
  <c r="E3273" i="1"/>
  <c r="E3272" i="1"/>
  <c r="E3271" i="1"/>
  <c r="M3270" i="1"/>
  <c r="E3270" i="1"/>
  <c r="E3269" i="1"/>
  <c r="E3268" i="1"/>
  <c r="E3267" i="1"/>
  <c r="E3266" i="1"/>
  <c r="E3265" i="1"/>
  <c r="M3264" i="1"/>
  <c r="E3264" i="1"/>
  <c r="M3263" i="1"/>
  <c r="E3263" i="1"/>
  <c r="M3262" i="1"/>
  <c r="E3262" i="1"/>
  <c r="M3261" i="1"/>
  <c r="E3261" i="1"/>
  <c r="M3260" i="1"/>
  <c r="E3260" i="1"/>
  <c r="M3259" i="1"/>
  <c r="E3259" i="1"/>
  <c r="M3258" i="1"/>
  <c r="E3258" i="1"/>
  <c r="M3257" i="1"/>
  <c r="E3257" i="1"/>
  <c r="M3256" i="1"/>
  <c r="E3256" i="1"/>
  <c r="M3255" i="1"/>
  <c r="E3255" i="1"/>
  <c r="M3254" i="1"/>
  <c r="E3254" i="1"/>
  <c r="M3253" i="1"/>
  <c r="E3253" i="1"/>
  <c r="M3252" i="1"/>
  <c r="E3252" i="1"/>
  <c r="M3251" i="1"/>
  <c r="E3251" i="1"/>
  <c r="M3250" i="1"/>
  <c r="E3250" i="1"/>
  <c r="M3249" i="1"/>
  <c r="E3249" i="1"/>
  <c r="M3248" i="1"/>
  <c r="E3248" i="1"/>
  <c r="M3247" i="1"/>
  <c r="E3247" i="1"/>
  <c r="M3246" i="1"/>
  <c r="E3246" i="1"/>
  <c r="M3245" i="1"/>
  <c r="E3245" i="1"/>
  <c r="M3244" i="1"/>
  <c r="E3244" i="1"/>
  <c r="M3243" i="1"/>
  <c r="E3243" i="1"/>
  <c r="M3242" i="1"/>
  <c r="E3242" i="1"/>
  <c r="M3241" i="1"/>
  <c r="E3241" i="1"/>
  <c r="M3240" i="1"/>
  <c r="E3240" i="1"/>
  <c r="M3239" i="1"/>
  <c r="E3239" i="1"/>
  <c r="M3238" i="1"/>
  <c r="E3238" i="1"/>
  <c r="M3237" i="1"/>
  <c r="E3237" i="1"/>
  <c r="M3236" i="1"/>
  <c r="E3236" i="1"/>
  <c r="M3235" i="1"/>
  <c r="E3235" i="1"/>
  <c r="M3234" i="1"/>
  <c r="E3234" i="1"/>
  <c r="M3232" i="1"/>
  <c r="E3232" i="1"/>
  <c r="M3231" i="1"/>
  <c r="E3231" i="1"/>
  <c r="M3230" i="1"/>
  <c r="E3230" i="1"/>
  <c r="M3229" i="1"/>
  <c r="E3229" i="1"/>
  <c r="M3228" i="1"/>
  <c r="E3228" i="1"/>
  <c r="M3227" i="1"/>
  <c r="E3227" i="1"/>
  <c r="M3226" i="1"/>
  <c r="E3226" i="1"/>
  <c r="M3225" i="1"/>
  <c r="E3225" i="1"/>
  <c r="M3224" i="1"/>
  <c r="E3224" i="1"/>
  <c r="M3223" i="1"/>
  <c r="E3223" i="1"/>
  <c r="M3222" i="1"/>
  <c r="E3222" i="1"/>
  <c r="M3221" i="1"/>
  <c r="E3221" i="1"/>
  <c r="M3220" i="1"/>
  <c r="E3220" i="1"/>
  <c r="M3219" i="1"/>
  <c r="E3219" i="1"/>
  <c r="M3218" i="1"/>
  <c r="E3218" i="1"/>
  <c r="M3217" i="1"/>
  <c r="E3217" i="1"/>
  <c r="M3216" i="1"/>
  <c r="E3216" i="1"/>
  <c r="M3215" i="1"/>
  <c r="E3215" i="1"/>
  <c r="M3214" i="1"/>
  <c r="E3214" i="1"/>
  <c r="M3213" i="1"/>
  <c r="E3213" i="1"/>
  <c r="M3212" i="1"/>
  <c r="E3212" i="1"/>
  <c r="M3211" i="1"/>
  <c r="E3211" i="1"/>
  <c r="M3210" i="1"/>
  <c r="E3210" i="1"/>
  <c r="M3209" i="1"/>
  <c r="E3209" i="1"/>
  <c r="M3208" i="1"/>
  <c r="E3208" i="1"/>
  <c r="M3207" i="1"/>
  <c r="E3207" i="1"/>
  <c r="M3206" i="1"/>
  <c r="E3206" i="1"/>
  <c r="M3205" i="1"/>
  <c r="E3205" i="1"/>
  <c r="M3204" i="1"/>
  <c r="E3204" i="1"/>
  <c r="M3203" i="1"/>
  <c r="E3203" i="1"/>
  <c r="M3202" i="1"/>
  <c r="E3202" i="1"/>
  <c r="M3201" i="1"/>
  <c r="E3201" i="1"/>
  <c r="M3200" i="1"/>
  <c r="E3200" i="1"/>
  <c r="M3199" i="1"/>
  <c r="E3199" i="1"/>
  <c r="M3198" i="1"/>
  <c r="E3198" i="1"/>
  <c r="M3197" i="1"/>
  <c r="E3197" i="1"/>
  <c r="M3196" i="1"/>
  <c r="E3196" i="1"/>
  <c r="M3195" i="1"/>
  <c r="E3195" i="1"/>
  <c r="M3194" i="1"/>
  <c r="E3194" i="1"/>
  <c r="M3193" i="1"/>
  <c r="E3193" i="1"/>
  <c r="M3192" i="1"/>
  <c r="E3192" i="1"/>
  <c r="M3191" i="1"/>
  <c r="E3191" i="1"/>
  <c r="M3190" i="1"/>
  <c r="E3190" i="1"/>
  <c r="M3189" i="1"/>
  <c r="E3189" i="1"/>
  <c r="M3188" i="1"/>
  <c r="E3188" i="1"/>
  <c r="M3187" i="1"/>
  <c r="E3187" i="1"/>
  <c r="M3186" i="1"/>
  <c r="E3186" i="1"/>
  <c r="M3185" i="1"/>
  <c r="E3185" i="1"/>
  <c r="M3184" i="1"/>
  <c r="E3184" i="1"/>
  <c r="M3183" i="1"/>
  <c r="E3183" i="1"/>
  <c r="M3182" i="1"/>
  <c r="E3182" i="1"/>
  <c r="M3181" i="1"/>
  <c r="E3181" i="1"/>
  <c r="E3180" i="1"/>
  <c r="M3179" i="1"/>
  <c r="E3179" i="1"/>
  <c r="M3178" i="1"/>
  <c r="E3178" i="1"/>
  <c r="M3177" i="1"/>
  <c r="E3177" i="1"/>
  <c r="M3176" i="1"/>
  <c r="E3176" i="1"/>
  <c r="M3175" i="1"/>
  <c r="E3175" i="1"/>
  <c r="M3174" i="1"/>
  <c r="E3174" i="1"/>
  <c r="M3173" i="1"/>
  <c r="E3173" i="1"/>
  <c r="M3172" i="1"/>
  <c r="E3172" i="1"/>
  <c r="M3171" i="1"/>
  <c r="E3171" i="1"/>
  <c r="M3170" i="1"/>
  <c r="E3170" i="1"/>
  <c r="M3169" i="1"/>
  <c r="E3169" i="1"/>
  <c r="M3168" i="1"/>
  <c r="E3168" i="1"/>
  <c r="M3167" i="1"/>
  <c r="E3167" i="1"/>
  <c r="M3166" i="1"/>
  <c r="E3166" i="1"/>
  <c r="M3165" i="1"/>
  <c r="E3165" i="1"/>
  <c r="M3164" i="1"/>
  <c r="E3164" i="1"/>
  <c r="M3163" i="1"/>
  <c r="E3163" i="1"/>
  <c r="M3162" i="1"/>
  <c r="E3162" i="1"/>
  <c r="M3161" i="1"/>
  <c r="E3161" i="1"/>
  <c r="M3160" i="1"/>
  <c r="E3160" i="1"/>
  <c r="M3159" i="1"/>
  <c r="E3159" i="1"/>
  <c r="M3158" i="1"/>
  <c r="E3158" i="1"/>
  <c r="M3157" i="1"/>
  <c r="E3157" i="1"/>
  <c r="M3156" i="1"/>
  <c r="E3156" i="1"/>
  <c r="M3155" i="1"/>
  <c r="E3155" i="1"/>
  <c r="M3154" i="1"/>
  <c r="E3154" i="1"/>
  <c r="M3153" i="1"/>
  <c r="E3153" i="1"/>
  <c r="M3152" i="1"/>
  <c r="E3152" i="1"/>
  <c r="M3151" i="1"/>
  <c r="E3151" i="1"/>
  <c r="M3150" i="1"/>
  <c r="E3150" i="1"/>
  <c r="M3149" i="1"/>
  <c r="E3149" i="1"/>
  <c r="M3148" i="1"/>
  <c r="E3148" i="1"/>
  <c r="M3147" i="1"/>
  <c r="E3147" i="1"/>
  <c r="M3146" i="1"/>
  <c r="E3146" i="1"/>
  <c r="M3145" i="1"/>
  <c r="E3145" i="1"/>
  <c r="M3144" i="1"/>
  <c r="E3144" i="1"/>
  <c r="M3143" i="1"/>
  <c r="E3143" i="1"/>
  <c r="M3142" i="1"/>
  <c r="E3142" i="1"/>
  <c r="M3141" i="1"/>
  <c r="E3141" i="1"/>
  <c r="M3140" i="1"/>
  <c r="E3140" i="1"/>
  <c r="M3139" i="1"/>
  <c r="E3139" i="1"/>
  <c r="M3138" i="1"/>
  <c r="E3138" i="1"/>
  <c r="M3137" i="1"/>
  <c r="E3137" i="1"/>
  <c r="M3136" i="1"/>
  <c r="E3136" i="1"/>
  <c r="M3135" i="1"/>
  <c r="E3135" i="1"/>
  <c r="M3134" i="1"/>
  <c r="E3134" i="1"/>
  <c r="M3133" i="1"/>
  <c r="E3133" i="1"/>
  <c r="M3132" i="1"/>
  <c r="E3132" i="1"/>
  <c r="M3131" i="1"/>
  <c r="E3131" i="1"/>
  <c r="M3130" i="1"/>
  <c r="E3130" i="1"/>
  <c r="M3129" i="1"/>
  <c r="E3129" i="1"/>
  <c r="M3128" i="1"/>
  <c r="E3128" i="1"/>
  <c r="M3127" i="1"/>
  <c r="E3127" i="1"/>
  <c r="M3126" i="1"/>
  <c r="E3126" i="1"/>
  <c r="M3125" i="1"/>
  <c r="E3125" i="1"/>
  <c r="M3124" i="1"/>
  <c r="E3124" i="1"/>
  <c r="M3123" i="1"/>
  <c r="E3123" i="1"/>
  <c r="M3122" i="1"/>
  <c r="E3122" i="1"/>
  <c r="M3121" i="1"/>
  <c r="E3121" i="1"/>
  <c r="M3120" i="1"/>
  <c r="E3120" i="1"/>
  <c r="M3119" i="1"/>
  <c r="E3119" i="1"/>
  <c r="M3118" i="1"/>
  <c r="E3118" i="1"/>
  <c r="M3117" i="1"/>
  <c r="E3117" i="1"/>
  <c r="M3116" i="1"/>
  <c r="E3116" i="1"/>
  <c r="M3115" i="1"/>
  <c r="E3115" i="1"/>
  <c r="M3114" i="1"/>
  <c r="E3114" i="1"/>
  <c r="M3113" i="1"/>
  <c r="E3113" i="1"/>
  <c r="M3112" i="1"/>
  <c r="E3112" i="1"/>
  <c r="M3111" i="1"/>
  <c r="E3111" i="1"/>
  <c r="M3110" i="1"/>
  <c r="E3110" i="1"/>
  <c r="M3109" i="1"/>
  <c r="E3109" i="1"/>
  <c r="M3108" i="1"/>
  <c r="E3108" i="1"/>
  <c r="M3107" i="1"/>
  <c r="E3107" i="1"/>
  <c r="M3106" i="1"/>
  <c r="E3106" i="1"/>
  <c r="M3105" i="1"/>
  <c r="E3105" i="1"/>
  <c r="M3104" i="1"/>
  <c r="E3104" i="1"/>
  <c r="M3103" i="1"/>
  <c r="E3103" i="1"/>
  <c r="M3102" i="1"/>
  <c r="E3102" i="1"/>
  <c r="M3101" i="1"/>
  <c r="E3101" i="1"/>
  <c r="M3100" i="1"/>
  <c r="E3100" i="1"/>
  <c r="M3099" i="1"/>
  <c r="E3099" i="1"/>
  <c r="M3098" i="1"/>
  <c r="E3098" i="1"/>
  <c r="M3097" i="1"/>
  <c r="E3097" i="1"/>
  <c r="M3096" i="1"/>
  <c r="E3096" i="1"/>
  <c r="M3095" i="1"/>
  <c r="E3095" i="1"/>
  <c r="M3094" i="1"/>
  <c r="E3094" i="1"/>
  <c r="M3093" i="1"/>
  <c r="E3093" i="1"/>
  <c r="M3092" i="1"/>
  <c r="E3092" i="1"/>
  <c r="M3091" i="1"/>
  <c r="E3091" i="1"/>
  <c r="M3090" i="1"/>
  <c r="E3090" i="1"/>
  <c r="M3089" i="1"/>
  <c r="E3089" i="1"/>
  <c r="M3088" i="1"/>
  <c r="E3088" i="1"/>
  <c r="M3087" i="1"/>
  <c r="E3087" i="1"/>
  <c r="M3086" i="1"/>
  <c r="E3086" i="1"/>
  <c r="M3085" i="1"/>
  <c r="E3085" i="1"/>
  <c r="M3084" i="1"/>
  <c r="E3084" i="1"/>
  <c r="M3083" i="1"/>
  <c r="E3083" i="1"/>
  <c r="M3082" i="1"/>
  <c r="E3082" i="1"/>
  <c r="M3081" i="1"/>
  <c r="E3081" i="1"/>
  <c r="M3080" i="1"/>
  <c r="E3080" i="1"/>
  <c r="M3079" i="1"/>
  <c r="E3079" i="1"/>
  <c r="M3078" i="1"/>
  <c r="E3078" i="1"/>
  <c r="M3077" i="1"/>
  <c r="E3077" i="1"/>
  <c r="M3076" i="1"/>
  <c r="E3076" i="1"/>
  <c r="M3075" i="1"/>
  <c r="E3075" i="1"/>
  <c r="M3074" i="1"/>
  <c r="E3074" i="1"/>
  <c r="M3073" i="1"/>
  <c r="E3073" i="1"/>
  <c r="M3072" i="1"/>
  <c r="E3072" i="1"/>
  <c r="M3071" i="1"/>
  <c r="E3071" i="1"/>
  <c r="M3070" i="1"/>
  <c r="E3070" i="1"/>
  <c r="M3069" i="1"/>
  <c r="E3069" i="1"/>
  <c r="M3068" i="1"/>
  <c r="E3068" i="1"/>
  <c r="M3067" i="1"/>
  <c r="E3067" i="1"/>
  <c r="M3066" i="1"/>
  <c r="E3066" i="1"/>
  <c r="M3065" i="1"/>
  <c r="E3065" i="1"/>
  <c r="M3064" i="1"/>
  <c r="E3064" i="1"/>
  <c r="M3063" i="1"/>
  <c r="E3063" i="1"/>
  <c r="M3062" i="1"/>
  <c r="E3062" i="1"/>
  <c r="M3061" i="1"/>
  <c r="E3061" i="1"/>
  <c r="M3060" i="1"/>
  <c r="E3060" i="1"/>
  <c r="M3059" i="1"/>
  <c r="E3059" i="1"/>
  <c r="M3058" i="1"/>
  <c r="E3058" i="1"/>
  <c r="M3057" i="1"/>
  <c r="E3057" i="1"/>
  <c r="M3056" i="1"/>
  <c r="E3056" i="1"/>
  <c r="M3055" i="1"/>
  <c r="E3055" i="1"/>
  <c r="M3054" i="1"/>
  <c r="E3054" i="1"/>
  <c r="M3053" i="1"/>
  <c r="E3053" i="1"/>
  <c r="M3052" i="1"/>
  <c r="E3052" i="1"/>
  <c r="M3051" i="1"/>
  <c r="E3051" i="1"/>
  <c r="M3050" i="1"/>
  <c r="E3050" i="1"/>
  <c r="M3049" i="1"/>
  <c r="E3049" i="1"/>
  <c r="M3048" i="1"/>
  <c r="E3048" i="1"/>
  <c r="M3047" i="1"/>
  <c r="E3047" i="1"/>
  <c r="M3046" i="1"/>
  <c r="E3046" i="1"/>
  <c r="M3045" i="1"/>
  <c r="E3045" i="1"/>
  <c r="M3044" i="1"/>
  <c r="E3044" i="1"/>
  <c r="M3043" i="1"/>
  <c r="E3043" i="1"/>
  <c r="M3042" i="1"/>
  <c r="E3042" i="1"/>
  <c r="M3041" i="1"/>
  <c r="E3041" i="1"/>
  <c r="M3040" i="1"/>
  <c r="E3040" i="1"/>
  <c r="M3039" i="1"/>
  <c r="E3039" i="1"/>
  <c r="M3038" i="1"/>
  <c r="E3038" i="1"/>
  <c r="M3037" i="1"/>
  <c r="E3037" i="1"/>
  <c r="M3036" i="1"/>
  <c r="E3036" i="1"/>
  <c r="M3035" i="1"/>
  <c r="E3035" i="1"/>
  <c r="M3034" i="1"/>
  <c r="E3034" i="1"/>
  <c r="M3033" i="1"/>
  <c r="E3033" i="1"/>
  <c r="M3032" i="1"/>
  <c r="E3032" i="1"/>
  <c r="M3031" i="1"/>
  <c r="E3031" i="1"/>
  <c r="M3030" i="1"/>
  <c r="E3030" i="1"/>
  <c r="M3029" i="1"/>
  <c r="E3029" i="1"/>
  <c r="M3028" i="1"/>
  <c r="E3028" i="1"/>
  <c r="M3027" i="1"/>
  <c r="E3027" i="1"/>
  <c r="M3026" i="1"/>
  <c r="E3026" i="1"/>
  <c r="M3025" i="1"/>
  <c r="E3025" i="1"/>
  <c r="M3024" i="1"/>
  <c r="E3024" i="1"/>
  <c r="M3023" i="1"/>
  <c r="E3023" i="1"/>
  <c r="M3022" i="1"/>
  <c r="E3022" i="1"/>
  <c r="M3021" i="1"/>
  <c r="E3021" i="1"/>
  <c r="M3020" i="1"/>
  <c r="E3020" i="1"/>
  <c r="M3019" i="1"/>
  <c r="E3019" i="1"/>
  <c r="M3018" i="1"/>
  <c r="E3018" i="1"/>
  <c r="M3017" i="1"/>
  <c r="E3017" i="1"/>
  <c r="K3016" i="1"/>
  <c r="E3016" i="1"/>
  <c r="K3015" i="1"/>
  <c r="M3015" i="1" s="1"/>
  <c r="E3015" i="1"/>
  <c r="K3014" i="1"/>
  <c r="M3014" i="1" s="1"/>
  <c r="E3014" i="1"/>
  <c r="K3013" i="1"/>
  <c r="M3013" i="1" s="1"/>
  <c r="E3013" i="1"/>
  <c r="K3012" i="1"/>
  <c r="M3012" i="1" s="1"/>
  <c r="E3012" i="1"/>
  <c r="K3011" i="1"/>
  <c r="M3011" i="1" s="1"/>
  <c r="E3011" i="1"/>
  <c r="K3010" i="1"/>
  <c r="M3010" i="1" s="1"/>
  <c r="E3010" i="1"/>
  <c r="K3009" i="1"/>
  <c r="M3009" i="1" s="1"/>
  <c r="E3009" i="1"/>
  <c r="K3008" i="1"/>
  <c r="M3008" i="1" s="1"/>
  <c r="E3008" i="1"/>
  <c r="K3007" i="1"/>
  <c r="M3007" i="1" s="1"/>
  <c r="E3007" i="1"/>
  <c r="K3006" i="1"/>
  <c r="M3006" i="1" s="1"/>
  <c r="E3006" i="1"/>
  <c r="K3005" i="1"/>
  <c r="M3005" i="1" s="1"/>
  <c r="E3005" i="1"/>
  <c r="K3004" i="1"/>
  <c r="M3004" i="1" s="1"/>
  <c r="E3004" i="1"/>
  <c r="K3003" i="1"/>
  <c r="M3003" i="1" s="1"/>
  <c r="E3003" i="1"/>
  <c r="K3002" i="1"/>
  <c r="M3002" i="1" s="1"/>
  <c r="E3002" i="1"/>
  <c r="M3001" i="1"/>
  <c r="E3001" i="1"/>
  <c r="K3000" i="1"/>
  <c r="M3000" i="1" s="1"/>
  <c r="E3000" i="1"/>
  <c r="K2999" i="1"/>
  <c r="M2999" i="1" s="1"/>
  <c r="E2999" i="1"/>
  <c r="K2998" i="1"/>
  <c r="M2998" i="1" s="1"/>
  <c r="E2998" i="1"/>
  <c r="K2997" i="1"/>
  <c r="M2997" i="1" s="1"/>
  <c r="E2997" i="1"/>
  <c r="K2996" i="1"/>
  <c r="M2996" i="1" s="1"/>
  <c r="E2996" i="1"/>
  <c r="K2995" i="1"/>
  <c r="M2995" i="1" s="1"/>
  <c r="E2995" i="1"/>
  <c r="K2994" i="1"/>
  <c r="M2994" i="1" s="1"/>
  <c r="E2994" i="1"/>
  <c r="K2993" i="1"/>
  <c r="M2993" i="1" s="1"/>
  <c r="E2993" i="1"/>
  <c r="K2992" i="1"/>
  <c r="M2992" i="1" s="1"/>
  <c r="E2992" i="1"/>
  <c r="K2991" i="1"/>
  <c r="M2991" i="1" s="1"/>
  <c r="E2991" i="1"/>
  <c r="K2990" i="1"/>
  <c r="M2990" i="1" s="1"/>
  <c r="E2990" i="1"/>
  <c r="K2989" i="1"/>
  <c r="M2989" i="1" s="1"/>
  <c r="E2989" i="1"/>
  <c r="K2988" i="1"/>
  <c r="M2988" i="1" s="1"/>
  <c r="E2988" i="1"/>
  <c r="K2987" i="1"/>
  <c r="M2987" i="1" s="1"/>
  <c r="E2987" i="1"/>
  <c r="K2986" i="1"/>
  <c r="M2986" i="1" s="1"/>
  <c r="E2986" i="1"/>
  <c r="K2985" i="1"/>
  <c r="M2985" i="1" s="1"/>
  <c r="E2985" i="1"/>
  <c r="K2984" i="1"/>
  <c r="M2984" i="1" s="1"/>
  <c r="E2984" i="1"/>
  <c r="K2983" i="1"/>
  <c r="M2983" i="1" s="1"/>
  <c r="E2983" i="1"/>
  <c r="K2982" i="1"/>
  <c r="M2982" i="1" s="1"/>
  <c r="E2982" i="1"/>
  <c r="K2981" i="1"/>
  <c r="M2981" i="1" s="1"/>
  <c r="E2981" i="1"/>
  <c r="K2980" i="1"/>
  <c r="M2980" i="1" s="1"/>
  <c r="E2980" i="1"/>
  <c r="K2979" i="1"/>
  <c r="M2979" i="1" s="1"/>
  <c r="E2979" i="1"/>
  <c r="K2978" i="1"/>
  <c r="M2978" i="1" s="1"/>
  <c r="E2978" i="1"/>
  <c r="K2977" i="1"/>
  <c r="M2977" i="1" s="1"/>
  <c r="E2977" i="1"/>
  <c r="K2976" i="1"/>
  <c r="M2976" i="1" s="1"/>
  <c r="E2976" i="1"/>
  <c r="K2975" i="1"/>
  <c r="M2975" i="1" s="1"/>
  <c r="E2975" i="1"/>
  <c r="K2974" i="1"/>
  <c r="M2974" i="1" s="1"/>
  <c r="E2974" i="1"/>
  <c r="K2973" i="1"/>
  <c r="M2973" i="1" s="1"/>
  <c r="E2973" i="1"/>
  <c r="K2972" i="1"/>
  <c r="M2972" i="1" s="1"/>
  <c r="E2972" i="1"/>
  <c r="K2971" i="1"/>
  <c r="M2971" i="1" s="1"/>
  <c r="E2971" i="1"/>
  <c r="K2970" i="1"/>
  <c r="M2970" i="1" s="1"/>
  <c r="E2970" i="1"/>
  <c r="K2969" i="1"/>
  <c r="M2969" i="1" s="1"/>
  <c r="E2969" i="1"/>
  <c r="K2968" i="1"/>
  <c r="M2968" i="1" s="1"/>
  <c r="E2968" i="1"/>
  <c r="K2967" i="1"/>
  <c r="M2967" i="1" s="1"/>
  <c r="E2967" i="1"/>
  <c r="K2966" i="1"/>
  <c r="M2966" i="1" s="1"/>
  <c r="E2966" i="1"/>
  <c r="K2965" i="1"/>
  <c r="M2965" i="1" s="1"/>
  <c r="E2965" i="1"/>
  <c r="K2964" i="1"/>
  <c r="M2964" i="1" s="1"/>
  <c r="E2964" i="1"/>
  <c r="K2963" i="1"/>
  <c r="M2963" i="1" s="1"/>
  <c r="E2963" i="1"/>
  <c r="K2962" i="1"/>
  <c r="M2962" i="1" s="1"/>
  <c r="E2962" i="1"/>
  <c r="K2961" i="1"/>
  <c r="M2961" i="1" s="1"/>
  <c r="E2961" i="1"/>
  <c r="K2960" i="1"/>
  <c r="M2960" i="1" s="1"/>
  <c r="E2960" i="1"/>
  <c r="K2959" i="1"/>
  <c r="M2959" i="1" s="1"/>
  <c r="E2959" i="1"/>
  <c r="K2958" i="1"/>
  <c r="M2958" i="1" s="1"/>
  <c r="E2958" i="1"/>
  <c r="K2957" i="1"/>
  <c r="M2957" i="1" s="1"/>
  <c r="E2957" i="1"/>
  <c r="K2956" i="1"/>
  <c r="M2956" i="1" s="1"/>
  <c r="E2956" i="1"/>
  <c r="K2955" i="1"/>
  <c r="M2955" i="1" s="1"/>
  <c r="E2955" i="1"/>
  <c r="K2954" i="1"/>
  <c r="M2954" i="1" s="1"/>
  <c r="E2954" i="1"/>
  <c r="K2953" i="1"/>
  <c r="M2953" i="1" s="1"/>
  <c r="E2953" i="1"/>
  <c r="K2952" i="1"/>
  <c r="M2952" i="1" s="1"/>
  <c r="E2952" i="1"/>
  <c r="K2951" i="1"/>
  <c r="M2951" i="1" s="1"/>
  <c r="E2951" i="1"/>
  <c r="K2950" i="1"/>
  <c r="M2950" i="1" s="1"/>
  <c r="E2950" i="1"/>
  <c r="K2949" i="1"/>
  <c r="M2949" i="1" s="1"/>
  <c r="E2949" i="1"/>
  <c r="K2948" i="1"/>
  <c r="M2948" i="1" s="1"/>
  <c r="E2948" i="1"/>
  <c r="K2947" i="1"/>
  <c r="M2947" i="1" s="1"/>
  <c r="E2947" i="1"/>
  <c r="K2946" i="1"/>
  <c r="M2946" i="1" s="1"/>
  <c r="E2946" i="1"/>
  <c r="K2945" i="1"/>
  <c r="M2945" i="1" s="1"/>
  <c r="E2945" i="1"/>
  <c r="K2944" i="1"/>
  <c r="M2944" i="1" s="1"/>
  <c r="E2944" i="1"/>
  <c r="K2943" i="1"/>
  <c r="M2943" i="1" s="1"/>
  <c r="E2943" i="1"/>
  <c r="K2942" i="1"/>
  <c r="M2942" i="1" s="1"/>
  <c r="E2942" i="1"/>
  <c r="K2941" i="1"/>
  <c r="M2941" i="1" s="1"/>
  <c r="E2941" i="1"/>
  <c r="K2940" i="1"/>
  <c r="M2940" i="1" s="1"/>
  <c r="E2940" i="1"/>
  <c r="K2939" i="1"/>
  <c r="M2939" i="1" s="1"/>
  <c r="E2939" i="1"/>
  <c r="K2938" i="1"/>
  <c r="M2938" i="1" s="1"/>
  <c r="E2938" i="1"/>
  <c r="K2937" i="1"/>
  <c r="M2937" i="1" s="1"/>
  <c r="E2937" i="1"/>
  <c r="K2936" i="1"/>
  <c r="M2936" i="1" s="1"/>
  <c r="E2936" i="1"/>
  <c r="K2935" i="1"/>
  <c r="M2935" i="1" s="1"/>
  <c r="E2935" i="1"/>
  <c r="K2934" i="1"/>
  <c r="M2934" i="1" s="1"/>
  <c r="E2934" i="1"/>
  <c r="K2933" i="1"/>
  <c r="M2933" i="1" s="1"/>
  <c r="E2933" i="1"/>
  <c r="K2932" i="1"/>
  <c r="M2932" i="1" s="1"/>
  <c r="E2932" i="1"/>
  <c r="K2931" i="1"/>
  <c r="M2931" i="1" s="1"/>
  <c r="E2931" i="1"/>
  <c r="K2930" i="1"/>
  <c r="M2930" i="1" s="1"/>
  <c r="E2930" i="1"/>
  <c r="K2929" i="1"/>
  <c r="M2929" i="1" s="1"/>
  <c r="E2929" i="1"/>
  <c r="K2928" i="1"/>
  <c r="M2928" i="1" s="1"/>
  <c r="E2928" i="1"/>
  <c r="K2927" i="1"/>
  <c r="M2927" i="1" s="1"/>
  <c r="E2927" i="1"/>
  <c r="K2926" i="1"/>
  <c r="M2926" i="1" s="1"/>
  <c r="E2926" i="1"/>
  <c r="K2925" i="1"/>
  <c r="M2925" i="1" s="1"/>
  <c r="E2925" i="1"/>
  <c r="K2924" i="1"/>
  <c r="M2924" i="1" s="1"/>
  <c r="E2924" i="1"/>
  <c r="K2923" i="1"/>
  <c r="M2923" i="1" s="1"/>
  <c r="E2923" i="1"/>
  <c r="K2922" i="1"/>
  <c r="M2922" i="1" s="1"/>
  <c r="E2922" i="1"/>
  <c r="K2921" i="1"/>
  <c r="M2921" i="1" s="1"/>
  <c r="E2921" i="1"/>
  <c r="K2920" i="1"/>
  <c r="M2920" i="1" s="1"/>
  <c r="E2920" i="1"/>
  <c r="K2919" i="1"/>
  <c r="M2919" i="1" s="1"/>
  <c r="E2919" i="1"/>
  <c r="K2918" i="1"/>
  <c r="M2918" i="1" s="1"/>
  <c r="E2918" i="1"/>
  <c r="K2917" i="1"/>
  <c r="M2917" i="1" s="1"/>
  <c r="E2917" i="1"/>
  <c r="K2916" i="1"/>
  <c r="M2916" i="1" s="1"/>
  <c r="E2916" i="1"/>
  <c r="K2915" i="1"/>
  <c r="M2915" i="1" s="1"/>
  <c r="E2915" i="1"/>
  <c r="K2914" i="1"/>
  <c r="M2914" i="1" s="1"/>
  <c r="E2914" i="1"/>
  <c r="K2913" i="1"/>
  <c r="M2913" i="1" s="1"/>
  <c r="E2913" i="1"/>
  <c r="K2912" i="1"/>
  <c r="M2912" i="1" s="1"/>
  <c r="E2912" i="1"/>
  <c r="K2911" i="1"/>
  <c r="M2911" i="1" s="1"/>
  <c r="E2911" i="1"/>
  <c r="K2910" i="1"/>
  <c r="M2910" i="1" s="1"/>
  <c r="E2910" i="1"/>
  <c r="K2909" i="1"/>
  <c r="M2909" i="1" s="1"/>
  <c r="E2909" i="1"/>
  <c r="K2908" i="1"/>
  <c r="M2908" i="1" s="1"/>
  <c r="E2908" i="1"/>
  <c r="K2907" i="1"/>
  <c r="M2907" i="1" s="1"/>
  <c r="E2907" i="1"/>
  <c r="K2906" i="1"/>
  <c r="M2906" i="1" s="1"/>
  <c r="E2906" i="1"/>
  <c r="K2905" i="1"/>
  <c r="M2905" i="1" s="1"/>
  <c r="E2905" i="1"/>
  <c r="K2904" i="1"/>
  <c r="M2904" i="1" s="1"/>
  <c r="E2904" i="1"/>
  <c r="K2903" i="1"/>
  <c r="M2903" i="1" s="1"/>
  <c r="E2903" i="1"/>
  <c r="K2902" i="1"/>
  <c r="M2902" i="1" s="1"/>
  <c r="E2902" i="1"/>
  <c r="K2901" i="1"/>
  <c r="M2901" i="1" s="1"/>
  <c r="E2901" i="1"/>
  <c r="K2900" i="1"/>
  <c r="M2900" i="1" s="1"/>
  <c r="E2900" i="1"/>
  <c r="K2899" i="1"/>
  <c r="M2899" i="1" s="1"/>
  <c r="E2899" i="1"/>
  <c r="K2898" i="1"/>
  <c r="M2898" i="1" s="1"/>
  <c r="E2898" i="1"/>
  <c r="K2897" i="1"/>
  <c r="M2897" i="1" s="1"/>
  <c r="E2897" i="1"/>
  <c r="K2896" i="1"/>
  <c r="M2896" i="1" s="1"/>
  <c r="E2896" i="1"/>
  <c r="K2895" i="1"/>
  <c r="M2895" i="1" s="1"/>
  <c r="E2895" i="1"/>
  <c r="K2894" i="1"/>
  <c r="M2894" i="1" s="1"/>
  <c r="E2894" i="1"/>
  <c r="K2893" i="1"/>
  <c r="M2893" i="1" s="1"/>
  <c r="E2893" i="1"/>
  <c r="K2892" i="1"/>
  <c r="M2892" i="1" s="1"/>
  <c r="E2892" i="1"/>
  <c r="K2891" i="1"/>
  <c r="M2891" i="1" s="1"/>
  <c r="E2891" i="1"/>
  <c r="K2890" i="1"/>
  <c r="M2890" i="1" s="1"/>
  <c r="E2890" i="1"/>
  <c r="K2889" i="1"/>
  <c r="M2889" i="1" s="1"/>
  <c r="E2889" i="1"/>
  <c r="K2888" i="1"/>
  <c r="M2888" i="1" s="1"/>
  <c r="E2888" i="1"/>
  <c r="K2887" i="1"/>
  <c r="M2887" i="1" s="1"/>
  <c r="E2887" i="1"/>
  <c r="K2886" i="1"/>
  <c r="M2886" i="1" s="1"/>
  <c r="E2886" i="1"/>
  <c r="K2885" i="1"/>
  <c r="M2885" i="1" s="1"/>
  <c r="E2885" i="1"/>
  <c r="K2884" i="1"/>
  <c r="M2884" i="1" s="1"/>
  <c r="E2884" i="1"/>
  <c r="K2883" i="1"/>
  <c r="M2883" i="1" s="1"/>
  <c r="E2883" i="1"/>
  <c r="K2882" i="1"/>
  <c r="M2882" i="1" s="1"/>
  <c r="E2882" i="1"/>
  <c r="K2881" i="1"/>
  <c r="M2881" i="1" s="1"/>
  <c r="E2881" i="1"/>
  <c r="K2880" i="1"/>
  <c r="M2880" i="1" s="1"/>
  <c r="E2880" i="1"/>
  <c r="K2879" i="1"/>
  <c r="M2879" i="1" s="1"/>
  <c r="E2879" i="1"/>
  <c r="K2878" i="1"/>
  <c r="M2878" i="1" s="1"/>
  <c r="E2878" i="1"/>
  <c r="K2877" i="1"/>
  <c r="M2877" i="1" s="1"/>
  <c r="E2877" i="1"/>
  <c r="K2876" i="1"/>
  <c r="M2876" i="1" s="1"/>
  <c r="E2876" i="1"/>
  <c r="K2875" i="1"/>
  <c r="M2875" i="1" s="1"/>
  <c r="E2875" i="1"/>
  <c r="K2874" i="1"/>
  <c r="M2874" i="1" s="1"/>
  <c r="E2874" i="1"/>
  <c r="K2873" i="1"/>
  <c r="M2873" i="1" s="1"/>
  <c r="E2873" i="1"/>
  <c r="K2872" i="1"/>
  <c r="M2872" i="1" s="1"/>
  <c r="E2872" i="1"/>
  <c r="K2871" i="1"/>
  <c r="M2871" i="1" s="1"/>
  <c r="E2871" i="1"/>
  <c r="K2870" i="1"/>
  <c r="M2870" i="1" s="1"/>
  <c r="E2870" i="1"/>
  <c r="K2869" i="1"/>
  <c r="M2869" i="1" s="1"/>
  <c r="E2869" i="1"/>
  <c r="K2868" i="1"/>
  <c r="M2868" i="1" s="1"/>
  <c r="E2868" i="1"/>
  <c r="K2867" i="1"/>
  <c r="M2867" i="1" s="1"/>
  <c r="E2867" i="1"/>
  <c r="K2866" i="1"/>
  <c r="M2866" i="1" s="1"/>
  <c r="E2866" i="1"/>
  <c r="K2865" i="1"/>
  <c r="M2865" i="1" s="1"/>
  <c r="E2865" i="1"/>
  <c r="K2864" i="1"/>
  <c r="M2864" i="1" s="1"/>
  <c r="E2864" i="1"/>
  <c r="K2863" i="1"/>
  <c r="M2863" i="1" s="1"/>
  <c r="E2863" i="1"/>
  <c r="K2862" i="1"/>
  <c r="M2862" i="1" s="1"/>
  <c r="E2862" i="1"/>
  <c r="K2861" i="1"/>
  <c r="M2861" i="1" s="1"/>
  <c r="E2861" i="1"/>
  <c r="K2860" i="1"/>
  <c r="M2860" i="1" s="1"/>
  <c r="E2860" i="1"/>
  <c r="K2859" i="1"/>
  <c r="M2859" i="1" s="1"/>
  <c r="E2859" i="1"/>
  <c r="K2858" i="1"/>
  <c r="M2858" i="1" s="1"/>
  <c r="E2858" i="1"/>
  <c r="K2857" i="1"/>
  <c r="M2857" i="1" s="1"/>
  <c r="E2857" i="1"/>
  <c r="K2856" i="1"/>
  <c r="M2856" i="1" s="1"/>
  <c r="E2856" i="1"/>
  <c r="K2855" i="1"/>
  <c r="M2855" i="1" s="1"/>
  <c r="E2855" i="1"/>
  <c r="K2854" i="1"/>
  <c r="M2854" i="1" s="1"/>
  <c r="E2854" i="1"/>
  <c r="K2853" i="1"/>
  <c r="M2853" i="1" s="1"/>
  <c r="E2853" i="1"/>
  <c r="K2852" i="1"/>
  <c r="M2852" i="1" s="1"/>
  <c r="E2852" i="1"/>
  <c r="K2851" i="1"/>
  <c r="M2851" i="1" s="1"/>
  <c r="E2851" i="1"/>
  <c r="K2850" i="1"/>
  <c r="M2850" i="1" s="1"/>
  <c r="E2850" i="1"/>
  <c r="K2849" i="1"/>
  <c r="M2849" i="1" s="1"/>
  <c r="E2849" i="1"/>
  <c r="K2848" i="1"/>
  <c r="M2848" i="1" s="1"/>
  <c r="E2848" i="1"/>
  <c r="K2847" i="1"/>
  <c r="M2847" i="1" s="1"/>
  <c r="E2847" i="1"/>
  <c r="K2846" i="1"/>
  <c r="M2846" i="1" s="1"/>
  <c r="E2846" i="1"/>
  <c r="K2845" i="1"/>
  <c r="M2845" i="1" s="1"/>
  <c r="E2845" i="1"/>
  <c r="K2844" i="1"/>
  <c r="M2844" i="1" s="1"/>
  <c r="E2844" i="1"/>
  <c r="K2843" i="1"/>
  <c r="M2843" i="1" s="1"/>
  <c r="E2843" i="1"/>
  <c r="K2842" i="1"/>
  <c r="M2842" i="1" s="1"/>
  <c r="E2842" i="1"/>
  <c r="K2841" i="1"/>
  <c r="M2841" i="1" s="1"/>
  <c r="E2841" i="1"/>
  <c r="K2840" i="1"/>
  <c r="M2840" i="1" s="1"/>
  <c r="E2840" i="1"/>
  <c r="K2839" i="1"/>
  <c r="M2839" i="1" s="1"/>
  <c r="E2839" i="1"/>
  <c r="K2838" i="1"/>
  <c r="M2838" i="1" s="1"/>
  <c r="E2838" i="1"/>
  <c r="K2837" i="1"/>
  <c r="M2837" i="1" s="1"/>
  <c r="E2837" i="1"/>
  <c r="K2836" i="1"/>
  <c r="M2836" i="1" s="1"/>
  <c r="E2836" i="1"/>
  <c r="K2835" i="1"/>
  <c r="E2835" i="1"/>
  <c r="K2834" i="1"/>
  <c r="M2834" i="1" s="1"/>
  <c r="E2834" i="1"/>
  <c r="K2833" i="1"/>
  <c r="M2833" i="1" s="1"/>
  <c r="E2833" i="1"/>
  <c r="K2832" i="1"/>
  <c r="M2832" i="1" s="1"/>
  <c r="E2832" i="1"/>
  <c r="K2831" i="1"/>
  <c r="M2831" i="1" s="1"/>
  <c r="E2831" i="1"/>
  <c r="K2830" i="1"/>
  <c r="M2830" i="1" s="1"/>
  <c r="E2830" i="1"/>
  <c r="K2829" i="1"/>
  <c r="M2829" i="1" s="1"/>
  <c r="E2829" i="1"/>
  <c r="K2828" i="1"/>
  <c r="M2828" i="1" s="1"/>
  <c r="E2828" i="1"/>
  <c r="K2827" i="1"/>
  <c r="M2827" i="1" s="1"/>
  <c r="E2827" i="1"/>
  <c r="K2826" i="1"/>
  <c r="M2826" i="1" s="1"/>
  <c r="E2826" i="1"/>
  <c r="K2825" i="1"/>
  <c r="M2825" i="1" s="1"/>
  <c r="E2825" i="1"/>
  <c r="K2824" i="1"/>
  <c r="M2824" i="1" s="1"/>
  <c r="E2824" i="1"/>
  <c r="K2823" i="1"/>
  <c r="M2823" i="1" s="1"/>
  <c r="E2823" i="1"/>
  <c r="K2822" i="1"/>
  <c r="M2822" i="1" s="1"/>
  <c r="E2822" i="1"/>
  <c r="K2821" i="1"/>
  <c r="M2821" i="1" s="1"/>
  <c r="E2821" i="1"/>
  <c r="K2820" i="1"/>
  <c r="M2820" i="1" s="1"/>
  <c r="E2820" i="1"/>
  <c r="K2819" i="1"/>
  <c r="M2819" i="1" s="1"/>
  <c r="E2819" i="1"/>
  <c r="K2818" i="1"/>
  <c r="M2818" i="1" s="1"/>
  <c r="E2818" i="1"/>
  <c r="K2817" i="1"/>
  <c r="M2817" i="1" s="1"/>
  <c r="E2817" i="1"/>
  <c r="K2816" i="1"/>
  <c r="M2816" i="1" s="1"/>
  <c r="E2816" i="1"/>
  <c r="K2815" i="1"/>
  <c r="M2815" i="1" s="1"/>
  <c r="E2815" i="1"/>
  <c r="K2814" i="1"/>
  <c r="M2814" i="1" s="1"/>
  <c r="E2814" i="1"/>
  <c r="K2813" i="1"/>
  <c r="M2813" i="1" s="1"/>
  <c r="E2813" i="1"/>
  <c r="K2812" i="1"/>
  <c r="M2812" i="1" s="1"/>
  <c r="E2812" i="1"/>
  <c r="K2811" i="1"/>
  <c r="M2811" i="1" s="1"/>
  <c r="E2811" i="1"/>
  <c r="K2810" i="1"/>
  <c r="M2810" i="1" s="1"/>
  <c r="E2810" i="1"/>
  <c r="M2809" i="1"/>
  <c r="E2809" i="1"/>
  <c r="M2808" i="1"/>
  <c r="E2808" i="1"/>
  <c r="M2807" i="1"/>
  <c r="E2807" i="1"/>
  <c r="M2806" i="1"/>
  <c r="E2806" i="1"/>
  <c r="M2805" i="1"/>
  <c r="E2805" i="1"/>
  <c r="K2804" i="1"/>
  <c r="M2804" i="1" s="1"/>
  <c r="E2804" i="1"/>
  <c r="M2803" i="1"/>
  <c r="E2803" i="1"/>
  <c r="M2802" i="1"/>
  <c r="E2802" i="1"/>
  <c r="M2801" i="1"/>
  <c r="E2801" i="1"/>
  <c r="M2800" i="1"/>
  <c r="E2800" i="1"/>
  <c r="M2799" i="1"/>
  <c r="E2799" i="1"/>
  <c r="M2798" i="1"/>
  <c r="E2798" i="1"/>
  <c r="M2797" i="1"/>
  <c r="E2797" i="1"/>
  <c r="M2796" i="1"/>
  <c r="E2796" i="1"/>
  <c r="M2795" i="1"/>
  <c r="E2795" i="1"/>
  <c r="M2794" i="1"/>
  <c r="E2794" i="1"/>
  <c r="M2793" i="1"/>
  <c r="E2793" i="1"/>
  <c r="M2792" i="1"/>
  <c r="E2792" i="1"/>
  <c r="M2791" i="1"/>
  <c r="E2791" i="1"/>
  <c r="M2790" i="1"/>
  <c r="E2790" i="1"/>
  <c r="M2789" i="1"/>
  <c r="E2789" i="1"/>
  <c r="M2788" i="1"/>
  <c r="E2788" i="1"/>
  <c r="M2787" i="1"/>
  <c r="E2787" i="1"/>
  <c r="K2786" i="1"/>
  <c r="M2786" i="1" s="1"/>
  <c r="E2786" i="1"/>
  <c r="K2785" i="1"/>
  <c r="M2785" i="1" s="1"/>
  <c r="E2785" i="1"/>
  <c r="M2784" i="1"/>
  <c r="E2784" i="1"/>
  <c r="M2783" i="1"/>
  <c r="E2783" i="1"/>
  <c r="M2782" i="1"/>
  <c r="E2782" i="1"/>
  <c r="M2781" i="1"/>
  <c r="E2781" i="1"/>
  <c r="M2780" i="1"/>
  <c r="E2780" i="1"/>
  <c r="M2779" i="1"/>
  <c r="E2779" i="1"/>
  <c r="M2778" i="1"/>
  <c r="E2778" i="1"/>
  <c r="M2777" i="1"/>
  <c r="E2777" i="1"/>
  <c r="M2776" i="1"/>
  <c r="E2776" i="1"/>
  <c r="M2775" i="1"/>
  <c r="E2775" i="1"/>
  <c r="M2774" i="1"/>
  <c r="E2774" i="1"/>
  <c r="M2773" i="1"/>
  <c r="E2773" i="1"/>
  <c r="M2772" i="1"/>
  <c r="E2772" i="1"/>
  <c r="M2771" i="1"/>
  <c r="E2771" i="1"/>
  <c r="M2770" i="1"/>
  <c r="E2770" i="1"/>
  <c r="M2769" i="1"/>
  <c r="E2769" i="1"/>
  <c r="M2768" i="1"/>
  <c r="E2768" i="1"/>
  <c r="M2767" i="1"/>
  <c r="E2767" i="1"/>
  <c r="M2766" i="1"/>
  <c r="E2766" i="1"/>
  <c r="M2765" i="1"/>
  <c r="E2765" i="1"/>
  <c r="M2764" i="1"/>
  <c r="E2764" i="1"/>
  <c r="M2763" i="1"/>
  <c r="E2763" i="1"/>
  <c r="K2762" i="1"/>
  <c r="M2762" i="1" s="1"/>
  <c r="E2762" i="1"/>
  <c r="K2761" i="1"/>
  <c r="M2761" i="1" s="1"/>
  <c r="E2761" i="1"/>
  <c r="K2760" i="1"/>
  <c r="M2760" i="1" s="1"/>
  <c r="E2760" i="1"/>
  <c r="K2759" i="1"/>
  <c r="M2759" i="1" s="1"/>
  <c r="E2759" i="1"/>
  <c r="K2758" i="1"/>
  <c r="M2758" i="1" s="1"/>
  <c r="E2758" i="1"/>
  <c r="K2757" i="1"/>
  <c r="M2757" i="1" s="1"/>
  <c r="E2757" i="1"/>
  <c r="K2756" i="1"/>
  <c r="M2756" i="1" s="1"/>
  <c r="E2756" i="1"/>
  <c r="K2755" i="1"/>
  <c r="M2755" i="1" s="1"/>
  <c r="E2755" i="1"/>
  <c r="K2754" i="1"/>
  <c r="M2754" i="1" s="1"/>
  <c r="E2754" i="1"/>
  <c r="K2753" i="1"/>
  <c r="M2753" i="1" s="1"/>
  <c r="E2753" i="1"/>
  <c r="K2752" i="1"/>
  <c r="M2752" i="1" s="1"/>
  <c r="E2752" i="1"/>
  <c r="K2751" i="1"/>
  <c r="M2751" i="1" s="1"/>
  <c r="E2751" i="1"/>
  <c r="K2750" i="1"/>
  <c r="M2750" i="1" s="1"/>
  <c r="E2750" i="1"/>
  <c r="K2749" i="1"/>
  <c r="M2749" i="1" s="1"/>
  <c r="E2749" i="1"/>
  <c r="K2748" i="1"/>
  <c r="M2748" i="1" s="1"/>
  <c r="E2748" i="1"/>
  <c r="K2747" i="1"/>
  <c r="M2747" i="1" s="1"/>
  <c r="E2747" i="1"/>
  <c r="K2746" i="1"/>
  <c r="M2746" i="1" s="1"/>
  <c r="E2746" i="1"/>
  <c r="K2745" i="1"/>
  <c r="M2745" i="1" s="1"/>
  <c r="E2745" i="1"/>
  <c r="K2744" i="1"/>
  <c r="M2744" i="1" s="1"/>
  <c r="E2744" i="1"/>
  <c r="K2743" i="1"/>
  <c r="M2743" i="1" s="1"/>
  <c r="E2743" i="1"/>
  <c r="K2742" i="1"/>
  <c r="M2742" i="1" s="1"/>
  <c r="E2742" i="1"/>
  <c r="K2741" i="1"/>
  <c r="M2741" i="1" s="1"/>
  <c r="E2741" i="1"/>
  <c r="K2740" i="1"/>
  <c r="M2740" i="1" s="1"/>
  <c r="E2740" i="1"/>
  <c r="K2739" i="1"/>
  <c r="M2739" i="1" s="1"/>
  <c r="E2739" i="1"/>
  <c r="K2738" i="1"/>
  <c r="M2738" i="1" s="1"/>
  <c r="E2738" i="1"/>
  <c r="K2737" i="1"/>
  <c r="M2737" i="1" s="1"/>
  <c r="E2737" i="1"/>
  <c r="K2736" i="1"/>
  <c r="M2736" i="1" s="1"/>
  <c r="E2736" i="1"/>
  <c r="K2735" i="1"/>
  <c r="M2735" i="1" s="1"/>
  <c r="E2735" i="1"/>
  <c r="K2734" i="1"/>
  <c r="M2734" i="1" s="1"/>
  <c r="E2734" i="1"/>
  <c r="K2733" i="1"/>
  <c r="M2733" i="1" s="1"/>
  <c r="E2733" i="1"/>
  <c r="K2732" i="1"/>
  <c r="M2732" i="1" s="1"/>
  <c r="E2732" i="1"/>
  <c r="K2731" i="1"/>
  <c r="M2731" i="1" s="1"/>
  <c r="E2731" i="1"/>
  <c r="K2730" i="1"/>
  <c r="M2730" i="1" s="1"/>
  <c r="E2730" i="1"/>
  <c r="K2729" i="1"/>
  <c r="M2729" i="1" s="1"/>
  <c r="E2729" i="1"/>
  <c r="K2728" i="1"/>
  <c r="M2728" i="1" s="1"/>
  <c r="E2728" i="1"/>
  <c r="K2727" i="1"/>
  <c r="M2727" i="1" s="1"/>
  <c r="E2727" i="1"/>
  <c r="K2726" i="1"/>
  <c r="M2726" i="1" s="1"/>
  <c r="E2726" i="1"/>
  <c r="K2725" i="1"/>
  <c r="M2725" i="1" s="1"/>
  <c r="E2725" i="1"/>
  <c r="M2724" i="1"/>
  <c r="E2724" i="1"/>
  <c r="K2723" i="1"/>
  <c r="M2723" i="1" s="1"/>
  <c r="E2723" i="1"/>
  <c r="K2722" i="1"/>
  <c r="M2722" i="1" s="1"/>
  <c r="E2722" i="1"/>
  <c r="K2721" i="1"/>
  <c r="M2721" i="1" s="1"/>
  <c r="E2721" i="1"/>
  <c r="K2720" i="1"/>
  <c r="M2720" i="1" s="1"/>
  <c r="E2720" i="1"/>
  <c r="M2719" i="1"/>
  <c r="E2719" i="1"/>
  <c r="M2718" i="1"/>
  <c r="E2718" i="1"/>
  <c r="M2717" i="1"/>
  <c r="E2717" i="1"/>
  <c r="K2716" i="1"/>
  <c r="M2716" i="1" s="1"/>
  <c r="E2716" i="1"/>
  <c r="K2715" i="1"/>
  <c r="M2715" i="1" s="1"/>
  <c r="E2715" i="1"/>
  <c r="K2714" i="1"/>
  <c r="M2714" i="1" s="1"/>
  <c r="E2714" i="1"/>
  <c r="K2713" i="1"/>
  <c r="M2713" i="1" s="1"/>
  <c r="E2713" i="1"/>
  <c r="K2712" i="1"/>
  <c r="M2712" i="1" s="1"/>
  <c r="E2712" i="1"/>
  <c r="K2711" i="1"/>
  <c r="M2711" i="1" s="1"/>
  <c r="E2711" i="1"/>
  <c r="K2710" i="1"/>
  <c r="M2710" i="1" s="1"/>
  <c r="E2710" i="1"/>
  <c r="K2709" i="1"/>
  <c r="M2709" i="1" s="1"/>
  <c r="E2709" i="1"/>
  <c r="K2708" i="1"/>
  <c r="M2708" i="1" s="1"/>
  <c r="E2708" i="1"/>
  <c r="K2707" i="1"/>
  <c r="M2707" i="1" s="1"/>
  <c r="E2707" i="1"/>
  <c r="K2706" i="1"/>
  <c r="M2706" i="1" s="1"/>
  <c r="E2706" i="1"/>
  <c r="K2705" i="1"/>
  <c r="M2705" i="1" s="1"/>
  <c r="E2705" i="1"/>
  <c r="K2704" i="1"/>
  <c r="M2704" i="1" s="1"/>
  <c r="E2704" i="1"/>
  <c r="K2703" i="1"/>
  <c r="M2703" i="1" s="1"/>
  <c r="E2703" i="1"/>
  <c r="K2702" i="1"/>
  <c r="M2702" i="1" s="1"/>
  <c r="E2702" i="1"/>
  <c r="K2701" i="1"/>
  <c r="M2701" i="1" s="1"/>
  <c r="E2701" i="1"/>
  <c r="K2700" i="1"/>
  <c r="M2700" i="1" s="1"/>
  <c r="E2700" i="1"/>
  <c r="K2699" i="1"/>
  <c r="M2699" i="1" s="1"/>
  <c r="E2699" i="1"/>
  <c r="K2698" i="1"/>
  <c r="M2698" i="1" s="1"/>
  <c r="E2698" i="1"/>
  <c r="K2697" i="1"/>
  <c r="M2697" i="1" s="1"/>
  <c r="E2697" i="1"/>
  <c r="K2696" i="1"/>
  <c r="M2696" i="1" s="1"/>
  <c r="E2696" i="1"/>
  <c r="K2695" i="1"/>
  <c r="M2695" i="1" s="1"/>
  <c r="E2695" i="1"/>
  <c r="K2694" i="1"/>
  <c r="M2694" i="1" s="1"/>
  <c r="E2694" i="1"/>
  <c r="K2693" i="1"/>
  <c r="M2693" i="1" s="1"/>
  <c r="E2693" i="1"/>
  <c r="L2692" i="1"/>
  <c r="M2692" i="1" s="1"/>
  <c r="E2692" i="1"/>
  <c r="M2691" i="1"/>
  <c r="E2691" i="1"/>
  <c r="M2690" i="1"/>
  <c r="E2690" i="1"/>
  <c r="M2689" i="1"/>
  <c r="E2689" i="1"/>
  <c r="M2688" i="1"/>
  <c r="E2688" i="1"/>
  <c r="M2687" i="1"/>
  <c r="E2687" i="1"/>
  <c r="M2686" i="1"/>
  <c r="E2686" i="1"/>
  <c r="M2685" i="1"/>
  <c r="E2685" i="1"/>
  <c r="M2684" i="1"/>
  <c r="E2684" i="1"/>
  <c r="M2683" i="1"/>
  <c r="E2683" i="1"/>
  <c r="M2682" i="1"/>
  <c r="E2682" i="1"/>
  <c r="M2681" i="1"/>
  <c r="E2681" i="1"/>
  <c r="M2680" i="1"/>
  <c r="E2680" i="1"/>
  <c r="M2679" i="1"/>
  <c r="E2679" i="1"/>
  <c r="M2678" i="1"/>
  <c r="E2678" i="1"/>
  <c r="M2677" i="1"/>
  <c r="E2677" i="1"/>
  <c r="M2676" i="1"/>
  <c r="E2676" i="1"/>
  <c r="M2675" i="1"/>
  <c r="E2675" i="1"/>
  <c r="M2674" i="1"/>
  <c r="E2674" i="1"/>
  <c r="M2673" i="1"/>
  <c r="E2673" i="1"/>
  <c r="M2672" i="1"/>
  <c r="E2672" i="1"/>
  <c r="M2671" i="1"/>
  <c r="E2671" i="1"/>
  <c r="M2670" i="1"/>
  <c r="E2670" i="1"/>
  <c r="M2669" i="1"/>
  <c r="E2669" i="1"/>
  <c r="M2668" i="1"/>
  <c r="E2668" i="1"/>
  <c r="M2667" i="1"/>
  <c r="E2667" i="1"/>
  <c r="M2666" i="1"/>
  <c r="E2666" i="1"/>
  <c r="M2665" i="1"/>
  <c r="E2665" i="1"/>
  <c r="M2664" i="1"/>
  <c r="E2664" i="1"/>
  <c r="M2663" i="1"/>
  <c r="E2663" i="1"/>
  <c r="M2662" i="1"/>
  <c r="E2662" i="1"/>
  <c r="M2661" i="1"/>
  <c r="E2661" i="1"/>
  <c r="M2660" i="1"/>
  <c r="E2660" i="1"/>
  <c r="M2659" i="1"/>
  <c r="E2659" i="1"/>
  <c r="M2658" i="1"/>
  <c r="E2658" i="1"/>
  <c r="M2657" i="1"/>
  <c r="E2657" i="1"/>
  <c r="M2656" i="1"/>
  <c r="E2656" i="1"/>
  <c r="M2655" i="1"/>
  <c r="E2655" i="1"/>
  <c r="M2654" i="1"/>
  <c r="E2654" i="1"/>
  <c r="M2653" i="1"/>
  <c r="E2653" i="1"/>
  <c r="M2652" i="1"/>
  <c r="E2652" i="1"/>
  <c r="M2651" i="1"/>
  <c r="E2651" i="1"/>
  <c r="M2650" i="1"/>
  <c r="E2650" i="1"/>
  <c r="M2649" i="1"/>
  <c r="E2649" i="1"/>
  <c r="M2648" i="1"/>
  <c r="E2648" i="1"/>
  <c r="M2647" i="1"/>
  <c r="E2647" i="1"/>
  <c r="M2646" i="1"/>
  <c r="E2646" i="1"/>
  <c r="M2645" i="1"/>
  <c r="E2645" i="1"/>
  <c r="M2644" i="1"/>
  <c r="E2644" i="1"/>
  <c r="M2643" i="1"/>
  <c r="E2643" i="1"/>
  <c r="M2642" i="1"/>
  <c r="E2642" i="1"/>
  <c r="M2641" i="1"/>
  <c r="E2641" i="1"/>
  <c r="M2640" i="1"/>
  <c r="E2640" i="1"/>
  <c r="M2639" i="1"/>
  <c r="E2639" i="1"/>
  <c r="M2638" i="1"/>
  <c r="E2638" i="1"/>
  <c r="M2637" i="1"/>
  <c r="E2637" i="1"/>
  <c r="M2636" i="1"/>
  <c r="E2636" i="1"/>
  <c r="M2635" i="1"/>
  <c r="E2635" i="1"/>
  <c r="M2633" i="1"/>
  <c r="E2633" i="1"/>
  <c r="M2632" i="1"/>
  <c r="E2632" i="1"/>
  <c r="M2631" i="1"/>
  <c r="E2631" i="1"/>
  <c r="M2630" i="1"/>
  <c r="E2630" i="1"/>
  <c r="M2629" i="1"/>
  <c r="E2629" i="1"/>
  <c r="M2628" i="1"/>
  <c r="E2628" i="1"/>
  <c r="M2627" i="1"/>
  <c r="E2627" i="1"/>
  <c r="M2626" i="1"/>
  <c r="E2626" i="1"/>
  <c r="M2625" i="1"/>
  <c r="E2625" i="1"/>
  <c r="M2624" i="1"/>
  <c r="E2624" i="1"/>
  <c r="M2623" i="1"/>
  <c r="E2623" i="1"/>
  <c r="M2622" i="1"/>
  <c r="E2622" i="1"/>
  <c r="M2621" i="1"/>
  <c r="E2621" i="1"/>
  <c r="M2620" i="1"/>
  <c r="E2620" i="1"/>
  <c r="M2619" i="1"/>
  <c r="E2619" i="1"/>
  <c r="M2618" i="1"/>
  <c r="E2618" i="1"/>
  <c r="M2617" i="1"/>
  <c r="E2617" i="1"/>
  <c r="M2616" i="1"/>
  <c r="E2616" i="1"/>
  <c r="M2615" i="1"/>
  <c r="E2615" i="1"/>
  <c r="M2614" i="1"/>
  <c r="E2614" i="1"/>
  <c r="M2613" i="1"/>
  <c r="E2613" i="1"/>
  <c r="M2612" i="1"/>
  <c r="E2612" i="1"/>
  <c r="M2611" i="1"/>
  <c r="E2611" i="1"/>
  <c r="M2610" i="1"/>
  <c r="E2610" i="1"/>
  <c r="M2609" i="1"/>
  <c r="E2609" i="1"/>
  <c r="M2608" i="1"/>
  <c r="E2608" i="1"/>
  <c r="M2607" i="1"/>
  <c r="E2607" i="1"/>
  <c r="M2606" i="1"/>
  <c r="E2606" i="1"/>
  <c r="M2605" i="1"/>
  <c r="E2605" i="1"/>
  <c r="M2604" i="1"/>
  <c r="E2604" i="1"/>
  <c r="M2603" i="1"/>
  <c r="E2603" i="1"/>
  <c r="M2602" i="1"/>
  <c r="E2602" i="1"/>
  <c r="M2601" i="1"/>
  <c r="E2601" i="1"/>
  <c r="M2600" i="1"/>
  <c r="E2600" i="1"/>
  <c r="M2599" i="1"/>
  <c r="E2599" i="1"/>
  <c r="M2598" i="1"/>
  <c r="E2598" i="1"/>
  <c r="M2597" i="1"/>
  <c r="E2597" i="1"/>
  <c r="M2596" i="1"/>
  <c r="E2596" i="1"/>
  <c r="M2595" i="1"/>
  <c r="E2595" i="1"/>
  <c r="M2594" i="1"/>
  <c r="E2594" i="1"/>
  <c r="M2593" i="1"/>
  <c r="E2593" i="1"/>
  <c r="M2592" i="1"/>
  <c r="E2592" i="1"/>
  <c r="M2591" i="1"/>
  <c r="E2591" i="1"/>
  <c r="M2590" i="1"/>
  <c r="E2590" i="1"/>
  <c r="M2589" i="1"/>
  <c r="E2589" i="1"/>
  <c r="M2588" i="1"/>
  <c r="E2588" i="1"/>
  <c r="M2587" i="1"/>
  <c r="E2587" i="1"/>
  <c r="M2586" i="1"/>
  <c r="E2586" i="1"/>
  <c r="M2585" i="1"/>
  <c r="E2585" i="1"/>
  <c r="M2584" i="1"/>
  <c r="E2584" i="1"/>
  <c r="M2583" i="1"/>
  <c r="E2583" i="1"/>
  <c r="M2582" i="1"/>
  <c r="E2582" i="1"/>
  <c r="M2581" i="1"/>
  <c r="E2581" i="1"/>
  <c r="M2580" i="1"/>
  <c r="E2580" i="1"/>
  <c r="M2579" i="1"/>
  <c r="E2579" i="1"/>
  <c r="M2578" i="1"/>
  <c r="E2578" i="1"/>
  <c r="M2577" i="1"/>
  <c r="E2577" i="1"/>
  <c r="M2576" i="1"/>
  <c r="E2576" i="1"/>
  <c r="M2575" i="1"/>
  <c r="E2575" i="1"/>
  <c r="M2574" i="1"/>
  <c r="E2574" i="1"/>
  <c r="M2573" i="1"/>
  <c r="E2573" i="1"/>
  <c r="M2572" i="1"/>
  <c r="E2572" i="1"/>
  <c r="M2571" i="1"/>
  <c r="E2571" i="1"/>
  <c r="M2570" i="1"/>
  <c r="E2570" i="1"/>
  <c r="M2569" i="1"/>
  <c r="E2569" i="1"/>
  <c r="M2568" i="1"/>
  <c r="E2568" i="1"/>
  <c r="M2567" i="1"/>
  <c r="E2567" i="1"/>
  <c r="M2566" i="1"/>
  <c r="E2566" i="1"/>
  <c r="M2565" i="1"/>
  <c r="E2565" i="1"/>
  <c r="M2564" i="1"/>
  <c r="E2564" i="1"/>
  <c r="M2563" i="1"/>
  <c r="E2563" i="1"/>
  <c r="M2562" i="1"/>
  <c r="E2562" i="1"/>
  <c r="M2561" i="1"/>
  <c r="E2561" i="1"/>
  <c r="M2560" i="1"/>
  <c r="E2560" i="1"/>
  <c r="M2559" i="1"/>
  <c r="E2559" i="1"/>
  <c r="M2558" i="1"/>
  <c r="E2558" i="1"/>
  <c r="M2557" i="1"/>
  <c r="E2557" i="1"/>
  <c r="M2556" i="1"/>
  <c r="E2556" i="1"/>
  <c r="M2555" i="1"/>
  <c r="E2555" i="1"/>
  <c r="M2554" i="1"/>
  <c r="E2554" i="1"/>
  <c r="M2553" i="1"/>
  <c r="E2553" i="1"/>
  <c r="M2552" i="1"/>
  <c r="E2552" i="1"/>
  <c r="M2551" i="1"/>
  <c r="E2551" i="1"/>
  <c r="M2550" i="1"/>
  <c r="E2550" i="1"/>
  <c r="M2549" i="1"/>
  <c r="E2549" i="1"/>
  <c r="M2548" i="1"/>
  <c r="E2548" i="1"/>
  <c r="M2547" i="1"/>
  <c r="E2547" i="1"/>
  <c r="M2546" i="1"/>
  <c r="E2546" i="1"/>
  <c r="M2545" i="1"/>
  <c r="E2545" i="1"/>
  <c r="M2544" i="1"/>
  <c r="E2544" i="1"/>
  <c r="M2543" i="1"/>
  <c r="E2543" i="1"/>
  <c r="M2542" i="1"/>
  <c r="E2542" i="1"/>
  <c r="M2541" i="1"/>
  <c r="E2541" i="1"/>
  <c r="M2540" i="1"/>
  <c r="E2540" i="1"/>
  <c r="M2539" i="1"/>
  <c r="E2539" i="1"/>
  <c r="M2538" i="1"/>
  <c r="E2538" i="1"/>
  <c r="M2537" i="1"/>
  <c r="E2537" i="1"/>
  <c r="M2536" i="1"/>
  <c r="E2536" i="1"/>
  <c r="M2535" i="1"/>
  <c r="E2535" i="1"/>
  <c r="M2534" i="1"/>
  <c r="E2534" i="1"/>
  <c r="M2533" i="1"/>
  <c r="E2533" i="1"/>
  <c r="M2532" i="1"/>
  <c r="E2532" i="1"/>
  <c r="M2531" i="1"/>
  <c r="E2531" i="1"/>
  <c r="M2530" i="1"/>
  <c r="E2530" i="1"/>
  <c r="M2529" i="1"/>
  <c r="E2529" i="1"/>
  <c r="M2528" i="1"/>
  <c r="E2528" i="1"/>
  <c r="M2527" i="1"/>
  <c r="E2527" i="1"/>
  <c r="M2526" i="1"/>
  <c r="E2526" i="1"/>
  <c r="M2525" i="1"/>
  <c r="E2525" i="1"/>
  <c r="M2524" i="1"/>
  <c r="E2524" i="1"/>
  <c r="M2523" i="1"/>
  <c r="E2523" i="1"/>
  <c r="M2522" i="1"/>
  <c r="E2522" i="1"/>
  <c r="M2521" i="1"/>
  <c r="E2521" i="1"/>
  <c r="M2520" i="1"/>
  <c r="E2520" i="1"/>
  <c r="M2519" i="1"/>
  <c r="E2519" i="1"/>
  <c r="M2518" i="1"/>
  <c r="E2518" i="1"/>
  <c r="M2517" i="1"/>
  <c r="E2517" i="1"/>
  <c r="M2516" i="1"/>
  <c r="E2516" i="1"/>
  <c r="M2515" i="1"/>
  <c r="E2515" i="1"/>
  <c r="M2514" i="1"/>
  <c r="E2514" i="1"/>
  <c r="M2513" i="1"/>
  <c r="E2513" i="1"/>
  <c r="M2512" i="1"/>
  <c r="T2511" i="1"/>
  <c r="M2511" i="1"/>
  <c r="T2510" i="1"/>
  <c r="M2510" i="1"/>
  <c r="T2509" i="1"/>
  <c r="M2509" i="1"/>
  <c r="T2508" i="1"/>
  <c r="M2508" i="1"/>
  <c r="T2507" i="1"/>
  <c r="M2507" i="1"/>
  <c r="T2506" i="1"/>
  <c r="M2506" i="1"/>
  <c r="T2505" i="1"/>
  <c r="M2505" i="1"/>
  <c r="T2504" i="1"/>
  <c r="M2504" i="1"/>
  <c r="T2503" i="1"/>
  <c r="M2503" i="1"/>
  <c r="T2502" i="1"/>
  <c r="M2502" i="1"/>
  <c r="T2501" i="1"/>
  <c r="M2501" i="1"/>
  <c r="T2500" i="1"/>
  <c r="M2500" i="1"/>
  <c r="T2499" i="1"/>
  <c r="M2499" i="1"/>
  <c r="T2498" i="1"/>
  <c r="M2498" i="1"/>
  <c r="T2497" i="1"/>
  <c r="M2497" i="1"/>
  <c r="T2496" i="1"/>
  <c r="M2496" i="1"/>
  <c r="T2495" i="1"/>
  <c r="M2495" i="1"/>
  <c r="T2494" i="1"/>
  <c r="M2494" i="1"/>
  <c r="T2493" i="1"/>
  <c r="M2493" i="1"/>
  <c r="T2492" i="1"/>
  <c r="M2492" i="1"/>
  <c r="T2491" i="1"/>
  <c r="M2491" i="1"/>
  <c r="T2490" i="1"/>
  <c r="M2490" i="1"/>
  <c r="T2489" i="1"/>
  <c r="M2489" i="1"/>
  <c r="T2488" i="1"/>
  <c r="M2488" i="1"/>
  <c r="T2487" i="1"/>
  <c r="M2487" i="1"/>
  <c r="T2486" i="1"/>
  <c r="M2486" i="1"/>
  <c r="T2485" i="1"/>
  <c r="M2485" i="1"/>
  <c r="T2484" i="1"/>
  <c r="M2484" i="1"/>
  <c r="T2483" i="1"/>
  <c r="M2483" i="1"/>
  <c r="T2482" i="1"/>
  <c r="M2482" i="1"/>
  <c r="T2481" i="1"/>
  <c r="M2481" i="1"/>
  <c r="T2480" i="1"/>
  <c r="M2480" i="1"/>
  <c r="T2479" i="1"/>
  <c r="M2479" i="1"/>
  <c r="T2478" i="1"/>
  <c r="M2478" i="1"/>
  <c r="T2477" i="1"/>
  <c r="M2477" i="1"/>
  <c r="M2476" i="1"/>
  <c r="M2475" i="1"/>
  <c r="T2474" i="1"/>
  <c r="M2474" i="1"/>
  <c r="T2473" i="1"/>
  <c r="M2473" i="1"/>
  <c r="M2472" i="1"/>
  <c r="T2471" i="1"/>
  <c r="M2471" i="1"/>
  <c r="T2469" i="1"/>
  <c r="M2469" i="1"/>
  <c r="T2468" i="1"/>
  <c r="M2468" i="1"/>
  <c r="T2467" i="1"/>
  <c r="M2467" i="1"/>
  <c r="T2466" i="1"/>
  <c r="M2466" i="1"/>
  <c r="T2465" i="1"/>
  <c r="M2465" i="1"/>
  <c r="T2464" i="1"/>
  <c r="M2464" i="1"/>
  <c r="T2463" i="1"/>
  <c r="M2463" i="1"/>
  <c r="T2462" i="1"/>
  <c r="M2462" i="1"/>
  <c r="T2461" i="1"/>
  <c r="M2461" i="1"/>
  <c r="T2460" i="1"/>
  <c r="M2460" i="1"/>
  <c r="T2459" i="1"/>
  <c r="M2459" i="1"/>
  <c r="T2458" i="1"/>
  <c r="M2458" i="1"/>
  <c r="T2457" i="1"/>
  <c r="M2457" i="1"/>
  <c r="T2456" i="1"/>
  <c r="M2456" i="1"/>
  <c r="T2455" i="1"/>
  <c r="M2455" i="1"/>
  <c r="T2454" i="1"/>
  <c r="T2453" i="1"/>
  <c r="M2453" i="1"/>
  <c r="T2452" i="1"/>
  <c r="M2452" i="1"/>
  <c r="T2451" i="1"/>
  <c r="M2451" i="1"/>
  <c r="T2450" i="1"/>
  <c r="M2450" i="1"/>
  <c r="T2449" i="1"/>
  <c r="M2449" i="1"/>
  <c r="T2448" i="1"/>
  <c r="M2448" i="1"/>
  <c r="T2447" i="1"/>
  <c r="M2447" i="1"/>
  <c r="T2446" i="1"/>
  <c r="M2446" i="1"/>
  <c r="T2445" i="1"/>
  <c r="T2444" i="1"/>
  <c r="T2443" i="1"/>
  <c r="T2442" i="1"/>
  <c r="T2441" i="1"/>
  <c r="T2440" i="1"/>
  <c r="T2439" i="1"/>
  <c r="M2439" i="1"/>
  <c r="T2438" i="1"/>
  <c r="O2438" i="1"/>
  <c r="M2438" i="1"/>
  <c r="T2437" i="1"/>
  <c r="M2437" i="1"/>
  <c r="T2436" i="1"/>
  <c r="O2436" i="1"/>
  <c r="M2436" i="1"/>
  <c r="T2435" i="1"/>
  <c r="M2435" i="1"/>
  <c r="T2434" i="1"/>
  <c r="O2434" i="1"/>
  <c r="M2434" i="1"/>
  <c r="T2433" i="1"/>
  <c r="O2433" i="1"/>
  <c r="M2433" i="1"/>
  <c r="T2432" i="1"/>
  <c r="M2432" i="1"/>
  <c r="T2431" i="1"/>
  <c r="O2431" i="1"/>
  <c r="M2431" i="1"/>
  <c r="T2430" i="1"/>
  <c r="O2430" i="1"/>
  <c r="M2430" i="1"/>
  <c r="T2429" i="1"/>
  <c r="M2429" i="1"/>
  <c r="T2428" i="1"/>
  <c r="M2428" i="1"/>
  <c r="T2427" i="1"/>
  <c r="O2427" i="1"/>
  <c r="M2427" i="1"/>
  <c r="T2426" i="1"/>
  <c r="O2426" i="1"/>
  <c r="M2426" i="1"/>
  <c r="T2425" i="1"/>
  <c r="M2425" i="1"/>
  <c r="T2424" i="1"/>
  <c r="M2424" i="1"/>
  <c r="T2423" i="1"/>
  <c r="M2423" i="1"/>
  <c r="T2422" i="1"/>
  <c r="O2422" i="1"/>
  <c r="M2422" i="1"/>
  <c r="T2421" i="1"/>
  <c r="O2421" i="1"/>
  <c r="M2421" i="1"/>
  <c r="T2420" i="1"/>
  <c r="O2420" i="1"/>
  <c r="M2420" i="1"/>
  <c r="T2419" i="1"/>
  <c r="O2419" i="1"/>
  <c r="M2419" i="1"/>
  <c r="T2418" i="1"/>
  <c r="O2418" i="1"/>
  <c r="M2418" i="1"/>
  <c r="T2417" i="1"/>
  <c r="O2417" i="1"/>
  <c r="M2417" i="1"/>
  <c r="M2416" i="1"/>
  <c r="E2416" i="1"/>
  <c r="M2415" i="1"/>
  <c r="E2415" i="1"/>
  <c r="M2414" i="1"/>
  <c r="E2414" i="1"/>
  <c r="M2413" i="1"/>
  <c r="E2413" i="1"/>
  <c r="M2412" i="1"/>
  <c r="E2412" i="1"/>
  <c r="M2411" i="1"/>
  <c r="E2411" i="1"/>
  <c r="M2410" i="1"/>
  <c r="E2410" i="1"/>
  <c r="M2409" i="1"/>
  <c r="E2409" i="1"/>
  <c r="M2408" i="1"/>
  <c r="E2408" i="1"/>
  <c r="M2407" i="1"/>
  <c r="E2407" i="1"/>
  <c r="M2406" i="1"/>
  <c r="E2406" i="1"/>
  <c r="M2405" i="1"/>
  <c r="E2405" i="1"/>
  <c r="M2404" i="1"/>
  <c r="E2404" i="1"/>
  <c r="M2403" i="1"/>
  <c r="E2403" i="1"/>
  <c r="M2402" i="1"/>
  <c r="E2402" i="1"/>
  <c r="M2401" i="1"/>
  <c r="E2401" i="1"/>
  <c r="M2400" i="1"/>
  <c r="E2400" i="1"/>
  <c r="M2399" i="1"/>
  <c r="E2399" i="1"/>
  <c r="M2398" i="1"/>
  <c r="E2398" i="1"/>
  <c r="M2397" i="1"/>
  <c r="E2397" i="1"/>
  <c r="M2395" i="1"/>
  <c r="E2395" i="1"/>
  <c r="M2394" i="1"/>
  <c r="E2394" i="1"/>
  <c r="M2393" i="1"/>
  <c r="E2393" i="1"/>
  <c r="M2392" i="1"/>
  <c r="E2392" i="1"/>
  <c r="M2391" i="1"/>
  <c r="E2391" i="1"/>
  <c r="M2390" i="1"/>
  <c r="E2390" i="1"/>
  <c r="M2389" i="1"/>
  <c r="E2389" i="1"/>
  <c r="M2388" i="1"/>
  <c r="E2388" i="1"/>
  <c r="M2387" i="1"/>
  <c r="M2384" i="1"/>
  <c r="E2384" i="1"/>
  <c r="M2383" i="1"/>
  <c r="E2383" i="1"/>
  <c r="M2382" i="1"/>
  <c r="E2382" i="1"/>
  <c r="M2381" i="1"/>
  <c r="E2381" i="1"/>
  <c r="M2380" i="1"/>
  <c r="E2380" i="1"/>
  <c r="M2379" i="1"/>
  <c r="E2379" i="1"/>
  <c r="M2378" i="1"/>
  <c r="E2378" i="1"/>
  <c r="M2377" i="1"/>
  <c r="E2377" i="1"/>
  <c r="M2376" i="1"/>
  <c r="E2376" i="1"/>
  <c r="M2375" i="1"/>
  <c r="E2375" i="1"/>
  <c r="M2374" i="1"/>
  <c r="E2374" i="1"/>
  <c r="M2373" i="1"/>
  <c r="E2373" i="1"/>
  <c r="M2372" i="1"/>
  <c r="E2372" i="1"/>
  <c r="M2371" i="1"/>
  <c r="E2371" i="1"/>
  <c r="M2370" i="1"/>
  <c r="E2370" i="1"/>
  <c r="M2369" i="1"/>
  <c r="E2369" i="1"/>
  <c r="M2368" i="1"/>
  <c r="E2368" i="1"/>
  <c r="M2367" i="1"/>
  <c r="E2367" i="1"/>
  <c r="M2366" i="1"/>
  <c r="E2366" i="1"/>
  <c r="M2365" i="1"/>
  <c r="E2365" i="1"/>
  <c r="M2364" i="1"/>
  <c r="E2364" i="1"/>
  <c r="M2363" i="1"/>
  <c r="E2363" i="1"/>
  <c r="M2362" i="1"/>
  <c r="E2362" i="1"/>
  <c r="M2361" i="1"/>
  <c r="E2361" i="1"/>
  <c r="M2360" i="1"/>
  <c r="E2360" i="1"/>
  <c r="M2359" i="1"/>
  <c r="E2359" i="1"/>
  <c r="M2358" i="1"/>
  <c r="E2358" i="1"/>
  <c r="M2357" i="1"/>
  <c r="E2357" i="1"/>
  <c r="M2356" i="1"/>
  <c r="E2356" i="1"/>
  <c r="M2355" i="1"/>
  <c r="E2355" i="1"/>
  <c r="M2354" i="1"/>
  <c r="E2354" i="1"/>
  <c r="M2353" i="1"/>
  <c r="E2353" i="1"/>
  <c r="M2352" i="1"/>
  <c r="E2352" i="1"/>
  <c r="M2351" i="1"/>
  <c r="E2351" i="1"/>
  <c r="M2350" i="1"/>
  <c r="E2350" i="1"/>
  <c r="M2349" i="1"/>
  <c r="E2349" i="1"/>
  <c r="M2348" i="1"/>
  <c r="E2348" i="1"/>
  <c r="M2347" i="1"/>
  <c r="E2347" i="1"/>
  <c r="M2346" i="1"/>
  <c r="E2346" i="1"/>
  <c r="M2345" i="1"/>
  <c r="E2345" i="1"/>
  <c r="M2344" i="1"/>
  <c r="E2344" i="1"/>
  <c r="M2343" i="1"/>
  <c r="E2343" i="1"/>
  <c r="M2342" i="1"/>
  <c r="E2342" i="1"/>
  <c r="M2341" i="1"/>
  <c r="E2341" i="1"/>
  <c r="M2340" i="1"/>
  <c r="E2340" i="1"/>
  <c r="M2339" i="1"/>
  <c r="M2338" i="1"/>
  <c r="E2338" i="1"/>
  <c r="M2337" i="1"/>
  <c r="E2337" i="1"/>
  <c r="M2336" i="1"/>
  <c r="E2336" i="1"/>
  <c r="M2335" i="1"/>
  <c r="E2335" i="1"/>
  <c r="M2334" i="1"/>
  <c r="E2334" i="1"/>
  <c r="M2333" i="1"/>
  <c r="E2333" i="1"/>
  <c r="M2332" i="1"/>
  <c r="E2332" i="1"/>
  <c r="M2331" i="1"/>
  <c r="M2330" i="1"/>
  <c r="M2329" i="1"/>
  <c r="M2328" i="1"/>
  <c r="E2328" i="1"/>
  <c r="E2323" i="1" s="1"/>
  <c r="M2327" i="1"/>
  <c r="M2326" i="1"/>
  <c r="M2325" i="1"/>
  <c r="M2324" i="1"/>
  <c r="M2323" i="1"/>
  <c r="M2322" i="1"/>
  <c r="E2322" i="1"/>
  <c r="M2321" i="1"/>
  <c r="E2321" i="1"/>
  <c r="M2320" i="1"/>
  <c r="E2320" i="1"/>
  <c r="M2319" i="1"/>
  <c r="E2319" i="1"/>
  <c r="M2318" i="1"/>
  <c r="E2318" i="1"/>
  <c r="M2317" i="1"/>
  <c r="E2317" i="1"/>
  <c r="M2316" i="1"/>
  <c r="E2316" i="1"/>
  <c r="M2315" i="1"/>
  <c r="E2315" i="1"/>
  <c r="M2314" i="1"/>
  <c r="E2314" i="1"/>
  <c r="M2313" i="1"/>
  <c r="E2313" i="1"/>
  <c r="M2312" i="1"/>
  <c r="E2312" i="1"/>
  <c r="M2311" i="1"/>
  <c r="E2311" i="1"/>
  <c r="M2310" i="1"/>
  <c r="E2310" i="1"/>
  <c r="M2309" i="1"/>
  <c r="E2309" i="1"/>
  <c r="M2308" i="1"/>
  <c r="E2308" i="1"/>
  <c r="M2307" i="1"/>
  <c r="E2307" i="1"/>
  <c r="M2306" i="1"/>
  <c r="E2306" i="1"/>
  <c r="M2305" i="1"/>
  <c r="E2305" i="1"/>
  <c r="M2304" i="1"/>
  <c r="E2304" i="1"/>
  <c r="M2303" i="1"/>
  <c r="E2303" i="1"/>
  <c r="M2302" i="1"/>
  <c r="E2302" i="1"/>
  <c r="M2301" i="1"/>
  <c r="E2301" i="1"/>
  <c r="M2300" i="1"/>
  <c r="E2300" i="1"/>
  <c r="M2299" i="1"/>
  <c r="E2299" i="1"/>
  <c r="M2298" i="1"/>
  <c r="E2298" i="1"/>
  <c r="M2297" i="1"/>
  <c r="E2297" i="1"/>
  <c r="M2296" i="1"/>
  <c r="E2296" i="1"/>
  <c r="M2295" i="1"/>
  <c r="E2295" i="1"/>
  <c r="M2294" i="1"/>
  <c r="E2294" i="1"/>
  <c r="M2293" i="1"/>
  <c r="E2293" i="1"/>
  <c r="M2292" i="1"/>
  <c r="E2292" i="1"/>
  <c r="M2291" i="1"/>
  <c r="E2291" i="1"/>
  <c r="M2290" i="1"/>
  <c r="E2290" i="1"/>
  <c r="M2289" i="1"/>
  <c r="E2289" i="1"/>
  <c r="M2288" i="1"/>
  <c r="E2288" i="1"/>
  <c r="M2287" i="1"/>
  <c r="E2287" i="1"/>
  <c r="M2286" i="1"/>
  <c r="E2286" i="1"/>
  <c r="M2285" i="1"/>
  <c r="E2285" i="1"/>
  <c r="M2284" i="1"/>
  <c r="E2284" i="1"/>
  <c r="M2283" i="1"/>
  <c r="E2283" i="1"/>
  <c r="M2282" i="1"/>
  <c r="E2282" i="1"/>
  <c r="M2281" i="1"/>
  <c r="E2281" i="1"/>
  <c r="M2280" i="1"/>
  <c r="E2280" i="1"/>
  <c r="M2279" i="1"/>
  <c r="E2279" i="1"/>
  <c r="M2278" i="1"/>
  <c r="E2278" i="1"/>
  <c r="M2277" i="1"/>
  <c r="E2277" i="1"/>
  <c r="M2276" i="1"/>
  <c r="E2276" i="1"/>
  <c r="M2275" i="1"/>
  <c r="E2275" i="1"/>
  <c r="M2274" i="1"/>
  <c r="E2274" i="1"/>
  <c r="M2273" i="1"/>
  <c r="E2273" i="1"/>
  <c r="M2272" i="1"/>
  <c r="E2272" i="1"/>
  <c r="M2271" i="1"/>
  <c r="E2271" i="1"/>
  <c r="M2270" i="1"/>
  <c r="E2270" i="1"/>
  <c r="M2269" i="1"/>
  <c r="E2269" i="1"/>
  <c r="M2268" i="1"/>
  <c r="E2268" i="1"/>
  <c r="M2267" i="1"/>
  <c r="E2267" i="1"/>
  <c r="M2266" i="1"/>
  <c r="E2266" i="1"/>
  <c r="M2265" i="1"/>
  <c r="E2265" i="1"/>
  <c r="M2264" i="1"/>
  <c r="E2264" i="1"/>
  <c r="M2263" i="1"/>
  <c r="E2263" i="1"/>
  <c r="M2262" i="1"/>
  <c r="E2262" i="1"/>
  <c r="M2261" i="1"/>
  <c r="E2261" i="1"/>
  <c r="M2260" i="1"/>
  <c r="E2260" i="1"/>
  <c r="M2259" i="1"/>
  <c r="E2259" i="1"/>
  <c r="M2258" i="1"/>
  <c r="E2258" i="1"/>
  <c r="M2257" i="1"/>
  <c r="E2257" i="1"/>
  <c r="M2256" i="1"/>
  <c r="E2256" i="1"/>
  <c r="M2255" i="1"/>
  <c r="E2255" i="1"/>
  <c r="M2254" i="1"/>
  <c r="E2254" i="1"/>
  <c r="M2253" i="1"/>
  <c r="E2253" i="1"/>
  <c r="M2252" i="1"/>
  <c r="E2252" i="1"/>
  <c r="M2251" i="1"/>
  <c r="E2251" i="1"/>
  <c r="M2250" i="1"/>
  <c r="E2250" i="1"/>
  <c r="M2249" i="1"/>
  <c r="E2249" i="1"/>
  <c r="M2248" i="1"/>
  <c r="E2248" i="1"/>
  <c r="M2247" i="1"/>
  <c r="E2247" i="1"/>
  <c r="M2246" i="1"/>
  <c r="E2246" i="1"/>
  <c r="M2245" i="1"/>
  <c r="E2245" i="1"/>
  <c r="M2244" i="1"/>
  <c r="E2244" i="1"/>
  <c r="M2243" i="1"/>
  <c r="E2243" i="1"/>
  <c r="M2242" i="1"/>
  <c r="E2242" i="1"/>
  <c r="M2241" i="1"/>
  <c r="E2241" i="1"/>
  <c r="M2240" i="1"/>
  <c r="E2240" i="1"/>
  <c r="M2239" i="1"/>
  <c r="E2239" i="1"/>
  <c r="M2238" i="1"/>
  <c r="E2238" i="1"/>
  <c r="M2237" i="1"/>
  <c r="E2237" i="1"/>
  <c r="M2236" i="1"/>
  <c r="E2236" i="1"/>
  <c r="M2235" i="1"/>
  <c r="E2235" i="1"/>
  <c r="M2234" i="1"/>
  <c r="E2234" i="1"/>
  <c r="M2233" i="1"/>
  <c r="E2233" i="1"/>
  <c r="M2232" i="1"/>
  <c r="E2232" i="1"/>
  <c r="M2231" i="1"/>
  <c r="E2231" i="1"/>
  <c r="M2230" i="1"/>
  <c r="E2230" i="1"/>
  <c r="I1814" i="1" l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M1438" i="1"/>
  <c r="E1438" i="1"/>
  <c r="E1437" i="1"/>
  <c r="M1436" i="1"/>
  <c r="E1436" i="1"/>
  <c r="E1435" i="1"/>
  <c r="M1434" i="1"/>
  <c r="E1434" i="1"/>
  <c r="E1433" i="1"/>
  <c r="E1432" i="1"/>
  <c r="E1431" i="1"/>
  <c r="E1430" i="1"/>
  <c r="E1429" i="1"/>
  <c r="M1428" i="1"/>
  <c r="E1428" i="1"/>
  <c r="E1427" i="1"/>
  <c r="E1426" i="1"/>
  <c r="E1425" i="1"/>
  <c r="E1424" i="1"/>
  <c r="E1423" i="1"/>
  <c r="M1422" i="1"/>
  <c r="E1422" i="1"/>
  <c r="E1421" i="1"/>
  <c r="E1420" i="1"/>
  <c r="E1419" i="1"/>
  <c r="M1418" i="1"/>
  <c r="E1418" i="1"/>
  <c r="E1417" i="1"/>
  <c r="E1416" i="1"/>
  <c r="E1415" i="1"/>
  <c r="E1414" i="1"/>
  <c r="M1413" i="1"/>
  <c r="E1413" i="1"/>
  <c r="E1412" i="1"/>
  <c r="E1411" i="1"/>
  <c r="E1410" i="1"/>
  <c r="E1409" i="1"/>
  <c r="E1408" i="1"/>
  <c r="E1407" i="1"/>
  <c r="E1406" i="1"/>
  <c r="M1405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M1380" i="1"/>
  <c r="E1380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M1357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M1334" i="1"/>
  <c r="E1334" i="1"/>
  <c r="M1333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M1317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M1301" i="1"/>
  <c r="E1301" i="1"/>
  <c r="E1300" i="1"/>
  <c r="E1299" i="1"/>
  <c r="E1298" i="1"/>
  <c r="M1297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M1276" i="1"/>
  <c r="E1276" i="1"/>
  <c r="E1275" i="1"/>
  <c r="E1274" i="1"/>
  <c r="M1273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M1253" i="1"/>
  <c r="E1253" i="1"/>
  <c r="E1252" i="1"/>
  <c r="E1251" i="1"/>
  <c r="E1250" i="1"/>
  <c r="M1249" i="1"/>
  <c r="E1249" i="1"/>
  <c r="M1248" i="1"/>
  <c r="E1248" i="1"/>
  <c r="E1247" i="1"/>
  <c r="E1246" i="1"/>
  <c r="E1245" i="1"/>
  <c r="E1244" i="1"/>
  <c r="E1243" i="1"/>
  <c r="M1242" i="1"/>
  <c r="E1242" i="1"/>
  <c r="E1241" i="1"/>
  <c r="E1240" i="1"/>
  <c r="E1239" i="1"/>
  <c r="E1238" i="1"/>
  <c r="E1237" i="1"/>
  <c r="E1236" i="1"/>
  <c r="E1235" i="1"/>
  <c r="E1234" i="1"/>
  <c r="E1233" i="1"/>
  <c r="E1232" i="1"/>
  <c r="M1231" i="1"/>
  <c r="E1231" i="1"/>
  <c r="E1230" i="1"/>
  <c r="E1229" i="1"/>
  <c r="E1228" i="1"/>
  <c r="M1227" i="1"/>
  <c r="E1227" i="1"/>
  <c r="M1226" i="1"/>
  <c r="E1226" i="1"/>
  <c r="E1225" i="1"/>
  <c r="E1224" i="1"/>
  <c r="E1223" i="1"/>
  <c r="M1222" i="1"/>
  <c r="E1222" i="1"/>
  <c r="M1221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M1197" i="1"/>
  <c r="E1197" i="1"/>
  <c r="M1196" i="1"/>
  <c r="E1196" i="1"/>
  <c r="M1195" i="1"/>
  <c r="E1195" i="1"/>
  <c r="E1194" i="1"/>
  <c r="E1193" i="1"/>
  <c r="E1192" i="1"/>
  <c r="E1191" i="1"/>
  <c r="E1190" i="1"/>
  <c r="M1189" i="1"/>
  <c r="E1189" i="1"/>
  <c r="E1188" i="1"/>
  <c r="E1187" i="1"/>
  <c r="M1186" i="1"/>
  <c r="E1186" i="1"/>
  <c r="M1185" i="1"/>
  <c r="E1185" i="1"/>
  <c r="M1184" i="1"/>
  <c r="E1184" i="1"/>
  <c r="E1183" i="1"/>
  <c r="E1182" i="1"/>
  <c r="E1181" i="1"/>
  <c r="M1180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M1153" i="1"/>
  <c r="E1153" i="1"/>
  <c r="E1152" i="1"/>
  <c r="E1151" i="1"/>
  <c r="E1150" i="1"/>
  <c r="E1149" i="1"/>
  <c r="E1148" i="1"/>
  <c r="E1147" i="1"/>
  <c r="E1146" i="1"/>
  <c r="E1145" i="1"/>
  <c r="E1144" i="1"/>
  <c r="M1143" i="1"/>
  <c r="E1143" i="1"/>
  <c r="E1142" i="1"/>
  <c r="M1141" i="1"/>
  <c r="E1141" i="1"/>
  <c r="M1140" i="1"/>
  <c r="M1139" i="1"/>
  <c r="M1138" i="1"/>
  <c r="M1137" i="1"/>
  <c r="M1136" i="1"/>
  <c r="M1135" i="1"/>
  <c r="M1134" i="1"/>
  <c r="M1133" i="1"/>
  <c r="M1132" i="1"/>
  <c r="M1131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M1102" i="1"/>
  <c r="E1102" i="1"/>
  <c r="M1101" i="1"/>
  <c r="E1101" i="1"/>
  <c r="M1100" i="1"/>
  <c r="E1100" i="1"/>
  <c r="M1099" i="1"/>
  <c r="E1099" i="1"/>
  <c r="M1098" i="1"/>
  <c r="E1098" i="1"/>
  <c r="M1097" i="1"/>
  <c r="E1097" i="1"/>
  <c r="M1096" i="1"/>
  <c r="E1096" i="1"/>
  <c r="M1095" i="1"/>
  <c r="E1095" i="1"/>
  <c r="M1094" i="1"/>
  <c r="E1094" i="1"/>
  <c r="M1093" i="1"/>
  <c r="E1093" i="1"/>
  <c r="M1092" i="1"/>
  <c r="E1092" i="1"/>
  <c r="M1091" i="1"/>
  <c r="E1091" i="1"/>
  <c r="M1090" i="1"/>
  <c r="E1090" i="1"/>
  <c r="M1089" i="1"/>
  <c r="E1089" i="1"/>
  <c r="M1088" i="1"/>
  <c r="E1088" i="1"/>
  <c r="M1087" i="1"/>
  <c r="E1087" i="1"/>
  <c r="M1086" i="1"/>
  <c r="E1086" i="1"/>
  <c r="M1085" i="1"/>
  <c r="E1085" i="1"/>
  <c r="M1084" i="1"/>
  <c r="E1084" i="1"/>
  <c r="M1083" i="1"/>
  <c r="E1083" i="1"/>
  <c r="M1082" i="1"/>
  <c r="E1082" i="1"/>
  <c r="M1081" i="1"/>
  <c r="E1081" i="1"/>
  <c r="M1080" i="1"/>
  <c r="E1080" i="1"/>
  <c r="M1079" i="1"/>
  <c r="E1079" i="1"/>
  <c r="M1078" i="1"/>
  <c r="E1078" i="1"/>
  <c r="M1077" i="1"/>
  <c r="E1077" i="1"/>
  <c r="M1076" i="1"/>
  <c r="E1076" i="1"/>
  <c r="M1075" i="1"/>
  <c r="E1075" i="1"/>
  <c r="M1074" i="1"/>
  <c r="E1074" i="1"/>
  <c r="M1073" i="1"/>
  <c r="E1073" i="1"/>
  <c r="M1072" i="1"/>
  <c r="E1072" i="1"/>
  <c r="M1071" i="1"/>
  <c r="E1071" i="1"/>
  <c r="M1070" i="1"/>
  <c r="E1070" i="1"/>
  <c r="M1069" i="1"/>
  <c r="E1069" i="1"/>
  <c r="M1068" i="1"/>
  <c r="E1068" i="1"/>
  <c r="M1067" i="1"/>
  <c r="E1067" i="1"/>
  <c r="M1066" i="1"/>
  <c r="E1066" i="1"/>
  <c r="M1065" i="1"/>
  <c r="E1065" i="1"/>
  <c r="M1064" i="1"/>
  <c r="E1064" i="1"/>
  <c r="M1063" i="1"/>
  <c r="E1063" i="1"/>
  <c r="M1062" i="1"/>
  <c r="E1062" i="1"/>
  <c r="M1061" i="1"/>
  <c r="E1061" i="1"/>
  <c r="M1060" i="1"/>
  <c r="E1060" i="1"/>
  <c r="M1059" i="1"/>
  <c r="E1059" i="1"/>
  <c r="M1058" i="1"/>
  <c r="E1058" i="1"/>
  <c r="M1057" i="1"/>
  <c r="E1057" i="1"/>
  <c r="M1056" i="1"/>
  <c r="E1056" i="1"/>
  <c r="M1055" i="1"/>
  <c r="E1055" i="1"/>
  <c r="M1054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M1036" i="1"/>
  <c r="E1036" i="1"/>
  <c r="E1035" i="1"/>
  <c r="E1034" i="1"/>
  <c r="E1033" i="1"/>
  <c r="K1032" i="1"/>
  <c r="M1032" i="1" s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M1020" i="1"/>
  <c r="E1020" i="1"/>
  <c r="E1019" i="1"/>
  <c r="E1018" i="1"/>
  <c r="E1017" i="1"/>
  <c r="M1016" i="1"/>
  <c r="E1016" i="1"/>
  <c r="E1015" i="1"/>
  <c r="E1014" i="1"/>
  <c r="E1013" i="1"/>
  <c r="M1012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M994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M976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M959" i="1"/>
  <c r="E959" i="1"/>
  <c r="E958" i="1"/>
  <c r="E957" i="1"/>
  <c r="E956" i="1"/>
  <c r="E955" i="1"/>
  <c r="E954" i="1"/>
  <c r="E953" i="1"/>
  <c r="E952" i="1"/>
  <c r="M951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M914" i="1"/>
  <c r="E914" i="1"/>
  <c r="M913" i="1"/>
  <c r="E913" i="1"/>
  <c r="M912" i="1"/>
  <c r="E912" i="1"/>
  <c r="M911" i="1"/>
  <c r="E911" i="1"/>
  <c r="M910" i="1"/>
  <c r="E910" i="1"/>
  <c r="M909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M856" i="1"/>
  <c r="E856" i="1"/>
  <c r="E855" i="1"/>
  <c r="E854" i="1"/>
  <c r="E853" i="1"/>
  <c r="E852" i="1"/>
  <c r="E851" i="1"/>
  <c r="M850" i="1"/>
  <c r="E850" i="1"/>
  <c r="E849" i="1"/>
  <c r="E848" i="1"/>
  <c r="E847" i="1"/>
  <c r="E846" i="1"/>
  <c r="M845" i="1"/>
  <c r="E845" i="1"/>
  <c r="E844" i="1"/>
  <c r="E843" i="1"/>
  <c r="E842" i="1"/>
  <c r="M841" i="1"/>
  <c r="E841" i="1"/>
  <c r="M840" i="1"/>
  <c r="E840" i="1"/>
  <c r="M839" i="1"/>
  <c r="E839" i="1"/>
  <c r="M837" i="1"/>
  <c r="E837" i="1"/>
  <c r="E836" i="1"/>
  <c r="E835" i="1"/>
  <c r="E834" i="1"/>
  <c r="K833" i="1"/>
  <c r="M833" i="1" s="1"/>
  <c r="E833" i="1"/>
  <c r="M832" i="1"/>
  <c r="E832" i="1"/>
  <c r="M831" i="1"/>
  <c r="E831" i="1"/>
  <c r="M830" i="1"/>
  <c r="E830" i="1"/>
  <c r="D829" i="1"/>
  <c r="E829" i="1" s="1"/>
  <c r="D828" i="1"/>
  <c r="E828" i="1" s="1"/>
  <c r="M827" i="1"/>
  <c r="D827" i="1"/>
  <c r="E827" i="1" s="1"/>
  <c r="E826" i="1"/>
  <c r="E825" i="1"/>
  <c r="E824" i="1"/>
  <c r="E823" i="1"/>
  <c r="E822" i="1"/>
  <c r="E821" i="1"/>
  <c r="M820" i="1"/>
  <c r="E820" i="1"/>
  <c r="E819" i="1"/>
  <c r="M818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M798" i="1"/>
  <c r="E798" i="1"/>
  <c r="M795" i="1"/>
  <c r="M794" i="1"/>
  <c r="E794" i="1"/>
  <c r="E793" i="1"/>
  <c r="E792" i="1"/>
  <c r="M791" i="1"/>
  <c r="E791" i="1"/>
  <c r="E790" i="1"/>
  <c r="E789" i="1"/>
  <c r="M788" i="1"/>
  <c r="E788" i="1"/>
  <c r="E787" i="1"/>
  <c r="M786" i="1"/>
  <c r="E786" i="1"/>
  <c r="E785" i="1"/>
  <c r="E784" i="1"/>
  <c r="E783" i="1"/>
  <c r="E782" i="1"/>
  <c r="E781" i="1"/>
  <c r="E780" i="1"/>
  <c r="E779" i="1"/>
  <c r="E778" i="1"/>
  <c r="E777" i="1"/>
  <c r="M776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M759" i="1"/>
  <c r="E759" i="1"/>
  <c r="E758" i="1"/>
  <c r="E757" i="1"/>
  <c r="M756" i="1"/>
  <c r="E756" i="1"/>
  <c r="M755" i="1"/>
  <c r="E755" i="1"/>
  <c r="M754" i="1"/>
  <c r="E754" i="1"/>
  <c r="E753" i="1"/>
  <c r="E752" i="1"/>
  <c r="E751" i="1"/>
  <c r="E750" i="1"/>
  <c r="E749" i="1"/>
  <c r="E748" i="1"/>
  <c r="E747" i="1"/>
  <c r="E746" i="1"/>
  <c r="E745" i="1"/>
  <c r="M744" i="1"/>
  <c r="E744" i="1"/>
  <c r="E743" i="1"/>
  <c r="E742" i="1"/>
  <c r="M741" i="1"/>
  <c r="E741" i="1"/>
  <c r="E740" i="1"/>
  <c r="E739" i="1"/>
  <c r="E738" i="1"/>
  <c r="E737" i="1"/>
  <c r="E736" i="1"/>
  <c r="E735" i="1"/>
  <c r="E734" i="1"/>
  <c r="E733" i="1"/>
  <c r="E732" i="1"/>
  <c r="M731" i="1"/>
  <c r="E731" i="1"/>
  <c r="E730" i="1"/>
  <c r="E729" i="1"/>
  <c r="E728" i="1"/>
  <c r="E727" i="1"/>
  <c r="E726" i="1"/>
  <c r="E725" i="1"/>
  <c r="E724" i="1"/>
  <c r="E723" i="1"/>
  <c r="E722" i="1"/>
  <c r="M721" i="1"/>
  <c r="E721" i="1"/>
  <c r="E720" i="1"/>
  <c r="E719" i="1"/>
  <c r="E718" i="1"/>
  <c r="E717" i="1"/>
  <c r="E716" i="1"/>
  <c r="E715" i="1"/>
  <c r="E714" i="1"/>
  <c r="E713" i="1"/>
  <c r="M712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M692" i="1"/>
  <c r="E692" i="1"/>
  <c r="E691" i="1"/>
  <c r="E690" i="1"/>
  <c r="E689" i="1"/>
  <c r="E688" i="1"/>
  <c r="E687" i="1"/>
  <c r="E686" i="1"/>
  <c r="E685" i="1"/>
  <c r="E684" i="1"/>
  <c r="E683" i="1"/>
  <c r="E682" i="1"/>
  <c r="M681" i="1"/>
  <c r="E681" i="1"/>
  <c r="M680" i="1"/>
  <c r="E680" i="1"/>
  <c r="M679" i="1"/>
  <c r="E679" i="1"/>
  <c r="E678" i="1"/>
  <c r="M677" i="1"/>
  <c r="E677" i="1"/>
  <c r="M676" i="1"/>
  <c r="E676" i="1"/>
  <c r="E675" i="1"/>
  <c r="E674" i="1"/>
  <c r="M673" i="1"/>
  <c r="E673" i="1"/>
  <c r="E672" i="1"/>
  <c r="E671" i="1"/>
  <c r="E670" i="1"/>
  <c r="E669" i="1"/>
  <c r="E668" i="1"/>
  <c r="M667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M651" i="1"/>
  <c r="E651" i="1"/>
  <c r="E650" i="1"/>
  <c r="E649" i="1"/>
  <c r="M648" i="1"/>
  <c r="E648" i="1"/>
  <c r="E647" i="1"/>
  <c r="E646" i="1"/>
  <c r="M645" i="1"/>
  <c r="E645" i="1"/>
  <c r="E644" i="1"/>
  <c r="E643" i="1"/>
  <c r="E642" i="1"/>
  <c r="E641" i="1"/>
  <c r="E640" i="1"/>
  <c r="M639" i="1"/>
  <c r="E639" i="1"/>
  <c r="E638" i="1"/>
  <c r="E637" i="1"/>
  <c r="E636" i="1"/>
  <c r="E635" i="1"/>
  <c r="E634" i="1"/>
  <c r="M633" i="1"/>
  <c r="E633" i="1"/>
  <c r="E632" i="1"/>
  <c r="E631" i="1"/>
  <c r="E630" i="1"/>
  <c r="E629" i="1"/>
  <c r="E628" i="1"/>
  <c r="E627" i="1"/>
  <c r="M626" i="1"/>
  <c r="E626" i="1"/>
  <c r="M625" i="1"/>
  <c r="E625" i="1"/>
  <c r="O624" i="1"/>
  <c r="O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O599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O557" i="1"/>
  <c r="F557" i="1"/>
  <c r="F556" i="1"/>
  <c r="F555" i="1"/>
  <c r="F554" i="1"/>
  <c r="F553" i="1"/>
  <c r="F552" i="1"/>
  <c r="F551" i="1"/>
  <c r="F550" i="1"/>
  <c r="F549" i="1"/>
  <c r="F548" i="1"/>
  <c r="O547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O527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O515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O491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O479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O457" i="1"/>
  <c r="F457" i="1"/>
  <c r="O456" i="1"/>
  <c r="O454" i="1"/>
  <c r="F454" i="1"/>
  <c r="O453" i="1"/>
  <c r="F453" i="1"/>
  <c r="F452" i="1"/>
  <c r="F451" i="1"/>
  <c r="F450" i="1"/>
  <c r="F449" i="1"/>
  <c r="F448" i="1"/>
  <c r="F447" i="1"/>
  <c r="F446" i="1"/>
  <c r="O445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O429" i="1"/>
  <c r="F429" i="1"/>
  <c r="O428" i="1"/>
  <c r="F428" i="1"/>
  <c r="O427" i="1"/>
  <c r="F427" i="1"/>
  <c r="F426" i="1"/>
  <c r="F425" i="1"/>
  <c r="F424" i="1"/>
  <c r="F423" i="1"/>
  <c r="F422" i="1"/>
  <c r="F421" i="1"/>
  <c r="F420" i="1"/>
  <c r="F419" i="1"/>
  <c r="O418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O402" i="1"/>
  <c r="F402" i="1"/>
  <c r="F401" i="1"/>
  <c r="F400" i="1"/>
  <c r="F399" i="1"/>
  <c r="F398" i="1"/>
  <c r="F397" i="1"/>
  <c r="F396" i="1"/>
  <c r="F395" i="1"/>
  <c r="F394" i="1"/>
  <c r="O393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O375" i="1"/>
  <c r="F375" i="1"/>
  <c r="F374" i="1"/>
  <c r="F373" i="1"/>
  <c r="F372" i="1"/>
  <c r="F371" i="1"/>
  <c r="O370" i="1"/>
  <c r="F370" i="1"/>
  <c r="F369" i="1"/>
  <c r="F368" i="1"/>
  <c r="F367" i="1"/>
  <c r="F366" i="1"/>
  <c r="F365" i="1"/>
  <c r="F364" i="1"/>
  <c r="F363" i="1"/>
  <c r="O362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O346" i="1"/>
  <c r="F346" i="1"/>
  <c r="O345" i="1"/>
  <c r="F345" i="1"/>
  <c r="F344" i="1"/>
  <c r="O343" i="1"/>
  <c r="F343" i="1"/>
  <c r="F342" i="1"/>
  <c r="F341" i="1"/>
  <c r="F340" i="1"/>
  <c r="F339" i="1"/>
  <c r="O338" i="1"/>
  <c r="F338" i="1"/>
  <c r="F337" i="1"/>
  <c r="F336" i="1"/>
  <c r="F335" i="1"/>
  <c r="F334" i="1"/>
  <c r="F333" i="1"/>
  <c r="F332" i="1"/>
  <c r="F331" i="1"/>
  <c r="F330" i="1"/>
  <c r="F329" i="1"/>
  <c r="O328" i="1"/>
  <c r="F328" i="1"/>
  <c r="O327" i="1"/>
  <c r="F327" i="1"/>
  <c r="F326" i="1"/>
  <c r="F325" i="1"/>
  <c r="F324" i="1"/>
  <c r="F323" i="1"/>
  <c r="F322" i="1"/>
  <c r="F321" i="1"/>
  <c r="F320" i="1"/>
  <c r="F319" i="1"/>
  <c r="F318" i="1"/>
  <c r="O317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O297" i="1"/>
  <c r="F297" i="1"/>
  <c r="O296" i="1"/>
  <c r="F296" i="1"/>
  <c r="O295" i="1"/>
  <c r="F295" i="1"/>
  <c r="E294" i="1"/>
  <c r="E293" i="1"/>
  <c r="M292" i="1"/>
  <c r="E292" i="1"/>
  <c r="E291" i="1"/>
  <c r="E290" i="1"/>
  <c r="E289" i="1"/>
  <c r="E288" i="1"/>
  <c r="E287" i="1"/>
  <c r="M286" i="1"/>
  <c r="E286" i="1"/>
  <c r="M285" i="1"/>
  <c r="E285" i="1"/>
  <c r="E284" i="1"/>
  <c r="E283" i="1"/>
  <c r="E282" i="1"/>
  <c r="M281" i="1"/>
  <c r="E281" i="1"/>
  <c r="E280" i="1"/>
  <c r="E279" i="1"/>
  <c r="E278" i="1"/>
  <c r="E277" i="1"/>
  <c r="E276" i="1"/>
  <c r="E275" i="1"/>
  <c r="E274" i="1"/>
  <c r="M273" i="1"/>
  <c r="E273" i="1"/>
  <c r="M272" i="1"/>
  <c r="E272" i="1"/>
  <c r="M271" i="1"/>
  <c r="E271" i="1"/>
  <c r="E270" i="1"/>
  <c r="M269" i="1"/>
  <c r="E269" i="1"/>
  <c r="E268" i="1"/>
  <c r="E267" i="1"/>
  <c r="E266" i="1"/>
  <c r="M265" i="1"/>
  <c r="E265" i="1"/>
  <c r="M262" i="1"/>
  <c r="E262" i="1"/>
  <c r="E261" i="1"/>
  <c r="E260" i="1"/>
  <c r="E259" i="1"/>
  <c r="E258" i="1"/>
  <c r="E257" i="1"/>
  <c r="E256" i="1"/>
  <c r="M255" i="1"/>
  <c r="E255" i="1"/>
  <c r="E254" i="1"/>
  <c r="E253" i="1"/>
  <c r="E252" i="1"/>
  <c r="E251" i="1"/>
  <c r="E250" i="1"/>
  <c r="E249" i="1"/>
  <c r="E248" i="1"/>
  <c r="E247" i="1"/>
  <c r="E246" i="1"/>
  <c r="M245" i="1"/>
  <c r="E245" i="1"/>
  <c r="M244" i="1"/>
  <c r="E244" i="1"/>
  <c r="M243" i="1"/>
  <c r="E243" i="1"/>
  <c r="M242" i="1"/>
  <c r="E242" i="1"/>
  <c r="E241" i="1"/>
  <c r="E240" i="1"/>
  <c r="E239" i="1"/>
  <c r="E238" i="1"/>
  <c r="E237" i="1"/>
  <c r="M236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M224" i="1"/>
  <c r="E224" i="1"/>
  <c r="M223" i="1"/>
  <c r="E223" i="1"/>
  <c r="E222" i="1"/>
  <c r="E221" i="1"/>
  <c r="M220" i="1"/>
  <c r="E220" i="1"/>
  <c r="E219" i="1"/>
  <c r="E218" i="1"/>
  <c r="E217" i="1"/>
  <c r="E216" i="1"/>
  <c r="E215" i="1"/>
  <c r="M214" i="1"/>
  <c r="E214" i="1"/>
  <c r="M213" i="1"/>
  <c r="E213" i="1"/>
  <c r="M212" i="1"/>
  <c r="E212" i="1"/>
  <c r="E211" i="1"/>
  <c r="E210" i="1"/>
  <c r="E209" i="1"/>
  <c r="E208" i="1"/>
  <c r="E207" i="1"/>
  <c r="M206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M194" i="1"/>
  <c r="E194" i="1"/>
  <c r="M193" i="1"/>
  <c r="E193" i="1"/>
  <c r="M192" i="1"/>
  <c r="E192" i="1"/>
  <c r="E191" i="1"/>
  <c r="E190" i="1"/>
  <c r="M189" i="1"/>
  <c r="E189" i="1"/>
  <c r="E188" i="1"/>
  <c r="E187" i="1"/>
  <c r="E186" i="1"/>
  <c r="M185" i="1"/>
  <c r="E185" i="1"/>
  <c r="M184" i="1"/>
  <c r="E184" i="1"/>
  <c r="M183" i="1"/>
  <c r="E183" i="1"/>
  <c r="M182" i="1"/>
  <c r="E182" i="1"/>
  <c r="E181" i="1"/>
  <c r="E180" i="1"/>
  <c r="E179" i="1"/>
  <c r="E178" i="1"/>
  <c r="E177" i="1"/>
  <c r="E176" i="1"/>
  <c r="M175" i="1"/>
  <c r="E175" i="1"/>
  <c r="E174" i="1"/>
  <c r="E173" i="1"/>
  <c r="E172" i="1"/>
  <c r="E171" i="1"/>
  <c r="M170" i="1"/>
  <c r="E170" i="1"/>
  <c r="M169" i="1"/>
  <c r="E169" i="1"/>
  <c r="M168" i="1"/>
  <c r="E168" i="1"/>
  <c r="E167" i="1"/>
  <c r="M166" i="1"/>
  <c r="E166" i="1"/>
  <c r="E165" i="1"/>
  <c r="E164" i="1"/>
  <c r="E163" i="1"/>
  <c r="E162" i="1"/>
  <c r="E161" i="1"/>
  <c r="M160" i="1"/>
  <c r="E160" i="1"/>
  <c r="M159" i="1"/>
  <c r="E159" i="1"/>
  <c r="E158" i="1"/>
  <c r="E157" i="1"/>
  <c r="E156" i="1"/>
  <c r="E155" i="1"/>
  <c r="M154" i="1"/>
  <c r="E154" i="1"/>
  <c r="M153" i="1"/>
  <c r="E153" i="1"/>
  <c r="M152" i="1"/>
  <c r="E152" i="1"/>
  <c r="E151" i="1"/>
  <c r="E150" i="1"/>
  <c r="M149" i="1"/>
  <c r="E149" i="1"/>
  <c r="E148" i="1"/>
  <c r="E147" i="1"/>
  <c r="E146" i="1"/>
  <c r="E145" i="1"/>
  <c r="M144" i="1"/>
  <c r="E144" i="1"/>
  <c r="E143" i="1"/>
  <c r="E142" i="1"/>
  <c r="E141" i="1"/>
  <c r="E140" i="1"/>
  <c r="E139" i="1"/>
  <c r="E138" i="1"/>
  <c r="M137" i="1"/>
  <c r="E137" i="1"/>
  <c r="E136" i="1"/>
  <c r="E135" i="1"/>
  <c r="E134" i="1"/>
  <c r="M133" i="1"/>
  <c r="E133" i="1"/>
  <c r="E132" i="1"/>
  <c r="E131" i="1"/>
  <c r="E130" i="1"/>
  <c r="E129" i="1"/>
  <c r="M128" i="1"/>
  <c r="E128" i="1"/>
  <c r="E127" i="1"/>
  <c r="E126" i="1"/>
  <c r="E125" i="1"/>
  <c r="E124" i="1"/>
  <c r="M123" i="1"/>
  <c r="E123" i="1"/>
  <c r="E122" i="1"/>
  <c r="E121" i="1"/>
  <c r="E120" i="1"/>
  <c r="E119" i="1"/>
  <c r="E118" i="1"/>
  <c r="E117" i="1"/>
  <c r="M116" i="1"/>
  <c r="E116" i="1"/>
  <c r="E115" i="1"/>
  <c r="E114" i="1"/>
  <c r="E113" i="1"/>
  <c r="E112" i="1"/>
  <c r="E111" i="1"/>
  <c r="E110" i="1"/>
  <c r="E109" i="1"/>
  <c r="E108" i="1"/>
  <c r="E107" i="1"/>
  <c r="E106" i="1"/>
  <c r="M105" i="1"/>
  <c r="E105" i="1"/>
  <c r="E104" i="1"/>
  <c r="E103" i="1"/>
  <c r="E102" i="1"/>
  <c r="E101" i="1"/>
  <c r="E100" i="1"/>
  <c r="E99" i="1"/>
  <c r="E98" i="1"/>
  <c r="E97" i="1"/>
  <c r="M96" i="1"/>
  <c r="E96" i="1"/>
  <c r="E95" i="1"/>
  <c r="M94" i="1"/>
  <c r="E94" i="1"/>
  <c r="M92" i="1"/>
  <c r="E91" i="1"/>
  <c r="M90" i="1"/>
  <c r="E90" i="1"/>
  <c r="E89" i="1"/>
  <c r="E88" i="1"/>
  <c r="M87" i="1"/>
  <c r="E87" i="1"/>
  <c r="E86" i="1"/>
  <c r="M85" i="1"/>
  <c r="E85" i="1"/>
  <c r="M83" i="1"/>
  <c r="E82" i="1"/>
  <c r="E81" i="1"/>
  <c r="M80" i="1"/>
  <c r="E80" i="1"/>
  <c r="E79" i="1"/>
  <c r="M78" i="1"/>
  <c r="E78" i="1"/>
  <c r="M77" i="1"/>
  <c r="E76" i="1"/>
  <c r="M75" i="1"/>
  <c r="E75" i="1"/>
  <c r="E74" i="1"/>
  <c r="M73" i="1"/>
  <c r="E73" i="1"/>
  <c r="M72" i="1"/>
  <c r="M71" i="1"/>
  <c r="M68" i="1"/>
  <c r="E67" i="1"/>
  <c r="M66" i="1"/>
  <c r="E66" i="1"/>
  <c r="M65" i="1"/>
  <c r="E65" i="1"/>
  <c r="M64" i="1"/>
  <c r="E64" i="1"/>
  <c r="M63" i="1"/>
  <c r="E63" i="1"/>
  <c r="E62" i="1"/>
  <c r="E61" i="1"/>
  <c r="E60" i="1"/>
  <c r="E59" i="1"/>
  <c r="M58" i="1"/>
  <c r="E58" i="1"/>
  <c r="E57" i="1"/>
  <c r="E56" i="1"/>
  <c r="E55" i="1"/>
  <c r="E54" i="1"/>
  <c r="M53" i="1"/>
  <c r="E53" i="1"/>
  <c r="M52" i="1"/>
  <c r="E52" i="1"/>
  <c r="E51" i="1"/>
  <c r="E50" i="1"/>
  <c r="E49" i="1"/>
  <c r="E48" i="1"/>
  <c r="M47" i="1"/>
  <c r="E47" i="1"/>
  <c r="M46" i="1"/>
  <c r="E46" i="1"/>
  <c r="E44" i="1"/>
  <c r="E43" i="1"/>
  <c r="E42" i="1"/>
  <c r="M41" i="1"/>
  <c r="E41" i="1"/>
  <c r="M40" i="1"/>
  <c r="E39" i="1"/>
  <c r="E38" i="1"/>
  <c r="E37" i="1"/>
  <c r="E36" i="1"/>
  <c r="M35" i="1"/>
  <c r="E35" i="1"/>
  <c r="M34" i="1"/>
  <c r="E33" i="1"/>
  <c r="E32" i="1"/>
  <c r="E31" i="1"/>
  <c r="E30" i="1"/>
  <c r="M29" i="1"/>
  <c r="E29" i="1"/>
  <c r="M26" i="1"/>
  <c r="E25" i="1"/>
  <c r="E24" i="1"/>
  <c r="E23" i="1"/>
  <c r="M22" i="1"/>
  <c r="E22" i="1"/>
  <c r="E21" i="1"/>
  <c r="E20" i="1"/>
  <c r="E19" i="1"/>
  <c r="E18" i="1"/>
  <c r="E17" i="1"/>
  <c r="M16" i="1"/>
  <c r="E16" i="1"/>
  <c r="E15" i="1"/>
  <c r="E14" i="1"/>
  <c r="E13" i="1"/>
  <c r="E12" i="1"/>
  <c r="E11" i="1"/>
  <c r="M10" i="1"/>
  <c r="E10" i="1"/>
  <c r="E9" i="1"/>
  <c r="E8" i="1"/>
  <c r="E7" i="1"/>
  <c r="E6" i="1"/>
  <c r="E5" i="1"/>
  <c r="M4" i="1"/>
  <c r="E4" i="1"/>
  <c r="M3" i="1"/>
  <c r="E3" i="1"/>
</calcChain>
</file>

<file path=xl/comments1.xml><?xml version="1.0" encoding="utf-8"?>
<comments xmlns="http://schemas.openxmlformats.org/spreadsheetml/2006/main">
  <authors>
    <author>Author</author>
  </authors>
  <commentList>
    <comment ref="D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เลขไม่ถูกต้องนะ</t>
        </r>
      </text>
    </comment>
    <comment ref="H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 เอาออกแล้ว</t>
        </r>
      </text>
    </comment>
    <comment ref="H1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ไม่มีแล้วเอาออกแล้ว</t>
        </r>
      </text>
    </comment>
    <comment ref="H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เอาออกไม่มีแล้ว</t>
        </r>
      </text>
    </comment>
    <comment ref="D1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<sst xmlns="http://schemas.openxmlformats.org/spreadsheetml/2006/main" count="21727" uniqueCount="5425">
  <si>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</si>
  <si>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</si>
  <si>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</si>
  <si>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</si>
  <si>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</si>
  <si>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</si>
  <si>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</si>
  <si>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</si>
  <si>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</si>
  <si>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</si>
  <si>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</si>
  <si>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</si>
  <si>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</si>
  <si>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</si>
  <si>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SX0</t>
  </si>
  <si>
    <t>Raw Material Unloading Hopper</t>
  </si>
  <si>
    <t>SX0-FI-EE</t>
  </si>
  <si>
    <t>Batch Mixer</t>
  </si>
  <si>
    <t>ตรวจเช็คกระแสไฟฟ้าทั้ง 3 เฟส Batch Mixer</t>
  </si>
  <si>
    <t>Schaaf Ext. run hr.</t>
  </si>
  <si>
    <t>001</t>
  </si>
  <si>
    <t>SX0-MI-EE</t>
  </si>
  <si>
    <t>ตรวจเช็คสภาพท่อร้อยสายไฟ ของ Raw Material Unloading Hopper</t>
  </si>
  <si>
    <t>Agitator</t>
  </si>
  <si>
    <t>ตรวจเช็คสภาพท่อร้อยสายไฟ ของ Batch Mixer</t>
  </si>
  <si>
    <t>Mixed Ingredient Hopper</t>
  </si>
  <si>
    <t>ตรวจเช็คสภาพท่อร้อยสายไฟ ของ Agitator</t>
  </si>
  <si>
    <t>Stirrer</t>
  </si>
  <si>
    <t>ตรวจเช็คสภาพท่อร้อยสายไฟ ของ Mixed Ingredient Hopper</t>
  </si>
  <si>
    <t>Pipe Mixer</t>
  </si>
  <si>
    <t>ตรวจเช็คสภาพท่อร้อยสายไฟ ของ Stirrer</t>
  </si>
  <si>
    <t>ตรวจเช็คสภาพท่อร้อยสายไฟ ของ Pipe Mixer</t>
  </si>
  <si>
    <t>SX0-NC-EE</t>
  </si>
  <si>
    <t>ทำความสะอาดครีบ พัดลม และฝาครอบมอเตอร์ ของ Raw Material Unloading Hopper</t>
  </si>
  <si>
    <t>007</t>
  </si>
  <si>
    <t>ทำความสะอาดครีบ พัดลม และฝาครอบมอเตอร์ ของ Batch Mixer</t>
  </si>
  <si>
    <t>ทำความสะอาดครีบ พัดลม และฝาครอบมอเตอร์ ของ Agitator</t>
  </si>
  <si>
    <t>ทำความสะอาดครีบ พัดลม และฝาครอบมอเตอร์ ของ Mixed Ingredient Hopper</t>
  </si>
  <si>
    <t xml:space="preserve">ทำความสะอาดครีบ พัดลม และฝาครอบมอเตอร์ ของ </t>
  </si>
  <si>
    <t>ทำความสะอาดครีบ พัดลม และฝาครอบมอเตอร์ ของ Pipe Mixer</t>
  </si>
  <si>
    <t>SX0-QI-EE</t>
  </si>
  <si>
    <t>ตรวจเช็คสภาพ Terminal box ของ Raw Material Unloading Hopper</t>
  </si>
  <si>
    <t>ตรวจเช็คสภาพ Terminal box ของ Batch Mixer</t>
  </si>
  <si>
    <t>ตรวจเช็คสภาพ Terminal box ของ Agitator</t>
  </si>
  <si>
    <t>ตรวจเช็คสภาพ Terminal box ของ Mixed Ingredient Hopper</t>
  </si>
  <si>
    <t>ตรวจเช็คสภาพ Terminal box ของ Stirrer</t>
  </si>
  <si>
    <t>ตรวจเช็คสภาพ Terminal box ของ Pipe Mixer</t>
  </si>
  <si>
    <t>SX1</t>
  </si>
  <si>
    <t>Water Dosing Pump</t>
  </si>
  <si>
    <t>SX1-FI-EE</t>
  </si>
  <si>
    <t>ตรวจเช็คกระแสไฟฟ้าทั้ง 3 เฟส Water Dosing Pump</t>
  </si>
  <si>
    <t>Water Injection #1</t>
  </si>
  <si>
    <t>ตรวจเช็คกระแสไฟฟ้าทั้ง 3 เฟส Water Injection #1</t>
  </si>
  <si>
    <t>Water Injection #2</t>
  </si>
  <si>
    <t>ตรวจเช็คกระแสไฟฟ้าทั้ง 3 เฟส Water Injection #2</t>
  </si>
  <si>
    <t>Slurry Mixer Unit</t>
  </si>
  <si>
    <t>ตรวจเช็คกระแสไฟฟ้าทั้ง 3 เฟส Slurry Mixer Unit</t>
  </si>
  <si>
    <t>Extruder</t>
  </si>
  <si>
    <t>SX1-MI-EE2</t>
  </si>
  <si>
    <t>Chiller Water unit</t>
  </si>
  <si>
    <t>ทำความสะอาด Condensing unit ด้วยน้ำยา Totaline</t>
  </si>
  <si>
    <t>Extruder Fan Motor</t>
  </si>
  <si>
    <t>ตรวจเช็คความดันน้ำยาด้าน Low และ High ที่ Pressure gauge</t>
  </si>
  <si>
    <t>Lubrication Oil Pump</t>
  </si>
  <si>
    <t>เปลี่ยนน้ำในระบบทั้งหมดและทำความสะอาดถังพักน้ำ</t>
  </si>
  <si>
    <t>Die Cutter</t>
  </si>
  <si>
    <t>SX1-MI-EE</t>
  </si>
  <si>
    <t>ตรวจเช็คสภาพท่อร้อยสายไฟ ของ Water Dosing Pump</t>
  </si>
  <si>
    <t>Extruder Exhaust Fan</t>
  </si>
  <si>
    <t>ตรวจเช็คสภาพท่อร้อยสายไฟ ของ Water Injection #1</t>
  </si>
  <si>
    <t>ตรวจเช็คสภาพท่อร้อยสายไฟ ของ Water Injection #2</t>
  </si>
  <si>
    <t>Slurry Pump#1-6</t>
  </si>
  <si>
    <t>ตรวจเช็คสภาพท่อร้อยสายไฟ ของ Slurry Mixer Unit</t>
  </si>
  <si>
    <t>ตรวจเช็คสภาพท่อร้อยสายไฟ ของ Chiller Water unit</t>
  </si>
  <si>
    <t>SX1-MI-EE3</t>
  </si>
  <si>
    <t>ตรวจเช็คสภาพท่อร้อยสายไฟ ของ Slurry Pump#1-6</t>
  </si>
  <si>
    <t>Shaper M/C run hr.</t>
  </si>
  <si>
    <t>SX1-NC-EE</t>
  </si>
  <si>
    <t>ทำความสะอาดครีบ พัดลม และฝาครอบมอเตอร์ ของ Water Dosing Pump</t>
  </si>
  <si>
    <t>ทำความสะอาดครีบ พัดลม และฝาครอบมอเตอร์ ของ Water Injection #1</t>
  </si>
  <si>
    <t>ทำความสะอาดครีบ พัดลม และฝาครอบมอเตอร์ ของ Water Injection #2</t>
  </si>
  <si>
    <t>ทำความสะอาดครีบ พัดลม และฝาครอบมอเตอร์ ของ Slurry Mixer Unit</t>
  </si>
  <si>
    <t>ทำความสะอาดครีบ พัดลม และฝาครอบมอเตอร์ ของ Chiller Water unit</t>
  </si>
  <si>
    <t>SX-NC-EE2</t>
  </si>
  <si>
    <t>ทำความสะอาดครีบ พัดลม และฝาครอบมอเตอร์ ของ Slurry Pump#1-6</t>
  </si>
  <si>
    <t>SX1-QI-EE</t>
  </si>
  <si>
    <t>ตรวจเช็คสภาพ Terminal box ของ Water Dosing Pump</t>
  </si>
  <si>
    <t>ตรวจเช็คสภาพ Terminal box ของ Water Injection #1</t>
  </si>
  <si>
    <t>ตรวจเช็คสภาพ Terminal box ของ Water Injection #2</t>
  </si>
  <si>
    <t>ตรวจเช็คสภาพ Terminal box ของ Slurry Mixer Unit</t>
  </si>
  <si>
    <t>ตรวจเช็คสภาพ Terminal box ของ Chiller Water unit</t>
  </si>
  <si>
    <t>SX2</t>
  </si>
  <si>
    <t>SX2-FI-EE</t>
  </si>
  <si>
    <t>ตรวจเช็คกระแสไฟฟ้าทั้ง 3 เฟส Extruder</t>
  </si>
  <si>
    <t>SX2-MI-EE</t>
  </si>
  <si>
    <t>ตรวจเช็คสภาพท่อร้อยสายไฟ ของ Extruder</t>
  </si>
  <si>
    <t>ตรวจเช็คสภาพท่อร้อยสายไฟ ของ Extruder Fan Motor</t>
  </si>
  <si>
    <t>ตรวจเช็คสภาพท่อร้อยสายไฟ ของ Lubrication Oil Pump</t>
  </si>
  <si>
    <t>ตรวจเช็คสภาพท่อร้อยสายไฟ ของ Die Cutter</t>
  </si>
  <si>
    <t>ตรวจเช็คสภาพท่อร้อยสายไฟ ของ Extruder Exhaust Fan</t>
  </si>
  <si>
    <t>SX2-MC-EE</t>
  </si>
  <si>
    <t>Control Panel</t>
  </si>
  <si>
    <t>ทำความสะอาดตู้ไฟฟ้าพร้อมตรวจเช็คระบบแอร+พัดลมระบายความร้อน</t>
  </si>
  <si>
    <t>SX2-NC-EE</t>
  </si>
  <si>
    <t>ทำความสะอาดครีบ พัดลม และฝาครอบมอเตอร์ ของ Extruder</t>
  </si>
  <si>
    <t>ทำความสะอาดครีบ พัดลม และฝาครอบมอเตอร์ ของ Extruder Fan Motor</t>
  </si>
  <si>
    <t>ทำความสะอาดครีบ พัดลม และฝาครอบมอเตอร์ ของ Lubrication Oil Pump</t>
  </si>
  <si>
    <t>ทำความสะอาดครีบ พัดลม และฝาครอบมอเตอร์ ของ Die Cutter</t>
  </si>
  <si>
    <t>ทำความสะอาดครีบ พัดลม และฝาครอบมอเตอร์ ของ Extruder Exhaust Fan</t>
  </si>
  <si>
    <t>SX2-QI-EE</t>
  </si>
  <si>
    <t>ตรวจเช็คสภาพ Terminal box ของ Extruder</t>
  </si>
  <si>
    <t>ตรวจเช็คสภาพ Terminal box ของ Extruder Fan Motor</t>
  </si>
  <si>
    <t>ตรวจเช็คสภาพ Terminal box ของ Lubrication Oil Pump</t>
  </si>
  <si>
    <t>ตรวจเช็คสภาพ Terminal box ของ Die Cutter</t>
  </si>
  <si>
    <t>ตรวจเช็คสภาพ Terminal box ของ Extruder Exhaust Fan</t>
  </si>
  <si>
    <t>SX2-HCB-EE</t>
  </si>
  <si>
    <t>Calibrate เซ็นเซอร์วัดอุณหภูมิของ Extruder ทั้ง 3 Zone</t>
  </si>
  <si>
    <t>034</t>
  </si>
  <si>
    <t>SX2-HC-EE</t>
  </si>
  <si>
    <t>Air Control Panel</t>
  </si>
  <si>
    <t xml:space="preserve">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Air Control </t>
  </si>
  <si>
    <t>SX2-YI-EE</t>
  </si>
  <si>
    <t>งานตรวจสอบสภาพ Inverter Extruder โดยใช้ Speacial List Vendor</t>
  </si>
  <si>
    <t>SX3</t>
  </si>
  <si>
    <t>Incline Conveyor #1(Blue)</t>
  </si>
  <si>
    <t>SX3-FI-EE</t>
  </si>
  <si>
    <t>Mobile Conveyor #1</t>
  </si>
  <si>
    <t>ตรวจเช็คกระแสไฟฟ้าทั้ง 3 เฟส Mobile Conveyor #1</t>
  </si>
  <si>
    <t>Incline Conveyor #2 (Blue)</t>
  </si>
  <si>
    <t>Mobile Conveyor #2</t>
  </si>
  <si>
    <t>ตรวจเช็คกระแสไฟฟ้าทั้ง 3 เฟส Mobile Conveyor #2</t>
  </si>
  <si>
    <t>SX3-FI-EE2</t>
  </si>
  <si>
    <t>Calibrating Belt</t>
  </si>
  <si>
    <t>ตรวจเช็คกระแสไฟฟ้าทั้ง 3 เฟส Calibrating Belt</t>
  </si>
  <si>
    <t>Cutting M/c rung hr.</t>
  </si>
  <si>
    <t>Cutting Machine</t>
  </si>
  <si>
    <t>ตรวจเช็คกระแสไฟฟ้าทั้ง 3 เฟส Cutting Machine</t>
  </si>
  <si>
    <t>Mobile Conveyor #3</t>
  </si>
  <si>
    <t>ตรวจเช็คกระแสไฟฟ้าทั้ง 3 เฟส Mobile Conveyor #3</t>
  </si>
  <si>
    <t>Mobile Conveyor</t>
  </si>
  <si>
    <t>SX3-FI-EE3</t>
  </si>
  <si>
    <t>Mobile Conveyor #4</t>
  </si>
  <si>
    <t>ตรวจเช็คกระแสไฟฟ้าทั้ง 3 เฟส Mobile Conveyor #4</t>
  </si>
  <si>
    <t>Shaper Cutter</t>
  </si>
  <si>
    <t>ตรวจเช็คกระแสไฟฟ้าทั้ง 3 เฟส Shaper cutter</t>
  </si>
  <si>
    <t>SX3-MI-EE</t>
  </si>
  <si>
    <t>ตรวจเช็คสภาพท่อร้อยสายไฟ ของ Mobile Conveyor #1</t>
  </si>
  <si>
    <t>ตรวจเช็คสภาพท่อร้อยสายไฟ ของ Mobile Conveyor #2</t>
  </si>
  <si>
    <t>SX3-MI-EE2</t>
  </si>
  <si>
    <t>ตรวจเช็คสภาพท่อร้อยสายไฟ ของ Calibrating Belt</t>
  </si>
  <si>
    <t>ตรวจเช็คสภาพท่อร้อยสายไฟ ของ Cutting Machine</t>
  </si>
  <si>
    <t>SX3-MI-EE3</t>
  </si>
  <si>
    <t>ตรวจเช็คสภาพท่อร้อยสายไฟ  Shaper cutter</t>
  </si>
  <si>
    <t>SX3-NC-EE</t>
  </si>
  <si>
    <t>ทำความสะอาดครีบ พัดลม และฝาครอบมอเตอร์ ของ Mobile Conveyor #1</t>
  </si>
  <si>
    <t>ทำความสะอาดครีบ พัดลม และฝาครอบมอเตอร์ ของ Mobile Conveyor #2</t>
  </si>
  <si>
    <t>SX3-NC-EE3</t>
  </si>
  <si>
    <t>ทำความสะอาดครีบ พัดลม และฝาครอบมอเตอร์ ของ Calibrating Belt</t>
  </si>
  <si>
    <t>ทำความสะอาดครีบ พัดลม และฝาครอบมอเตอร์ ของ Cutting Machine</t>
  </si>
  <si>
    <t>ทำความสะอาดครีบ พัดลม และฝาครอบมอเตอร์ ของ Mobile Conveyor#3</t>
  </si>
  <si>
    <t>SX3-NC-EE2</t>
  </si>
  <si>
    <t>ทำความสะอาดครีบ พัดลม และฝาครอบมอเตอร์ ของ  Mobile Conveyor #4</t>
  </si>
  <si>
    <t>ทำความสะอาดครีบ พัดลม และฝาครอบมอเตอร์ ของ Shaper Cutter</t>
  </si>
  <si>
    <t>SX3-QI-EE</t>
  </si>
  <si>
    <t>ตรวจเช็คสภาพ Terminal box ของ Mobile Conveyor #1</t>
  </si>
  <si>
    <t>ตรวจเช็คสภาพ Terminal box ของ Mobile Conveyor #2</t>
  </si>
  <si>
    <t>SX3-QI-EE2</t>
  </si>
  <si>
    <t>ตรวจเช็คสภาพ Terminal box ของ Calibrating Belt</t>
  </si>
  <si>
    <t>ตรวจเช็คสภาพ Terminal box ของ Cutting Machine</t>
  </si>
  <si>
    <t>Mobile Conveyor#3</t>
  </si>
  <si>
    <t>ตรวจเช็คสภาพ Terminal box ของ Mobile Conveyor #3</t>
  </si>
  <si>
    <t>SX3-QI-EE3</t>
  </si>
  <si>
    <t>ตรวจเช็คสภาพ Terminal box ของ Mobile Conveyor #4</t>
  </si>
  <si>
    <t>ตรวจเช็คสภาพ Terminal box ของ Shaper Cutter</t>
  </si>
  <si>
    <t>SX4</t>
  </si>
  <si>
    <t>Sieve Conveyor</t>
  </si>
  <si>
    <t>SX4-NI-EE</t>
  </si>
  <si>
    <t>ตรวจเช็คสภาพท่อร้อยสายไฟ ของ Sieve Conveyor</t>
  </si>
  <si>
    <t>ทำความสะอาดครีบ พัดลม และฝาครอบมอเตอร์ ของ Sieve Conveyor</t>
  </si>
  <si>
    <t>Type</t>
  </si>
  <si>
    <t>EE</t>
  </si>
  <si>
    <t>BC0</t>
  </si>
  <si>
    <t>Vertical Blender #1 (TW)</t>
  </si>
  <si>
    <t>BC0-MC-EE</t>
  </si>
  <si>
    <t>ทำความสะอาดภายในตู้ไฟฟ้า BC0-E01 Vertical Blender #1 (TW)</t>
  </si>
  <si>
    <t>Vertical Blender #2 (TW)</t>
  </si>
  <si>
    <t>ทำความสะอาดภายในตู้ไฟฟ้า BC0-E02 Vertical Blender #2 (TW)</t>
  </si>
  <si>
    <t>Bucket Elevator #1 (TW)</t>
  </si>
  <si>
    <t>BC0-MI-EE</t>
  </si>
  <si>
    <t>ตรวจเช็คสภาพท่อร้อยสายไฟ ของ Vertical Blender #1 (TW)</t>
  </si>
  <si>
    <t>Bucket Elevator #2 (TW)</t>
  </si>
  <si>
    <t>ตรวจเช็คสภาพท่อร้อยสายไฟ ของ Vertical Blender #2 (TW)</t>
  </si>
  <si>
    <t>ตรวจเช็คสภาพท่อร้อยสายไฟ ของ Bucket Elevator #1 (TW)</t>
  </si>
  <si>
    <t>ตรวจเช็คสภาพท่อร้อยสายไฟ ของ Bucket Elevator #2 (TW)</t>
  </si>
  <si>
    <t>Mixer (XO)</t>
  </si>
  <si>
    <t>ตรวจเช็คสภาพท่อร้อยสายไฟ ของ Mixer (XO)</t>
  </si>
  <si>
    <t>Screw Feeder (XO)</t>
  </si>
  <si>
    <t>ตรวจเช็คสภาพท่อร้อยสายไฟ ของ Screw Feeder (XO)</t>
  </si>
  <si>
    <t>Floveyor #1 (XO)</t>
  </si>
  <si>
    <t>ตรวจเช็คสภาพท่อร้อยสายไฟ ของ Floveyor #1 (XO)</t>
  </si>
  <si>
    <t>Floveyor #2 (XO)</t>
  </si>
  <si>
    <t>Feed Pump (XO)</t>
  </si>
  <si>
    <t>ตรวจเช็คสภาพท่อร้อยสายไฟ ของ Feed Pump (XO)</t>
  </si>
  <si>
    <t>BC0-NC-EE</t>
  </si>
  <si>
    <t>ทำความสะอาดครีบ พัดลม และฝาครอบมอเตอร์ ของ Vertical Blender #1 (TW)</t>
  </si>
  <si>
    <t>ทำความสะอาดครีบ พัดลม และฝาครอบมอเตอร์ ของ Vertical Blender #2 (TW)</t>
  </si>
  <si>
    <t>ทำความสะอาดครีบ พัดลม และฝาครอบมอเตอร์ ของ Bucket Elevator #1 (TW)</t>
  </si>
  <si>
    <t>ทำความสะอาดครีบ พัดลม และฝาครอบมอเตอร์ ของ Bucket Elevator #2 (TW)</t>
  </si>
  <si>
    <t>ทำความสะอาดครีบ พัดลม และฝาครอบมอเตอร์ ของ Mixer (XO)</t>
  </si>
  <si>
    <t>ทำความสะอาดครีบ พัดลม และฝาครอบมอเตอร์ ของ Screw Feeder (XO)</t>
  </si>
  <si>
    <t>ทำความสะอาดครีบ พัดลม และฝาครอบมอเตอร์ ของ Floveyor #1 (XO)</t>
  </si>
  <si>
    <t>ทำความสะอาดครีบ พัดลม และฝาครอบมอเตอร์ ของ Floveyor# 2 (XO)</t>
  </si>
  <si>
    <t>ทำความสะอาดครีบ พัดลม และฝาครอบมอเตอร์ ของ Feed Pump (XO)</t>
  </si>
  <si>
    <t>BC1</t>
  </si>
  <si>
    <t>XO Extruder 1 (MX650)</t>
  </si>
  <si>
    <t>BC1-FI-EE</t>
  </si>
  <si>
    <t>ตรวจเช็คกระแสไฟฟ้าทั้ง 3 เฟส ของ XO Extruder 1 (MX650)</t>
  </si>
  <si>
    <t>XO Extruder 2 (MX650)</t>
  </si>
  <si>
    <t>ตรวจเช็คกระแสไฟฟ้าทั้ง 3 เฟส ของ XO Extruder 2 (MX650)</t>
  </si>
  <si>
    <t>TWT Extruder #1</t>
  </si>
  <si>
    <t>ตรวจเช็คกระแสไฟฟ้าทั้ง 3 เฟส ของ TWT Extruder #1</t>
  </si>
  <si>
    <t>TWT Extruder #2</t>
  </si>
  <si>
    <t>ตรวจเช็คกระแสไฟฟ้าทั้ง 3 เฟส ของ TWT Extruder #2</t>
  </si>
  <si>
    <t>TWT Extruder #3</t>
  </si>
  <si>
    <t>ตรวจเช็คกระแสไฟฟ้าทั้ง 3 เฟส ของ TWT Extruder #3</t>
  </si>
  <si>
    <t>ทำความสะอาดตู้ไฟฟ้าพร้อมตรวจเช็คระบบแอร+พัดลมระบายความร้อนทั้ง 2 ตัว</t>
  </si>
  <si>
    <t>ตรวจเช็คน้ำยา+ล้าง Coil เย็นของ Air Main Power Control ทั้ง 2 ตัว</t>
  </si>
  <si>
    <t>BC1-MI-EE</t>
  </si>
  <si>
    <t>ตรวจเช็คสภาพท่อร้อยสายไฟ ของ XO Extruder 1 (MX650)</t>
  </si>
  <si>
    <t>ตรวจเช็คสภาพท่อร้อยสายไฟ ของ XO Extruder 2 (MX650)</t>
  </si>
  <si>
    <t>ตรวจเช็คสภาพท่อร้อยสายไฟ ของ TWT Extruder #1</t>
  </si>
  <si>
    <t>ตรวจเช็คสภาพท่อร้อยสายไฟ ของ TWT Extruder #2</t>
  </si>
  <si>
    <t>ตรวจเช็คสภาพท่อร้อยสายไฟ ของ TWT Extruder #3</t>
  </si>
  <si>
    <t>BC1-NC-EE</t>
  </si>
  <si>
    <t>ทำความสะอาดภายใน และฟิลเตอร์ตู้ไฟฟ้า BC1-E01 XO Extruder 1 (MX650)</t>
  </si>
  <si>
    <t>ทำความสะอาดภายใน และฟิลเตอร์ตู้ไฟฟ้า BC1-E02 XO Extruder 2 (MX650)</t>
  </si>
  <si>
    <t>ทำความสะอาดภายใน และฟิลเตอร์ตู้ไฟฟ้า BC1-E03 TWT Extruder #1</t>
  </si>
  <si>
    <t>ทำความสะอาดภายใน และฟิลเตอร์ตู้ไฟฟ้า BC1-E04 TWT Extruder #2</t>
  </si>
  <si>
    <t>ทำความสะอาดภายใน และฟิลเตอร์ตู้ไฟฟ้า BC1-E05 TWT Extruder #3</t>
  </si>
  <si>
    <t>ทำความสะอาดครีบ พัดลม และฝาครอบมอเตอร์ ของ XO Extruder 1 (MX650)</t>
  </si>
  <si>
    <t>ทำความสะอาดครีบ พัดลม และฝาครอบมอเตอร์ ของ XO Extruder 2 (MX650)</t>
  </si>
  <si>
    <t>ทำความสะอาดครีบ พัดลม และฝาครอบมอเตอร์ ของ TWT Extruder #1</t>
  </si>
  <si>
    <t>ทำความสะอาดครีบ พัดลม และฝาครอบมอเตอร์ ของ TWT Extruder #2</t>
  </si>
  <si>
    <t>ทำความสะอาดครีบ พัดลม และฝาครอบมอเตอร์ ของ TWT Extruder #3</t>
  </si>
  <si>
    <t>BC1-NR-EE</t>
  </si>
  <si>
    <t>ทำความสะอาดภายใน และเปลี่ยนฟิลเตอร์ตู้ไฟฟ้า BC1-E02 XO Extruder 2 (MX650)</t>
  </si>
  <si>
    <t>ทำความสะอาดภายใน และเปลี่ยนฟิลเตอร์ตู้ไฟฟ้า BC1-E03 TWT Extruder #1</t>
  </si>
  <si>
    <t>ทำความสะอาดภายใน และเปลี่ยนฟิลเตอร์ตู้ไฟฟ้า BC1-E04 TWT Extruder #2</t>
  </si>
  <si>
    <t>ทำความสะอาดภายใน และเปลี่ยนฟิลเตอร์ตู้ไฟฟ้า BC1-E05 TWT Extruder #3</t>
  </si>
  <si>
    <t>BC1-HCB-EE</t>
  </si>
  <si>
    <t>Calibrateเซ็นเซอร์วัดอุณหภูมิของ XO Extruder 1 (MX650)</t>
  </si>
  <si>
    <t>Calibrateเซ็นเซอร์วัดอุณหภูมิของ XO Extruder 2 (MX650)</t>
  </si>
  <si>
    <t>BC2</t>
  </si>
  <si>
    <t>Take-Out Conveyor #1 (XO)</t>
  </si>
  <si>
    <t>BC2-MI-EE</t>
  </si>
  <si>
    <t>ตรวจเช็คสภาพท่อร้อยสายไฟ ของ Take-Out Conveyor #1 (XO)</t>
  </si>
  <si>
    <t>Take-Out Conveyor #2 (XO)</t>
  </si>
  <si>
    <t>ตรวจเช็คสภาพท่อร้อยสายไฟ ของ Take-Out Conveyor #2 (XO)</t>
  </si>
  <si>
    <t>Accumulating Conveyor #2 (TW)</t>
  </si>
  <si>
    <t>ตรวจเช็คสภาพท่อร้อยสายไฟ ของ Accumulating Conveyor #2 (TW)</t>
  </si>
  <si>
    <t>Oven Infeed Incline Conveyor</t>
  </si>
  <si>
    <t>ตรวจเช็คสภาพท่อร้อยสายไฟ ของ Oven Infeed Incline Conveyor</t>
  </si>
  <si>
    <t>Oven Infeed Vibrating Conveyor</t>
  </si>
  <si>
    <t>ตรวจเช็คสภาพท่อร้อยสายไฟ ของ Oven Infeed Vibrating Conveyor</t>
  </si>
  <si>
    <t>BC2-NC-EE</t>
  </si>
  <si>
    <t>ทำความสะอาดครีบ พัดลม และฝาครอบมอเตอร์ ของ Take-Out Conveyor #1 (XO)</t>
  </si>
  <si>
    <t>ทำความสะอาดครีบ พัดลม และฝาครอบมอเตอร์ ของ Take-Out Conveyor #2 (XO)</t>
  </si>
  <si>
    <t>ทำความสะอาดครีบ พัดลม และฝาครอบมอเตอร์ ของ Accumulating Conveyor #2 (TW)</t>
  </si>
  <si>
    <t>ทำความสะอาดครีบ พัดลม และฝาครอบมอเตอร์ ของ Oven Infeed Incline Conveyor</t>
  </si>
  <si>
    <t>ทำความสะอาดครีบ พัดลม และฝาครอบมอเตอร์ ของ Oven Infeed Vibrating Conveyor</t>
  </si>
  <si>
    <t>BC3</t>
  </si>
  <si>
    <t>Oven Conveyor</t>
  </si>
  <si>
    <t>BC3-FC-EE</t>
  </si>
  <si>
    <t>Oven Burner</t>
  </si>
  <si>
    <t>ทำความสะอาด Burner Blower, ใบพัดมอเตอร์, Flame Sensor และ Damper ของ Burner</t>
  </si>
  <si>
    <t>Oven Circulation Fan</t>
  </si>
  <si>
    <t>BC3-MC-EE</t>
  </si>
  <si>
    <t>Oven Outfeed Incline Conveyor</t>
  </si>
  <si>
    <t>ทำความสะอาดภายในตู้ไฟฟ้า BC3-E02 Oven Outfeed Incline Conveyor</t>
  </si>
  <si>
    <t>Oven Exhaust Fan</t>
  </si>
  <si>
    <t>BC3-MI-EE</t>
  </si>
  <si>
    <t>ตรวจเช็คสภาพท่อร้อยสายไฟ ของ Oven Conveyor</t>
  </si>
  <si>
    <t>ตรวจเช็คสภาพท่อร้อยสายไฟ ของ Oven Circulation Fan</t>
  </si>
  <si>
    <t>ตรวจเช็คสภาพท่อร้อยสายไฟ ของ Oven Exhaust Fan</t>
  </si>
  <si>
    <t>ตรวจเช็คสภาพท่อร้อยสายไฟ ของ Oven Burner</t>
  </si>
  <si>
    <t>ตรวจเช็คสภาพท่อร้อยสายไฟ ของ Oven Outfeed Incline Conveyor</t>
  </si>
  <si>
    <t>BC3-MI-EE2</t>
  </si>
  <si>
    <t>ตรวจวัดค่า Combustion ของ Oven Burner</t>
  </si>
  <si>
    <t>BC3-NC-EE</t>
  </si>
  <si>
    <t>ทำความสะอาดภายใน และฟิลเตอร์ตู้ไฟฟ้า BC3-E01 Oven Conveyor</t>
  </si>
  <si>
    <t>ทำความสะอาดครีบ พัดลม และฝาครอบมอเตอร์ ของ Oven Conveyor</t>
  </si>
  <si>
    <t>ทำความสะอาดครีบ พัดลม และฝาครอบมอเตอร์ ของ Oven Circulation Fan</t>
  </si>
  <si>
    <t>ทำความสะอาดครีบ พัดลม และฝาครอบมอเตอร์ ของ Oven Exhaust Fan</t>
  </si>
  <si>
    <t>ทำความสะอาดครีบ พัดลม และฝาครอบมอเตอร์ ของ Oven Burner</t>
  </si>
  <si>
    <t>ทำความสะอาดครีบ พัดลม และฝาครอบมอเตอร์ ของ Oven Outfeed Incline Conveyor</t>
  </si>
  <si>
    <t>BC3-NR-EE</t>
  </si>
  <si>
    <t>ทำความสะอาดภายใน และเปลี่ยนฟิลเตอร์ตู้ไฟฟ้า BC3-E01 Oven Conveyor</t>
  </si>
  <si>
    <t>BC3-HR-EE</t>
  </si>
  <si>
    <t>เปลี่ยน Flame Sensor Oven Burner</t>
  </si>
  <si>
    <t>BC3-HCB-EE</t>
  </si>
  <si>
    <t>Calibrate เซ็นเซอร์วัดอุณหภูมิของ Oven</t>
  </si>
  <si>
    <t>BC4</t>
  </si>
  <si>
    <t>Slurry Spray Pump</t>
  </si>
  <si>
    <t>BC4-MC-EE</t>
  </si>
  <si>
    <t>ทำความสะอาดภายในตู้ไฟฟ้า BC4-E02 Slurry Spray Pump&amp;Mixer</t>
  </si>
  <si>
    <t>Slurry Mixer #1</t>
  </si>
  <si>
    <t>BC4-MI-EE</t>
  </si>
  <si>
    <t>ตรวจเช็คสภาพท่อร้อยสายไฟ ของ Slurry Spray Pump</t>
  </si>
  <si>
    <t>Slurry Mixer #2</t>
  </si>
  <si>
    <t>ตรวจเช็คสภาพท่อร้อยสายไฟ ของ Slurry Mixer #1</t>
  </si>
  <si>
    <t>Hot Water Tank</t>
  </si>
  <si>
    <t>ตรวจเช็คสภาพท่อร้อยสายไฟ ของ Slurry Mixer #2</t>
  </si>
  <si>
    <t>Seasoning Tumbler Drum</t>
  </si>
  <si>
    <t>ตรวจเช็คสภาพท่อร้อยสายไฟ ของ Hot Water Tank</t>
  </si>
  <si>
    <t>ตรวจเช็คสภาพท่อร้อยสายไฟ ของ Seasoning Tumbler Drum</t>
  </si>
  <si>
    <t>BC4-NC-EE</t>
  </si>
  <si>
    <t>ทำความสะอาดภายใน และฟิลเตอร์ตู้ไฟฟ้า BC4-E01 Flavoring Control</t>
  </si>
  <si>
    <t>ทำความสะอาดครีบ พัดลม และฝาครอบมอเตอร์ ของ Slurry Spray Pump</t>
  </si>
  <si>
    <t>ทำความสะอาดครีบ พัดลม และฝาครอบมอเตอร์ ของ Slurry Mixer #1</t>
  </si>
  <si>
    <t>ทำความสะอาดครีบ พัดลม และฝาครอบมอเตอร์ ของ Slurry Mixer #2</t>
  </si>
  <si>
    <t>ทำความสะอาดครีบ พัดลม และฝาครอบมอเตอร์ ของ Hot Water Tank</t>
  </si>
  <si>
    <t>ทำความสะอาดครีบ พัดลม และฝาครอบมอเตอร์ ของ Seasoning Tumbler Drum</t>
  </si>
  <si>
    <t>ทำความสะอาดภายใน และเปลี่ยนฟิลเตอร์ตู้ไฟฟ้า BC4-E01 Flavoring Control</t>
  </si>
  <si>
    <t>BC4-YCB-EE</t>
  </si>
  <si>
    <t>Calibrate Temperature probe ของ Slurry mixer jacket tank</t>
  </si>
  <si>
    <t>BC5</t>
  </si>
  <si>
    <t>Residence Conveyor</t>
  </si>
  <si>
    <t>BC5-MC-EE</t>
  </si>
  <si>
    <t>Outfeed Vibrating Conveyor</t>
  </si>
  <si>
    <t>ทำความสะอาดภายในตู้ไฟฟ้า BC5-E01 Outfeed Vibrating Conveyor</t>
  </si>
  <si>
    <t>Cross Conveyor</t>
  </si>
  <si>
    <t>BC5-MI-EE</t>
  </si>
  <si>
    <t>ตรวจเช็คสภาพท่อร้อยสายไฟ ของ Residence Conveyor</t>
  </si>
  <si>
    <t>Elevating Conveyor</t>
  </si>
  <si>
    <t>ตรวจเช็คสภาพท่อร้อยสายไฟ ของ Cross Conveyor</t>
  </si>
  <si>
    <t>ตรวจเช็คสภาพท่อร้อยสายไฟ ของ Elevating Conveyor</t>
  </si>
  <si>
    <t>ตรวจเช็คสภาพท่อร้อยสายไฟ ของ Outfeed Vibrating Conveyor</t>
  </si>
  <si>
    <t>BC5-NC-EE</t>
  </si>
  <si>
    <t>ทำความสะอาดครีบ พัดลม และฝาครอบมอเตอร์ ของ Residence Conveyor</t>
  </si>
  <si>
    <t>ทำความสะอาดครีบ พัดลม และฝาครอบมอเตอร์ ของ Cross Conveyor</t>
  </si>
  <si>
    <t>ทำความสะอาดครีบ พัดลม และฝาครอบมอเตอร์ ของ Elevating Conveyor</t>
  </si>
  <si>
    <t>FR0</t>
  </si>
  <si>
    <t>Bulk Handling Gantry Crane</t>
  </si>
  <si>
    <t>FR0-FCB-EE</t>
  </si>
  <si>
    <t>Weight Belt Feeder Conveyor</t>
  </si>
  <si>
    <t>Calibrate by Tare Zero Weight Belt Feeder Conveyor</t>
  </si>
  <si>
    <t>Bulk Feeder Conveyor</t>
  </si>
  <si>
    <t>FR0-MCB-EE</t>
  </si>
  <si>
    <t>Calibrate by Catch Test Weight Belt Feeder Conveyor</t>
  </si>
  <si>
    <t>Incline Conveyor</t>
  </si>
  <si>
    <t>FR0-NI-EE</t>
  </si>
  <si>
    <t>ตรวจเช็คสภาพท่อร้อยสายไฟ ของ Bulk Handling Gantry Crane</t>
  </si>
  <si>
    <t>Pellet Agitator</t>
  </si>
  <si>
    <t>ตรวจเช็คสภาพท่อร้อยสายไฟ ของ Bulk Feeder Conveyor</t>
  </si>
  <si>
    <t>Pellet Spreader</t>
  </si>
  <si>
    <t>ตรวจเช็คสภาพท่อร้อยสายไฟ ของ Incline Conveyor</t>
  </si>
  <si>
    <t>ตรวจเช็คสภาพท่อร้อยสายไฟ ของ Pellet Agitator</t>
  </si>
  <si>
    <t>ตรวจเช็คสภาพท่อร้อยสายไฟ ของ Pellet Spreader</t>
  </si>
  <si>
    <t>ตรวจเช็คสภาพท่อร้อยสายไฟ ของ Weight Belt Feeder Conveyor</t>
  </si>
  <si>
    <t>ตรวจเช็คสภาพ Terminal box ของ Bulk Handling Gantry Crane</t>
  </si>
  <si>
    <t>ตรวจเช็คสภาพ Terminal box ของ Bulk Feeder Conveyor</t>
  </si>
  <si>
    <t>ตรวจเช็คสภาพ Terminal box ของ Incline Conveyor</t>
  </si>
  <si>
    <t>ตรวจเช็คสภาพ Terminal box ของ Pellet Agitator</t>
  </si>
  <si>
    <t>ตรวจเช็คสภาพ Terminal box ของ Pellet Spreader</t>
  </si>
  <si>
    <t>ตรวจเช็คสภาพ Terminal box ของ Weight Belt Feeder Conveyor</t>
  </si>
  <si>
    <t>FR0-NC-EE</t>
  </si>
  <si>
    <t>ทำความสะอาดครีบ พัดลม และฝาครอบมอเตอร์ ของ Bulk Handling Gantry Crane</t>
  </si>
  <si>
    <t>ทำความสะอาดครีบ พัดลม และฝาครอบมอเตอร์ ของ Bulk Feeder Conveyor</t>
  </si>
  <si>
    <t>ทำความสะอาดครีบ พัดลม และฝาครอบมอเตอร์ ของ Incline Conveyor</t>
  </si>
  <si>
    <t>ทำความสะอาดครีบ พัดลม และฝาครอบมอเตอร์ ของ Pellet Agitator</t>
  </si>
  <si>
    <t>ทำความสะอาดครีบ พัดลม และฝาครอบมอเตอร์ ของ Pellet Spreader</t>
  </si>
  <si>
    <t>ทำความสะอาดครีบ พัดลม และฝาครอบมอเตอร์ ของ Weight Belt Feeder Conveyor</t>
  </si>
  <si>
    <t>FR1</t>
  </si>
  <si>
    <t>FR1-FC-EE</t>
  </si>
  <si>
    <t>FR1-QI-EE</t>
  </si>
  <si>
    <t>FR1-NI-EE</t>
  </si>
  <si>
    <t>Oven circulation Fan</t>
  </si>
  <si>
    <t>ตรวจเช็คสภาพท่อร้อยสายไฟ ของ Oven circulation Fan</t>
  </si>
  <si>
    <t>Oven Outfeed Vibrating Conveyor</t>
  </si>
  <si>
    <t>ตรวจเช็คสภาพ Terminal box ของ Oven Conveyor</t>
  </si>
  <si>
    <t>ตรวจเช็คสภาพ Terminal box ของ Oven circulation Fan</t>
  </si>
  <si>
    <t>ตรวจเช็คสภาพ Terminal box ของ Oven Exhaust Fan</t>
  </si>
  <si>
    <t>FR1-NC-EE</t>
  </si>
  <si>
    <t>ทำความสะอาดครีบ พัดลม และฝาครอบมอเตอร์ ของ Oven circulation Fan</t>
  </si>
  <si>
    <t>FR1-YCB-EE</t>
  </si>
  <si>
    <t>FR2</t>
  </si>
  <si>
    <t>Fryer Submerger Conveyor</t>
  </si>
  <si>
    <t>FR2-NI-EE</t>
  </si>
  <si>
    <t>ตรวจเช็คสภาพท่อร้อยสายไฟ ของ Fryer Submerger Conveyor</t>
  </si>
  <si>
    <t>Fryer Take-Out Conveyor</t>
  </si>
  <si>
    <t>ตรวจเช็คสภาพท่อร้อยสายไฟ ของ Fryer Take-Out Conveyor</t>
  </si>
  <si>
    <t>Fryer Hood Lifter</t>
  </si>
  <si>
    <t>ตรวจเช็คสภาพท่อร้อยสายไฟ ของ Fryer Hood Lifter</t>
  </si>
  <si>
    <t>OME Exhaust Fan</t>
  </si>
  <si>
    <t>ตรวจเช็คสภาพท่อร้อยสายไฟ ของ OME Exhaust Fan</t>
  </si>
  <si>
    <t>Air Cooling Conveyor</t>
  </si>
  <si>
    <t>ตรวจเช็คสภาพท่อร้อยสายไฟ ของ Air Cooling Conveyor</t>
  </si>
  <si>
    <t>Air Cooling Exhaust Fan</t>
  </si>
  <si>
    <t>ตรวจเช็คสภาพท่อร้อยสายไฟ ของ Air Cooling Exhaust Fan</t>
  </si>
  <si>
    <t>Reject Conveyor</t>
  </si>
  <si>
    <t>ตรวจเช็คสภาพ Terminal box ของ Fryer Submerger Conveyor</t>
  </si>
  <si>
    <t>ตรวจเช็คสภาพ Terminal box ของ Fryer Take-Out Conveyor</t>
  </si>
  <si>
    <t>ตรวจเช็คสภาพ Terminal box ของ Fryer Hood Lifter</t>
  </si>
  <si>
    <t>ตรวจเช็คสภาพ Terminal box ของ OME Exhaust Fan</t>
  </si>
  <si>
    <t>ตรวจเช็คสภาพ Terminal box ของ Air Cooling Conveyor</t>
  </si>
  <si>
    <t>ตรวจเช็คสภาพ Terminal box ของ Air Cooling Exhaust Fan</t>
  </si>
  <si>
    <t>FR2-NC-EE</t>
  </si>
  <si>
    <t>ทำความสะอาดครีบ พัดลม และฝาครอบมอเตอร์ ของ Fryer Submerger Conveyor</t>
  </si>
  <si>
    <t>ทำความสะอาดครีบ พัดลม และฝาครอบมอเตอร์ ของ Fryer Take-Out Conveyor</t>
  </si>
  <si>
    <t>ทำความสะอาดครีบ พัดลม และฝาครอบมอเตอร์ ของ Fryer Hood Lifter</t>
  </si>
  <si>
    <t>ทำความสะอาดครีบ พัดลม และฝาครอบมอเตอร์ ของ OME Exhaust Fan</t>
  </si>
  <si>
    <t>ทำความสะอาดครีบ พัดลม และฝาครอบมอเตอร์ ของ Air Cooling Conveyor</t>
  </si>
  <si>
    <t>ทำความสะอาดครีบ พัดลม และฝาครอบมอเตอร์ ของ Air Cooling Exhaust Fan</t>
  </si>
  <si>
    <t>FR3</t>
  </si>
  <si>
    <t>Fines Blower</t>
  </si>
  <si>
    <t>FR3-FC-EE</t>
  </si>
  <si>
    <t>LPG Burner</t>
  </si>
  <si>
    <t>Oil Transfer Pump</t>
  </si>
  <si>
    <t>FR3-NI-EE2</t>
  </si>
  <si>
    <t>Main Oil Pump</t>
  </si>
  <si>
    <t>ตรวจเช็คกระแสไฟฟ้าทั้ง 3 เฟส ของ Main Oil Pump</t>
  </si>
  <si>
    <t>FR3-NI-EE3</t>
  </si>
  <si>
    <t>Burner</t>
  </si>
  <si>
    <t>วัดค่า Combustion ของ Burner</t>
  </si>
  <si>
    <t>FR3-NI-EE</t>
  </si>
  <si>
    <t>ตรวจเช็คสภาพท่อร้อยสายไฟ ของ Fines Blower</t>
  </si>
  <si>
    <t>Catch Box Conveyor</t>
  </si>
  <si>
    <t>ตรวจเช็คสภาพท่อร้อยสายไฟ ของ Oil Transfer Pump</t>
  </si>
  <si>
    <t>ตรวจเช็คสภาพท่อร้อยสายไฟ ของ Main Oil Pump</t>
  </si>
  <si>
    <t>Oil Heat Exchanger</t>
  </si>
  <si>
    <t>ตรวจเช็คสภาพท่อร้อยสายไฟ ของ Catch Box Conveyor</t>
  </si>
  <si>
    <t>ตรวจเช็คสภาพท่อร้อยสายไฟ ของ Burner</t>
  </si>
  <si>
    <t>ตรวจเช็คสภาพ Terminal box ของ Fines Blower</t>
  </si>
  <si>
    <t>ตรวจเช็คสภาพ Terminal box ของ Oil Transfer Pump</t>
  </si>
  <si>
    <t>ตรวจเช็คสภาพ Terminal box ของ Main Oil Pump</t>
  </si>
  <si>
    <t>ตรวจเช็คสภาพ Terminal box ของ Catch Box Conveyor</t>
  </si>
  <si>
    <t>ตรวจเช็คสภาพ Terminal box ของ Burner</t>
  </si>
  <si>
    <t>FR3-NC-EE</t>
  </si>
  <si>
    <t>ทำความสะอาดครีบ พัดลม และฝาครอบมอเตอร์ ของ Fines Blower</t>
  </si>
  <si>
    <t>ทำความสะอาดครีบ พัดลม และฝาครอบมอเตอร์ ของ Oil Transfer Pump</t>
  </si>
  <si>
    <t>ทำความสะอาดครีบ พัดลม และฝาครอบมอเตอร์ ของ Main Oil Pump</t>
  </si>
  <si>
    <t>ทำความสะอาดครีบ พัดลม และฝาครอบมอเตอร์ ของ Catch Box Conveyor</t>
  </si>
  <si>
    <t>ทำความสะอาดครีบ พัดลม และฝาครอบมอเตอร์ ของ Burner</t>
  </si>
  <si>
    <t>FR3-HR-EE</t>
  </si>
  <si>
    <t>เปลี่ยน Flame Sensor Fryer Burner</t>
  </si>
  <si>
    <t>FR3-HC-EE</t>
  </si>
  <si>
    <t>ถอด Gas Filter ล้างทำความสะอาด</t>
  </si>
  <si>
    <t>FR3-YCB-EE</t>
  </si>
  <si>
    <t>Calibrate เซ็นเซอร์วัดอุณหภูมิของ Fryer จุด Fryer Inlet และ Outlet</t>
  </si>
  <si>
    <t>FR3-YI-EE</t>
  </si>
  <si>
    <t xml:space="preserve">Oil Heat Exchanger </t>
  </si>
  <si>
    <t>ตรวจทดสอบความปลอดภัยหม้อต้มที่ใช้ของเหลวเป็นสื่อนำความร้อนประจำปีโดยวิศวกร</t>
  </si>
  <si>
    <t>018</t>
  </si>
  <si>
    <t>FR4</t>
  </si>
  <si>
    <t>FL710</t>
  </si>
  <si>
    <t>FR4-NI-EE</t>
  </si>
  <si>
    <t>ตรวจเช็คสภาพท่อร้อยสายไฟ ของ Reject Conveyor</t>
  </si>
  <si>
    <t>Inspection Vibrating Conveyor</t>
  </si>
  <si>
    <t>ตรวจเช็คสภาพท่อร้อยสายไฟ ของ Inspection Vibrating Conveyor</t>
  </si>
  <si>
    <t>ตรวจเช็คสภาพ Terminal box ของ Reject Conveyor</t>
  </si>
  <si>
    <t>ตรวจเช็คสภาพ Terminal box ของ Inspection Vibrating Conveyor</t>
  </si>
  <si>
    <t>FR4-NC-EE</t>
  </si>
  <si>
    <t>ทำความสะอาดครีบ พัดลม และฝาครอบมอเตอร์ ของ Reject Conveyor</t>
  </si>
  <si>
    <t>ทำความสะอาดครีบ พัดลม และฝาครอบมอเตอร์ ของ Inspection Vibrating Conveyor</t>
  </si>
  <si>
    <t>FR4-HI-EE2</t>
  </si>
  <si>
    <t>ตรวจสอบสภาพและทำความสะอาดหัว FL710</t>
  </si>
  <si>
    <t>FR4-YR-EE</t>
  </si>
  <si>
    <t>เปลี่ยนชุด Motor wheel และ Lamp ของหัว FL710</t>
  </si>
  <si>
    <t>002</t>
  </si>
  <si>
    <t>FR5</t>
  </si>
  <si>
    <t>FR5-NI-EE</t>
  </si>
  <si>
    <t>Dust Collector</t>
  </si>
  <si>
    <t>Flavour Hopper Feeder</t>
  </si>
  <si>
    <t>ตรวจเช็คสภาพท่อร้อยสายไฟ ของ Flavour Hopper Feeder</t>
  </si>
  <si>
    <t>Flavour Applicator ตัวที่ 1</t>
  </si>
  <si>
    <t>ตรวจเช็คสภาพท่อร้อยสายไฟ ของ Flavour Applicator ตัวที่ 1</t>
  </si>
  <si>
    <t>Flavour Applicator ตัวที่ 2</t>
  </si>
  <si>
    <t>ตรวจเช็คสภาพท่อร้อยสายไฟ ของ Flavour Applicator ตัวที่ 2</t>
  </si>
  <si>
    <t>ตรวจเช็คสภาพ Terminal box ของ Seasoning Tumbler Drum</t>
  </si>
  <si>
    <t>ตรวจเช็คสภาพ Terminal box ของ Flavour Hopper Feeder</t>
  </si>
  <si>
    <t>ตรวจเช็คสภาพ Terminal box ของ Flavour Applicator ตัวที่ 1</t>
  </si>
  <si>
    <t>ตรวจเช็คสภาพ Terminal box ของ Flavour Applicator ตัวที่ 2</t>
  </si>
  <si>
    <t>FR5-NC-EE</t>
  </si>
  <si>
    <t>ทำความสะอาดครีบ พัดลม และฝาครอบมอเตอร์ ของ Flavour Hopper Feeder</t>
  </si>
  <si>
    <t>ทำความสะอาดครีบ พัดลม และฝาครอบมอเตอร์ ของ Flavour Applicator ตัวที่ 1</t>
  </si>
  <si>
    <t>ทำความสะอาดครีบ พัดลม และฝาครอบมอเตอร์ ของ Flavour Applicator ตัวที่ 2</t>
  </si>
  <si>
    <t>FR5-HI-EE</t>
  </si>
  <si>
    <t>Scarf Feeder</t>
  </si>
  <si>
    <t xml:space="preserve">ตรวจเช็คความเป็นฉนวนของ Magnet scarf feeder </t>
  </si>
  <si>
    <t>FR6</t>
  </si>
  <si>
    <t>FR6-NI-EE</t>
  </si>
  <si>
    <t>Mobile Conveyor#1</t>
  </si>
  <si>
    <t>ตรวจเช็คสภาพท่อร้อยสายไฟ ของ Mobile Conveyor#1</t>
  </si>
  <si>
    <t>ตรวจเช็คสภาพ Terminal box ของ Residence Conveyor</t>
  </si>
  <si>
    <t>ตรวจเช็คสภาพ Terminal box ของ Mobile Conveyor#1</t>
  </si>
  <si>
    <t>ตรวจเช็คสภาพ Terminal box ของ Elevating Conveyor</t>
  </si>
  <si>
    <t>FR6-NC-EE</t>
  </si>
  <si>
    <t>ทำความสะอาดครีบ พัดลม และฝาครอบมอเตอร์ ของ Mobile Conveyor#1</t>
  </si>
  <si>
    <t>FR7</t>
  </si>
  <si>
    <t>FR8</t>
  </si>
  <si>
    <t>FR9</t>
  </si>
  <si>
    <t>FR10</t>
  </si>
  <si>
    <t>FR11</t>
  </si>
  <si>
    <t>FR12</t>
  </si>
  <si>
    <t>ST0</t>
  </si>
  <si>
    <t>Sack Empty Hopper</t>
  </si>
  <si>
    <t>ST0-FI-EE</t>
  </si>
  <si>
    <t>Flour Mixer</t>
  </si>
  <si>
    <t>ตรวจเช็คกระแสไฟฟ้าทั้ง 3 เฟส ของ Flour Mixer</t>
  </si>
  <si>
    <t>Flour Mixer Charge Screw #1</t>
  </si>
  <si>
    <t>Pneumatic Conveyor</t>
  </si>
  <si>
    <t>ตรวจเช็คกระแสไฟฟ้าทั้ง 3 เฟส ของ Pneumatic Conveyor</t>
  </si>
  <si>
    <t>Flour Mixer Charge Screw #2</t>
  </si>
  <si>
    <t>ST0-MI-EE</t>
  </si>
  <si>
    <t>ตรวจเช็คสภาพท่อร้อยสายไฟ ของ Sack Empty Hopper</t>
  </si>
  <si>
    <t>Flour Mixer Charge Screw #3</t>
  </si>
  <si>
    <t>ตรวจเช็คสภาพท่อร้อยสายไฟ ของ Flour Mixer Charge Screw #1</t>
  </si>
  <si>
    <t>ตรวจเช็คสภาพท่อร้อยสายไฟ ของ Flour Mixer Charge Screw #2</t>
  </si>
  <si>
    <t>Flour Storage Tank</t>
  </si>
  <si>
    <t>ตรวจเช็คสภาพท่อร้อยสายไฟ ของ Flour Mixer Charge Screw #3</t>
  </si>
  <si>
    <t>Flour Discharge Horizental Screw</t>
  </si>
  <si>
    <t>ตรวจเช็คสภาพท่อร้อยสายไฟ ของ Flour Mixer</t>
  </si>
  <si>
    <t>Flour Discharge Vertical Screw</t>
  </si>
  <si>
    <t>ตรวจเช็คสภาพท่อร้อยสายไฟ ของ Flour Storage Tank</t>
  </si>
  <si>
    <t>Rotary Sieve</t>
  </si>
  <si>
    <t>ตรวจเช็คสภาพท่อร้อยสายไฟ ของ Flour Discharge Horizental Screw</t>
  </si>
  <si>
    <t>ตรวจเช็คสภาพท่อร้อยสายไฟ ของ Flour Discharge Vertical Screw</t>
  </si>
  <si>
    <t>ตรวจเช็คสภาพท่อร้อยสายไฟ ของ Rotary Sieve</t>
  </si>
  <si>
    <t>ตรวจเช็คสภาพท่อร้อยสายไฟ ของ Pneumatic Conveyor</t>
  </si>
  <si>
    <t>ตรวจเช็คสภาพ Terminal box ของ Sack Empty Hopper</t>
  </si>
  <si>
    <t>ตรวจเช็คสภาพ Terminal box ของ Flour Mixer Charge Screw #1</t>
  </si>
  <si>
    <t>ตรวจเช็คสภาพ Terminal box ของ Flour Mixer Charge Screw #2</t>
  </si>
  <si>
    <t>ตรวจเช็คสภาพ Terminal box ของ Flour Mixer Charge Screw #3</t>
  </si>
  <si>
    <t>ตรวจเช็คสภาพ Terminal box ของ Flour Mixer</t>
  </si>
  <si>
    <t>ตรวจเช็คสภาพ Terminal box ของ Flour Storage Tank</t>
  </si>
  <si>
    <t>ตรวจเช็คสภาพ Terminal box ของ Flour Discharge Horizental Screw</t>
  </si>
  <si>
    <t>ตรวจเช็คสภาพ Terminal box ของ Flour Discharge Vertical Screw</t>
  </si>
  <si>
    <t>ตรวจเช็คสภาพ Terminal box ของ Rotary Sieve</t>
  </si>
  <si>
    <t>ตรวจเช็คสภาพ Terminal box ของ Pneumatic Conveyor</t>
  </si>
  <si>
    <t>ST0-NC-EE</t>
  </si>
  <si>
    <t>ทำความสะอาดครีบ พัดลม และฝาครอบมอเตอร์ ของ Sack Empty Hopper</t>
  </si>
  <si>
    <t>ทำความสะอาดครีบ พัดลม และฝาครอบมอเตอร์ ของ Flour Mixer Charge Screw #1</t>
  </si>
  <si>
    <t>ทำความสะอาดครีบ พัดลม และฝาครอบมอเตอร์ ของ Flour Mixer Charge Screw #2</t>
  </si>
  <si>
    <t>ทำความสะอาดครีบ พัดลม และฝาครอบมอเตอร์ ของ Flour Mixer Charge Screw #3</t>
  </si>
  <si>
    <t>ทำความสะอาดครีบ พัดลม และฝาครอบมอเตอร์ ของ Flour Mixer</t>
  </si>
  <si>
    <t>ทำความสะอาดครีบ พัดลม และฝาครอบมอเตอร์ ของ Flour Storage Tank</t>
  </si>
  <si>
    <t>ทำความสะอาดครีบ พัดลม และฝาครอบมอเตอร์ ของ Flour Discharge Horizental Screw</t>
  </si>
  <si>
    <t>ทำความสะอาดครีบ พัดลม และฝาครอบมอเตอร์ ของ Flour Discharge Vertical Screw</t>
  </si>
  <si>
    <t>ทำความสะอาดครีบ พัดลม และฝาครอบมอเตอร์ ของ Rotary Sieve</t>
  </si>
  <si>
    <t>ทำความสะอาดครีบ พัดลม และฝาครอบมอเตอร์ ของ Pneumatic Conveyor</t>
  </si>
  <si>
    <t>ST0-QI-EE2</t>
  </si>
  <si>
    <t>ตรวจเช็คค่าความต้านทานของสาย Earth bonding จำนวน 3 จุด</t>
  </si>
  <si>
    <t>ST1</t>
  </si>
  <si>
    <t>Liquid Storage Tank #1</t>
  </si>
  <si>
    <t>ST1-MI-EE</t>
  </si>
  <si>
    <t>ตรวจเช็คสภาพท่อร้อยสายไฟ ของ Liquid Storage Tank #1</t>
  </si>
  <si>
    <t>Liquid Storage Tank #2</t>
  </si>
  <si>
    <t>ตรวจเช็คสภาพท่อร้อยสายไฟ ของ Liquid Storage Tank #2</t>
  </si>
  <si>
    <t>Liquid Preparation Tank</t>
  </si>
  <si>
    <t>ตรวจเช็คสภาพท่อร้อยสายไฟ ของ Liquid Preparation Tank</t>
  </si>
  <si>
    <t>Water Cooling Unit (GREEN BOX)</t>
  </si>
  <si>
    <t>ตรวจเช็คสภาพท่อร้อยสายไฟ ของ Water Cooling Unit (GREEN BOX)</t>
  </si>
  <si>
    <t>RO Unit</t>
  </si>
  <si>
    <t>ตรวจเช็คสภาพท่อร้อยสายไฟ ของ RO Unit</t>
  </si>
  <si>
    <t>ตรวจเช็คสภาพ Terminal box ของ Liquid Storage Tank #1</t>
  </si>
  <si>
    <t>ตรวจเช็คสภาพ Terminal box ของ Liquid Storage Tank #2</t>
  </si>
  <si>
    <t>ตรวจเช็คสภาพ Terminal box ของ Liquid Preparation Tank</t>
  </si>
  <si>
    <t>ตรวจเช็คสภาพ Terminal box ของ Water Cooling Unit (GREEN BOX)</t>
  </si>
  <si>
    <t>ตรวจเช็คสภาพ Terminal box ของ RO Unit</t>
  </si>
  <si>
    <t>ST1-NC-EE</t>
  </si>
  <si>
    <t>ทำความสะอาดครีบ พัดลม และฝาครอบมอเตอร์ ของ Liquid Storage Tank #1</t>
  </si>
  <si>
    <t>ทำความสะอาดครีบ พัดลม และฝาครอบมอเตอร์ ของ Liquid Storage Tank #2</t>
  </si>
  <si>
    <t>ทำความสะอาดครีบ พัดลม และฝาครอบมอเตอร์ ของ Liquid Preparation Tank</t>
  </si>
  <si>
    <t>ทำความสะอาดครีบ พัดลม และฝาครอบมอเตอร์ ของ Water Cooling Unit (GREEN BOX)</t>
  </si>
  <si>
    <t>ทำความสะอาดครีบ พัดลม และฝาครอบมอเตอร์ ของ RO Unit</t>
  </si>
  <si>
    <t>ST1-HC-EE</t>
  </si>
  <si>
    <t>Liquid Storage Tank #2  Chiller</t>
  </si>
  <si>
    <t xml:space="preserve">ถอดล้างทำความสะอาดคอนเดนเซอร์ และใบพัดของพัดลมระบายความร้อน พร้อมเช็คปริมาณของน้ำยาทำความเย็นของ Chiller </t>
  </si>
  <si>
    <t>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Water Cooling</t>
  </si>
  <si>
    <t>ST2</t>
  </si>
  <si>
    <t>ST2-FI-EE</t>
  </si>
  <si>
    <t>Wet Mixer</t>
  </si>
  <si>
    <t>ตรวจเช็คกระแสไฟฟ้าทั้ง 3 เฟส ของ Wet Mixer</t>
  </si>
  <si>
    <t>Flour Doser (K-TRON)</t>
  </si>
  <si>
    <t>ST2-MI-EE</t>
  </si>
  <si>
    <t>ตรวจเช็คสภาพท่อร้อยสายไฟ ของ Flour Doser (K-TRON)</t>
  </si>
  <si>
    <t>Mixer Jacket Cooling Unit</t>
  </si>
  <si>
    <t>ตรวจเช็คสภาพท่อร้อยสายไฟ ของ Wet Mixer</t>
  </si>
  <si>
    <t>Metal Detector Belt</t>
  </si>
  <si>
    <t>ตรวจเช็คสภาพท่อร้อยสายไฟ ของ Mixer Jacket Cooling Unit</t>
  </si>
  <si>
    <t>Reversible Transport Belt</t>
  </si>
  <si>
    <t>ตรวจเช็คสภาพท่อร้อยสายไฟ ของ Metal Detector Belt</t>
  </si>
  <si>
    <t>Laminating Roll Infeed Belt</t>
  </si>
  <si>
    <t>ตรวจเช็คสภาพท่อร้อยสายไฟ ของ Reversible Transport Belt</t>
  </si>
  <si>
    <t>Widening Drum</t>
  </si>
  <si>
    <t>ตรวจเช็คสภาพท่อร้อยสายไฟ ของ Laminating Roll Infeed Belt</t>
  </si>
  <si>
    <t>ตรวจเช็คสภาพท่อร้อยสายไฟ ของ Widening Drum</t>
  </si>
  <si>
    <t>ตรวจเช็คสภาพ Terminal box ของ Flour Doser (K-TRON)</t>
  </si>
  <si>
    <t>ตรวจเช็คสภาพ Terminal box ของ Wet Mixer</t>
  </si>
  <si>
    <t>ตรวจเช็คสภาพ Terminal box ของ Mixer Jacket Cooling Unit</t>
  </si>
  <si>
    <t>ตรวจเช็คสภาพ Terminal box ของ Metal Detector Belt</t>
  </si>
  <si>
    <t>ตรวจเช็คสภาพ Terminal box ของ Reversible Transport Belt</t>
  </si>
  <si>
    <t>ตรวจเช็คสภาพ Terminal box ของ Laminating Roll Infeed Belt</t>
  </si>
  <si>
    <t>ตรวจเช็คสภาพ Terminal box ของ Widening Drum</t>
  </si>
  <si>
    <t>ST2-NC-EE</t>
  </si>
  <si>
    <t>ทำความสะอาดครีบ พัดลม และฝาครอบมอเตอร์ ของ Flour Doser (K-TRON)</t>
  </si>
  <si>
    <t>ทำความสะอาดครีบ พัดลม และฝาครอบมอเตอร์ ของ Wet Mixer</t>
  </si>
  <si>
    <t>ทำความสะอาดครีบ พัดลม และฝาครอบมอเตอร์ ของ Mixer Jacket Cooling Unit</t>
  </si>
  <si>
    <t>ทำความสะอาดครีบ พัดลม และฝาครอบมอเตอร์ ของ Metal Detector Belt</t>
  </si>
  <si>
    <t>ทำความสะอาดครีบ พัดลม และฝาครอบมอเตอร์ ของ Reversible Transport Belt</t>
  </si>
  <si>
    <t>ทำความสะอาดครีบ พัดลม และฝาครอบมอเตอร์ ของ Laminating Roll Infeed Belt</t>
  </si>
  <si>
    <t>ทำความสะอาดครีบ พัดลม และฝาครอบมอเตอร์ ของ Widening Drum</t>
  </si>
  <si>
    <t>ST3</t>
  </si>
  <si>
    <t>Laminating Rolls (Rear)</t>
  </si>
  <si>
    <t>ST3-FI-EE</t>
  </si>
  <si>
    <t>ตรวจเช็คกระแสไฟฟ้าทั้ง 3 เฟส ของ Laminating Rolls (Rear)</t>
  </si>
  <si>
    <t>Laminating Rolls (Front)</t>
  </si>
  <si>
    <t>ตรวจเช็คกระแสไฟฟ้าทั้ง 3 เฟส ของ Laminating Rolls (Front)</t>
  </si>
  <si>
    <t>Laminating Roll Cooling Unit</t>
  </si>
  <si>
    <t>ตรวจเช็คกระแสไฟฟ้าทั้ง 3 เฟส ของ Laminating Roll Cooling Unit</t>
  </si>
  <si>
    <t>Cutter Conveyor</t>
  </si>
  <si>
    <t>ตรวจเช็คกระแสไฟฟ้าทั้ง 3 เฟส ของ Cutter Conveyor</t>
  </si>
  <si>
    <t>Cutter Roller</t>
  </si>
  <si>
    <t>ตรวจเช็คกระแสไฟฟ้าทั้ง 3 เฟส ของ Cutter Roller</t>
  </si>
  <si>
    <t>Slitter Infeed</t>
  </si>
  <si>
    <t>ST3-MI-EE</t>
  </si>
  <si>
    <t>ตรวจเช็คสภาพท่อร้อยสายไฟ ของ Laminating Rolls (Rear)</t>
  </si>
  <si>
    <t>Slitter</t>
  </si>
  <si>
    <t>ตรวจเช็คสภาพท่อร้อยสายไฟ ของ Laminating Rolls (Front)</t>
  </si>
  <si>
    <t>Scrap Grinder</t>
  </si>
  <si>
    <t>ตรวจเช็คสภาพท่อร้อยสายไฟ ของ Laminating Roll Cooling Unit</t>
  </si>
  <si>
    <t>Scrap Pneumatic Conveyor</t>
  </si>
  <si>
    <t>ตรวจเช็คสภาพท่อร้อยสายไฟ ของ Cutter Conveyor</t>
  </si>
  <si>
    <t>ตรวจเช็คสภาพท่อร้อยสายไฟ ของ Cutter Roller</t>
  </si>
  <si>
    <t>ตรวจเช็คสภาพท่อร้อยสายไฟ ของ Slitter Infeed</t>
  </si>
  <si>
    <t>ตรวจเช็คสภาพท่อร้อยสายไฟ ของ Slitter</t>
  </si>
  <si>
    <t>ตรวจเช็คสภาพท่อร้อยสายไฟ ของ Scrap Grinder</t>
  </si>
  <si>
    <t>ตรวจเช็คสภาพท่อร้อยสายไฟ ของ Scrap Pneumatic Conveyor</t>
  </si>
  <si>
    <t>ตรวจเช็คสภาพ Terminal box ของ Laminating Rolls (Rear)</t>
  </si>
  <si>
    <t>ตรวจเช็คสภาพ Terminal box ของ Laminating Rolls (Front)</t>
  </si>
  <si>
    <t>ตรวจเช็คสภาพ Terminal box ของ Laminating Roll Cooling Unit</t>
  </si>
  <si>
    <t>ตรวจเช็คสภาพ Terminal box ของ Cutter Conveyor</t>
  </si>
  <si>
    <t>ตรวจเช็คสภาพ Terminal box ของ Cutter Roller</t>
  </si>
  <si>
    <t>ตรวจเช็คสภาพ Terminal box ของ Slitter Infeed</t>
  </si>
  <si>
    <t>ตรวจเช็คสภาพ Terminal box ของ Slitter</t>
  </si>
  <si>
    <t>ตรวจเช็คสภาพ Terminal box ของ Scrap Grinder</t>
  </si>
  <si>
    <t>ตรวจเช็คสภาพ Terminal box ของ Scrap Pneumatic Conveyor</t>
  </si>
  <si>
    <t>ST3-NC-EE</t>
  </si>
  <si>
    <t>ทำความสะอาดครีบ พัดลม และฝาครอบมอเตอร์ ของ Laminating Rolls (Rear)</t>
  </si>
  <si>
    <t>ทำความสะอาดครีบ พัดลม และฝาครอบมอเตอร์ ของ Laminating Rolls (Front)</t>
  </si>
  <si>
    <t>ทำความสะอาดครีบ พัดลม และฝาครอบมอเตอร์ ของ Laminating Roll Cooling Unit</t>
  </si>
  <si>
    <t>ทำความสะอาดครีบ พัดลม และฝาครอบมอเตอร์ ของ Cutter Conveyor</t>
  </si>
  <si>
    <t>ทำความสะอาดครีบ พัดลม และฝาครอบมอเตอร์ ของ Cutter Roller</t>
  </si>
  <si>
    <t>ทำความสะอาดครีบ พัดลม และฝาครอบมอเตอร์ ของ Slitter Infeed</t>
  </si>
  <si>
    <t>ทำความสะอาดครีบ พัดลม และฝาครอบมอเตอร์ ของ Slitter</t>
  </si>
  <si>
    <t>ทำความสะอาดครีบ พัดลม และฝาครอบมอเตอร์ ของ Scrap Grinder</t>
  </si>
  <si>
    <t>ทำความสะอาดครีบ พัดลม และฝาครอบมอเตอร์ ของ Scrap Pneumatic Conveyor</t>
  </si>
  <si>
    <t>ST4</t>
  </si>
  <si>
    <t>Fryer Mold Conveyer</t>
  </si>
  <si>
    <t>ST4-MI-EE</t>
  </si>
  <si>
    <t>ตรวจเช็คสภาพท่อร้อยสายไฟ ของ Fryer Mold Conveyer</t>
  </si>
  <si>
    <t>Fryer Product Conveyor</t>
  </si>
  <si>
    <t>ตรวจเช็คสภาพท่อร้อยสายไฟ ของ Fryer Product Conveyor</t>
  </si>
  <si>
    <t>Exhaust Fan Infeed</t>
  </si>
  <si>
    <t>ตรวจเช็คสภาพท่อร้อยสายไฟ ของ Exhaust Fan Infeed</t>
  </si>
  <si>
    <t>Exhaust Fan Discharge</t>
  </si>
  <si>
    <t>ตรวจเช็คสภาพท่อร้อยสายไฟ ของ Exhaust Fan Discharge</t>
  </si>
  <si>
    <t>Fryer Hood &amp; Lifter</t>
  </si>
  <si>
    <t>ตรวจเช็คสภาพท่อร้อยสายไฟ ของ Fryer Hood &amp; Lifter</t>
  </si>
  <si>
    <t>Hold Down Conveyor</t>
  </si>
  <si>
    <t>ตรวจเช็คสภาพท่อร้อยสายไฟ ของ Hold Down Conveyor</t>
  </si>
  <si>
    <t xml:space="preserve">ตรวจเช็คสภาพท่อร้อยสายไฟ ของ Air Cooling Exhaust </t>
  </si>
  <si>
    <t>ตรวจเช็คสภาพ Terminal box ของ Fryer Mold Conveyer</t>
  </si>
  <si>
    <t>ตรวจเช็คสภาพ Terminal box ของ Fryer Product Conveyor</t>
  </si>
  <si>
    <t>ตรวจเช็คสภาพ Terminal box ของ Exhaust Fan Infeed</t>
  </si>
  <si>
    <t>ตรวจเช็คสภาพ Terminal box ของ Exhaust Fan Discharge</t>
  </si>
  <si>
    <t>ตรวจเช็คสภาพ Terminal box ของ Fryer Hood &amp; Lifter</t>
  </si>
  <si>
    <t>ตรวจเช็คสภาพ Terminal box ของ Hold Down Conveyor</t>
  </si>
  <si>
    <t>ST4-NC-EE</t>
  </si>
  <si>
    <t>ทำความสะอาดครีบ พัดลม และฝาครอบมอเตอร์ ของ Fryer Mold Conveyer</t>
  </si>
  <si>
    <t>ทำความสะอาดครีบ พัดลม และฝาครอบมอเตอร์ ของ Fryer Product Conveyor</t>
  </si>
  <si>
    <t>ทำความสะอาดครีบ พัดลม และฝาครอบมอเตอร์ ของ Exhaust Fan Infeed</t>
  </si>
  <si>
    <t>ทำความสะอาดครีบ พัดลม และฝาครอบมอเตอร์ ของ Exhaust Fan Discharge</t>
  </si>
  <si>
    <t>ทำความสะอาดครีบ พัดลม และฝาครอบมอเตอร์ ของ Fryer Hood &amp; Lifter</t>
  </si>
  <si>
    <t>ทำความสะอาดครีบ พัดลม และฝาครอบมอเตอร์ ของ Hold Down Conveyor</t>
  </si>
  <si>
    <t>ST5</t>
  </si>
  <si>
    <t>ST5-FC-EE2</t>
  </si>
  <si>
    <t>Duel Fuel Burner</t>
  </si>
  <si>
    <t>ทำความสะอาด Burner Blower, ใบพัดมอเตอร์, Flame Sensor และ Damper ของ Fryer Burner</t>
  </si>
  <si>
    <t>Fresh &amp; Used Oil Make-Up Pump</t>
  </si>
  <si>
    <t>ST5-FI-EE</t>
  </si>
  <si>
    <t>ST5-MI-EE</t>
  </si>
  <si>
    <t>ตรวจวัดค่า Combustion ของ Burner</t>
  </si>
  <si>
    <t>ST5-MI-EE2</t>
  </si>
  <si>
    <t>ตรวจเช็คสภาพท่อร้อยสายไฟ ของ Fresh &amp; Used Oil Make-Up Pump</t>
  </si>
  <si>
    <t>Fryer Oil Drippage Pump</t>
  </si>
  <si>
    <t>Fryer Oil CIP Pump</t>
  </si>
  <si>
    <t>ตรวจเช็คสภาพท่อร้อยสายไฟ ของ Fryer Oil Drippage Pump</t>
  </si>
  <si>
    <t>ตรวจเช็คสภาพท่อร้อยสายไฟ ของ Fryer Oil CIP Pump</t>
  </si>
  <si>
    <t>ตรวจเช็คสภาพท่อร้อยสายไฟ ของ Duel Fuel Burner</t>
  </si>
  <si>
    <t>ตรวจเช็คสภาพ Terminal box ของ Fresh &amp; Used Oil Make-Up Pump</t>
  </si>
  <si>
    <t>ตรวจเช็คสภาพ Terminal box ของ Fryer Oil Drippage Pump</t>
  </si>
  <si>
    <t>ตรวจเช็คสภาพ Terminal box ของ Fryer Oil CIP Pump</t>
  </si>
  <si>
    <t>ตรวจเช็คสภาพ Terminal box ของ Duel Fuel Burner</t>
  </si>
  <si>
    <t>ST5-NC-EE</t>
  </si>
  <si>
    <t>ทำความสะอาดครีบ พัดลม และฝาครอบมอเตอร์ ของ Fresh &amp; Used Oil Make-Up Pump</t>
  </si>
  <si>
    <t>ทำความสะอาดครีบ พัดลม และฝาครอบมอเตอร์ ของ Fryer Oil Drippage Pump</t>
  </si>
  <si>
    <t>ทำความสะอาดครีบ พัดลม และฝาครอบมอเตอร์ ของ Fryer Oil CIP Pump</t>
  </si>
  <si>
    <t>ทำความสะอาดครีบ พัดลม และฝาครอบมอเตอร์ ของ Duel Fuel Burner</t>
  </si>
  <si>
    <t>ST5-HR-EE</t>
  </si>
  <si>
    <t>เปลี่ยน Flame Sensor Duel Fuel Burner</t>
  </si>
  <si>
    <t>ST5-HC-EE</t>
  </si>
  <si>
    <t>ST5-YCB-EE</t>
  </si>
  <si>
    <t>ST5-YI-EE</t>
  </si>
  <si>
    <t>ST6</t>
  </si>
  <si>
    <t>SSN Applicator</t>
  </si>
  <si>
    <t>ST6-MI-EE</t>
  </si>
  <si>
    <t>ตรวจเช็คสภาพท่อร้อยสายไฟ ของ SSN Applicator</t>
  </si>
  <si>
    <t>SSN Agitator</t>
  </si>
  <si>
    <t>ตรวจเช็คสภาพท่อร้อยสายไฟ ของ SSN Agitator</t>
  </si>
  <si>
    <t>ตรวจเช็คสภาพท่อร้อยสายไฟ ของ Scarf Feeder</t>
  </si>
  <si>
    <t>SSN Reclaim Vibrating Conveyor</t>
  </si>
  <si>
    <t>ตรวจเช็คสภาพท่อร้อยสายไฟ ของ SSN Reclaim Vibrating Conveyor</t>
  </si>
  <si>
    <t>SSN Sieve Conveyor</t>
  </si>
  <si>
    <t>ตรวจเช็คสภาพท่อร้อยสายไฟ ของ SSN Sieve Conveyor</t>
  </si>
  <si>
    <t>SSN Reclaim Bulk Feeder Screw</t>
  </si>
  <si>
    <t>ตรวจเช็คสภาพท่อร้อยสายไฟ ของ SSN Reclaim Bulk Feeder Screw</t>
  </si>
  <si>
    <t>SSN Reclaim Agitator</t>
  </si>
  <si>
    <t>ตรวจเช็คสภาพท่อร้อยสายไฟ ของ SSN Reclaim Agitator</t>
  </si>
  <si>
    <t>SSN Bulk Feeder Agitator</t>
  </si>
  <si>
    <t>ตรวจเช็คสภาพท่อร้อยสายไฟ ของ SSN Bulk Feeder Agitator</t>
  </si>
  <si>
    <t>SSN Bulk Feeder Screw</t>
  </si>
  <si>
    <t>ตรวจเช็คสภาพท่อร้อยสายไฟ ของ SSN Bulk Feeder Screw</t>
  </si>
  <si>
    <t>Flavouring Rope Conveyor</t>
  </si>
  <si>
    <t>ตรวจเช็คสภาพท่อร้อยสายไฟ ของ Flavouring Rope Conveyor</t>
  </si>
  <si>
    <t>Flipping Belt</t>
  </si>
  <si>
    <t>ตรวจเช็คสภาพท่อร้อยสายไฟ ของ Flipping Belt</t>
  </si>
  <si>
    <t>ตรวจเช็คสภาพ Terminal box ของ SSN Applicator</t>
  </si>
  <si>
    <t>ตรวจเช็คสภาพ Terminal box ของ SSN Agitator</t>
  </si>
  <si>
    <t>ตรวจเช็คสภาพ Terminal box ของ Scarf Feeder</t>
  </si>
  <si>
    <t>ตรวจเช็คสภาพ Terminal box ของ SSN Reclaim Vibrating Conveyor</t>
  </si>
  <si>
    <t>ตรวจเช็คสภาพ Terminal box ของ SSN Sieve Conveyor</t>
  </si>
  <si>
    <t>ตรวจเช็คสภาพ Terminal box ของ SSN Reclaim Bulk Feeder Screw</t>
  </si>
  <si>
    <t>ตรวจเช็คสภาพ Terminal box ของ SSN Reclaim Agitator</t>
  </si>
  <si>
    <t>ตรวจเช็คสภาพ Terminal box ของ SSN Bulk Feeder Agitator</t>
  </si>
  <si>
    <t>ตรวจเช็คสภาพ Terminal box ของ SSN Bulk Feeder Screw</t>
  </si>
  <si>
    <t>ตรวจเช็คสภาพ Terminal box ของ Flavouring Rope Conveyor</t>
  </si>
  <si>
    <t>ตรวจเช็คสภาพ Terminal box ของ Flipping Belt</t>
  </si>
  <si>
    <t>ST6-NC-EE</t>
  </si>
  <si>
    <t>ทำความสะอาดครีบ พัดลม และฝาครอบมอเตอร์ ของ SSN Applicator</t>
  </si>
  <si>
    <t>ทำความสะอาดครีบ พัดลม และฝาครอบมอเตอร์ ของ SSN Agitator</t>
  </si>
  <si>
    <t>ทำความสะอาดครีบ พัดลม และฝาครอบมอเตอร์ ของ Scarf Feeder</t>
  </si>
  <si>
    <t>ทำความสะอาดครีบ พัดลม และฝาครอบมอเตอร์ ของ SSN Reclaim Vibrating Conveyor</t>
  </si>
  <si>
    <t>ทำความสะอาดครีบ พัดลม และฝาครอบมอเตอร์ ของ SSN Sieve Conveyor</t>
  </si>
  <si>
    <t>ทำความสะอาดครีบ พัดลม และฝาครอบมอเตอร์ ของ SSN Reclaim Bulk Feeder Screw</t>
  </si>
  <si>
    <t>ทำความสะอาดครีบ พัดลม และฝาครอบมอเตอร์ ของ SSN Reclaim Agitator</t>
  </si>
  <si>
    <t>ทำความสะอาดครีบ พัดลม และฝาครอบมอเตอร์ ของ SSN Bulk Feeder Agitator</t>
  </si>
  <si>
    <t>ทำความสะอาดครีบ พัดลม และฝาครอบมอเตอร์ ของ SSN Bulk Feeder Screw</t>
  </si>
  <si>
    <t>ทำความสะอาดครีบ พัดลม และฝาครอบมอเตอร์ ของ Flavouring Rope Conveyor</t>
  </si>
  <si>
    <t>ทำความสะอาดครีบ พัดลม และฝาครอบมอเตอร์ ของ Flipping Belt</t>
  </si>
  <si>
    <t>ST6-HI-EE</t>
  </si>
  <si>
    <t>ST7</t>
  </si>
  <si>
    <t>Infeed Conveyor #1</t>
  </si>
  <si>
    <t>ST7-MI-EE</t>
  </si>
  <si>
    <t>ตรวจเช็คสภาพท่อร้อยสายไฟ ของ Infeed Conveyor #1</t>
  </si>
  <si>
    <t>Infeed Conveyor #2</t>
  </si>
  <si>
    <t>ตรวจเช็คสภาพท่อร้อยสายไฟ ของ Infeed Conveyor #2</t>
  </si>
  <si>
    <t>Infeed Lowrator #1</t>
  </si>
  <si>
    <t>ตรวจเช็คสภาพท่อร้อยสายไฟ ของ Infeed Lowrator #1</t>
  </si>
  <si>
    <t>Infeed Lowrator #2</t>
  </si>
  <si>
    <t>ตรวจเช็คสภาพท่อร้อยสายไฟ ของ Infeed Lowrator #2</t>
  </si>
  <si>
    <t>Lowrator &amp; Rinser #1</t>
  </si>
  <si>
    <t>ตรวจเช็คสภาพท่อร้อยสายไฟ ของ Lowrator &amp; Rinser #1</t>
  </si>
  <si>
    <t>Lowrator &amp; Rinser #2</t>
  </si>
  <si>
    <t>ตรวจเช็คสภาพท่อร้อยสายไฟ ของ Lowrator &amp; Rinser #2</t>
  </si>
  <si>
    <t>Lowrator &amp; Rinser #3</t>
  </si>
  <si>
    <t>ตรวจเช็คสภาพท่อร้อยสายไฟ ของ Lowrator &amp; Rinser #3</t>
  </si>
  <si>
    <t>Lowrator &amp; Rinser #4</t>
  </si>
  <si>
    <t>ตรวจเช็คสภาพท่อร้อยสายไฟ ของ Lowrator &amp; Rinser #4</t>
  </si>
  <si>
    <t>Infeed Divider #1</t>
  </si>
  <si>
    <t>ตรวจเช็คสภาพท่อร้อยสายไฟ ของ Infeed Divider #1</t>
  </si>
  <si>
    <t>Infeed Divider #2</t>
  </si>
  <si>
    <t>ตรวจเช็คสภาพท่อร้อยสายไฟ ของ Infeed Divider #2</t>
  </si>
  <si>
    <t>Outfeed Divider #1</t>
  </si>
  <si>
    <t>ตรวจเช็คสภาพท่อร้อยสายไฟ ของ Outfeed Divider #1</t>
  </si>
  <si>
    <t>Outfeed Divider #2</t>
  </si>
  <si>
    <t>ตรวจเช็คสภาพท่อร้อยสายไฟ ของ Outfeed Divider #2</t>
  </si>
  <si>
    <t>ตรวจเช็คสภาพ Terminal box ของ Infeed Conveyor #1</t>
  </si>
  <si>
    <t>ตรวจเช็คสภาพ Terminal box ของ Infeed Conveyor #2</t>
  </si>
  <si>
    <t>ตรวจเช็คสภาพ Terminal box ของ Infeed Lowrator #1</t>
  </si>
  <si>
    <t>ตรวจเช็คสภาพ Terminal box ของ Infeed Lowrator #2</t>
  </si>
  <si>
    <t>ตรวจเช็คสภาพ Terminal box ของ Lowrator &amp; Rinser #1</t>
  </si>
  <si>
    <t>ตรวจเช็คสภาพ Terminal box ของ Lowrator &amp; Rinser #2</t>
  </si>
  <si>
    <t>ตรวจเช็คสภาพ Terminal box ของ Lowrator &amp; Rinser #3</t>
  </si>
  <si>
    <t>ตรวจเช็คสภาพ Terminal box ของ Lowrator &amp; Rinser #4</t>
  </si>
  <si>
    <t>ตรวจเช็คสภาพ Terminal box ของ Infeed Divider #1</t>
  </si>
  <si>
    <t>ตรวจเช็คสภาพ Terminal box ของ Infeed Divider #2</t>
  </si>
  <si>
    <t>ตรวจเช็คสภาพ Terminal box ของ Outfeed Divider #1</t>
  </si>
  <si>
    <t>ตรวจเช็คสภาพ Terminal box ของ Outfeed Divider #2</t>
  </si>
  <si>
    <t>ST7-NC-EE</t>
  </si>
  <si>
    <t>ทำความสะอาดครีบ พัดลม และฝาครอบมอเตอร์ ของ Infeed Conveyor #1</t>
  </si>
  <si>
    <t>ทำความสะอาดครีบ พัดลม และฝาครอบมอเตอร์ ของ Infeed Conveyor #2</t>
  </si>
  <si>
    <t>ทำความสะอาดครีบ พัดลม และฝาครอบมอเตอร์ ของ Infeed Lowrator #1</t>
  </si>
  <si>
    <t>ทำความสะอาดครีบ พัดลม และฝาครอบมอเตอร์ ของ Infeed Lowrator #2</t>
  </si>
  <si>
    <t>ทำความสะอาดครีบ พัดลม และฝาครอบมอเตอร์ ของ Lowrator &amp; Rinser #1</t>
  </si>
  <si>
    <t>ทำความสะอาดครีบ พัดลม และฝาครอบมอเตอร์ ของ Lowrator &amp; Rinser #2</t>
  </si>
  <si>
    <t>ทำความสะอาดครีบ พัดลม และฝาครอบมอเตอร์ ของ Lowrator &amp; Rinser #3</t>
  </si>
  <si>
    <t>ทำความสะอาดครีบ พัดลม และฝาครอบมอเตอร์ ของ Lowrator &amp; Rinser #4</t>
  </si>
  <si>
    <t>ทำความสะอาดครีบ พัดลม และฝาครอบมอเตอร์ ของ Infeed Divider #1</t>
  </si>
  <si>
    <t>ทำความสะอาดครีบ พัดลม และฝาครอบมอเตอร์ ของ Infeed Divider #2</t>
  </si>
  <si>
    <t>ทำความสะอาดครีบ พัดลม และฝาครอบมอเตอร์ ของ Outfeed Divider #1</t>
  </si>
  <si>
    <t>ทำความสะอาดครีบ พัดลม และฝาครอบมอเตอร์ ของ Outfeed Divider #2</t>
  </si>
  <si>
    <t>ST8</t>
  </si>
  <si>
    <t>Portioning Conveyor #1 (Left-Right Side)</t>
  </si>
  <si>
    <t>ST8-MI-EE</t>
  </si>
  <si>
    <t>ตรวจเช็คสภาพท่อร้อยสายไฟ ของ Portioning Conveyor #1 (Left-Right Side)</t>
  </si>
  <si>
    <t>Portioning Conveyor #2 (Left-Right Side)</t>
  </si>
  <si>
    <t>ตรวจเช็คสภาพท่อร้อยสายไฟ ของ Portioning Conveyor #2 (Left-Right Side)</t>
  </si>
  <si>
    <t>Portioning Conveyor #3 (Left-Right Side)</t>
  </si>
  <si>
    <t>ตรวจเช็คสภาพท่อร้อยสายไฟ ของ Portioning Conveyor #3 (Left-Right Side)</t>
  </si>
  <si>
    <t>Portioning Conveyor #4 (Left-Right Side)</t>
  </si>
  <si>
    <t>ตรวจเช็คสภาพท่อร้อยสายไฟ ของ Portioning Conveyor #4 (Left-Right Side)</t>
  </si>
  <si>
    <t>Filler Table Conveyor #1</t>
  </si>
  <si>
    <t>ตรวจเช็คสภาพท่อร้อยสายไฟ ของ Filler Table Conveyor #1</t>
  </si>
  <si>
    <t>Filler Table Conveyor #2</t>
  </si>
  <si>
    <t>ตรวจเช็คสภาพท่อร้อยสายไฟ ของ Filler Table Conveyor #2</t>
  </si>
  <si>
    <t>Outfeed Filler Table Conveyor #1</t>
  </si>
  <si>
    <t>ตรวจเช็คสภาพท่อร้อยสายไฟ ของ Outfeed Filler Table Conveyor #1</t>
  </si>
  <si>
    <t>Outfeed Filler Table Conveyor #2</t>
  </si>
  <si>
    <t>ตรวจเช็คสภาพท่อร้อยสายไฟ ของ Outfeed Filler Table Conveyor #2</t>
  </si>
  <si>
    <t>Outfeed Filler Table Conveyor #3</t>
  </si>
  <si>
    <t>ตรวจเช็คสภาพท่อร้อยสายไฟ ของ Outfeed Filler Table Conveyor #3</t>
  </si>
  <si>
    <t>Outfeed Filler Table Conveyor #4</t>
  </si>
  <si>
    <t>ตรวจเช็คสภาพท่อร้อยสายไฟ ของ Outfeed Filler Table Conveyor #4</t>
  </si>
  <si>
    <t>ตรวจเช็คสภาพ Terminal box ของ Portioning Conveyor #1 (Left-Right Side)</t>
  </si>
  <si>
    <t>ตรวจเช็คสภาพ Terminal box ของ Portioning Conveyor #2 (Left-Right Side)</t>
  </si>
  <si>
    <t>ตรวจเช็คสภาพ Terminal box ของ Portioning Conveyor #3 (Left-Right Side)</t>
  </si>
  <si>
    <t>ตรวจเช็คสภาพ Terminal box ของ Portioning Conveyor #4 (Left-Right Side)</t>
  </si>
  <si>
    <t>ตรวจเช็คสภาพ Terminal box ของ Filler Table Conveyor #1</t>
  </si>
  <si>
    <t>ตรวจเช็คสภาพ Terminal box ของ Filler Table Conveyor #2</t>
  </si>
  <si>
    <t>ตรวจเช็คสภาพ Terminal box ของ Outfeed Filler Table Conveyor #1</t>
  </si>
  <si>
    <t>ตรวจเช็คสภาพ Terminal box ของ Outfeed Filler Table Conveyor #2</t>
  </si>
  <si>
    <t>ตรวจเช็คสภาพ Terminal box ของ Outfeed Filler Table Conveyor #3</t>
  </si>
  <si>
    <t>ตรวจเช็คสภาพ Terminal box ของ Outfeed Filler Table Conveyor #4</t>
  </si>
  <si>
    <t>ST8-NC-EE</t>
  </si>
  <si>
    <t>ทำความสะอาดครีบ พัดลม และฝาครอบมอเตอร์ ของ Portioning Conveyor #1 (Left-Right Side)</t>
  </si>
  <si>
    <t>ทำความสะอาดครีบ พัดลม และฝาครอบมอเตอร์ ของ Portioning Conveyor #2 (Left-Right Side)</t>
  </si>
  <si>
    <t>ทำความสะอาดครีบ พัดลม และฝาครอบมอเตอร์ ของ Portioning Conveyor #3 (Left-Right Side)</t>
  </si>
  <si>
    <t>ทำความสะอาดครีบ พัดลม และฝาครอบมอเตอร์ ของ Portioning Conveyor #4 (Left-Right Side)</t>
  </si>
  <si>
    <t>ทำความสะอาดครีบ พัดลม และฝาครอบมอเตอร์ ของ Filler Table Conveyor #1</t>
  </si>
  <si>
    <t>ทำความสะอาดครีบ พัดลม และฝาครอบมอเตอร์ ของ Filler Table Conveyor #2</t>
  </si>
  <si>
    <t>ทำความสะอาดครีบ พัดลม และฝาครอบมอเตอร์ ของ Outfeed Filler Table Conveyor #1</t>
  </si>
  <si>
    <t>ทำความสะอาดครีบ พัดลม และฝาครอบมอเตอร์ ของ Outfeed Filler Table Conveyor #2</t>
  </si>
  <si>
    <t>ทำความสะอาดครีบ พัดลม และฝาครอบมอเตอร์ ของ Outfeed Filler Table Conveyor #3</t>
  </si>
  <si>
    <t>ทำความสะอาดครีบ พัดลม และฝาครอบมอเตอร์ ของ Outfeed Filler Table Conveyor #4</t>
  </si>
  <si>
    <t>ST9</t>
  </si>
  <si>
    <t>Infeed Weigher Conveyor #1</t>
  </si>
  <si>
    <t>ST9-MI-EE</t>
  </si>
  <si>
    <t>ตรวจเช็คสภาพท่อร้อยสายไฟ ของ Infeed Weigher Conveyor #1</t>
  </si>
  <si>
    <t>Infeed Weigher Conveyor #2</t>
  </si>
  <si>
    <t>ตรวจเช็คสภาพท่อร้อยสายไฟ ของ Infeed Weigher Conveyor #2</t>
  </si>
  <si>
    <t>Automatic Weigher (Size S)</t>
  </si>
  <si>
    <t>ตรวจเช็คสภาพท่อร้อยสายไฟ ของ Automatic Weigher (Size S)</t>
  </si>
  <si>
    <t>Automatic Weigher (Size L)</t>
  </si>
  <si>
    <t>ตรวจเช็คสภาพท่อร้อยสายไฟ ของ Automatic Weigher (Size L)</t>
  </si>
  <si>
    <t>Outfeed Weigher Conveyor #1</t>
  </si>
  <si>
    <t>ตรวจเช็คสภาพท่อร้อยสายไฟ ของ Outfeed Weigher Conveyor #1</t>
  </si>
  <si>
    <t>Outfeed Weigher Conveyor #2</t>
  </si>
  <si>
    <t>ตรวจเช็คสภาพท่อร้อยสายไฟ ของ Outfeed Weigher Conveyor #2</t>
  </si>
  <si>
    <t>Infeed Alpine Conveyor #1</t>
  </si>
  <si>
    <t>ตรวจเช็คสภาพท่อร้อยสายไฟ ของ Infeed Alpine Conveyor #1</t>
  </si>
  <si>
    <t>Infeed Alpine Conveyor #2</t>
  </si>
  <si>
    <t>ตรวจเช็คสภาพท่อร้อยสายไฟ ของ Infeed Alpine Conveyor #2</t>
  </si>
  <si>
    <t>Alpine Cooling Conveyor #1</t>
  </si>
  <si>
    <t>ตรวจเช็คสภาพท่อร้อยสายไฟ ของ Alpine Cooling Conveyor #1</t>
  </si>
  <si>
    <t>Alpine Cooling Conveyor #2</t>
  </si>
  <si>
    <t>ตรวจเช็คสภาพท่อร้อยสายไฟ ของ Alpine Cooling Conveyor #2</t>
  </si>
  <si>
    <t>Alpine Cooling Conveyor #3</t>
  </si>
  <si>
    <t>ตรวจเช็คสภาพท่อร้อยสายไฟ ของ Alpine Cooling Conveyor #3</t>
  </si>
  <si>
    <t>Alpine Cooling Conveyor #4</t>
  </si>
  <si>
    <t>ตรวจเช็คสภาพท่อร้อยสายไฟ ของ Alpine Cooling Conveyor #4</t>
  </si>
  <si>
    <t>Outfeed Cooling Conveyor #1</t>
  </si>
  <si>
    <t>ตรวจเช็คสภาพท่อร้อยสายไฟ ของ Outfeed Cooling Conveyor #1</t>
  </si>
  <si>
    <t>Outfeed Cooling Conveyor #2</t>
  </si>
  <si>
    <t>ตรวจเช็คสภาพท่อร้อยสายไฟ ของ Outfeed Cooling Conveyor #2</t>
  </si>
  <si>
    <t>Flexi Conveyor #1</t>
  </si>
  <si>
    <t>ตรวจเช็คสภาพ Terminal box ของ Infeed Weigher Conveyor #1</t>
  </si>
  <si>
    <t>Flexi Conveyor #2</t>
  </si>
  <si>
    <t>ตรวจเช็คสภาพ Terminal box ของ Infeed Weigher Conveyor #2</t>
  </si>
  <si>
    <t>Flexi Conveyor #3</t>
  </si>
  <si>
    <t>ตรวจเช็คสภาพ Terminal box ของ Automatic Weigher (Size S)</t>
  </si>
  <si>
    <t>Flexi Conveyor #4</t>
  </si>
  <si>
    <t>ตรวจเช็คสภาพ Terminal box ของ Automatic Weigher (Size L)</t>
  </si>
  <si>
    <t>Flexi Conveyor #5</t>
  </si>
  <si>
    <t>ตรวจเช็คสภาพ Terminal box ของ Outfeed Weigher Conveyor #1</t>
  </si>
  <si>
    <t>Flexi Conveyor #6</t>
  </si>
  <si>
    <t>ตรวจเช็คสภาพ Terminal box ของ Outfeed Weigher Conveyor #2</t>
  </si>
  <si>
    <t>Flexi Conveyor #7</t>
  </si>
  <si>
    <t>ตรวจเช็คสภาพ Terminal box ของ Infeed Alpine Conveyor #1</t>
  </si>
  <si>
    <t>ตรวจเช็คสภาพ Terminal box ของ Infeed Alpine Conveyor #2</t>
  </si>
  <si>
    <t>ตรวจเช็คสภาพ Terminal box ของ Alpine Cooling Conveyor #1</t>
  </si>
  <si>
    <t>ตรวจเช็คสภาพ Terminal box ของ Alpine Cooling Conveyor #2</t>
  </si>
  <si>
    <t>ตรวจเช็คสภาพ Terminal box ของ Alpine Cooling Conveyor #3</t>
  </si>
  <si>
    <t>ตรวจเช็คสภาพ Terminal box ของ Alpine Cooling Conveyor #4</t>
  </si>
  <si>
    <t>ตรวจเช็คสภาพ Terminal box ของ Outfeed Cooling Conveyor #1</t>
  </si>
  <si>
    <t>ตรวจเช็คสภาพ Terminal box ของ Outfeed Cooling Conveyor #2</t>
  </si>
  <si>
    <t>ST9-NC-EE</t>
  </si>
  <si>
    <t>ทำความสะอาดครีบ พัดลม และฝาครอบมอเตอร์ ของ Infeed Weigher Conveyor #1</t>
  </si>
  <si>
    <t>ทำความสะอาดครีบ พัดลม และฝาครอบมอเตอร์ ของ Infeed Weigher Conveyor #2</t>
  </si>
  <si>
    <t>ทำความสะอาดครีบ พัดลม และฝาครอบมอเตอร์ ของ Automatic Weigher (Size S)</t>
  </si>
  <si>
    <t>ทำความสะอาดครีบ พัดลม และฝาครอบมอเตอร์ ของ Automatic Weigher (Size L)</t>
  </si>
  <si>
    <t>ทำความสะอาดครีบ พัดลม และฝาครอบมอเตอร์ ของ Outfeed Weigher Conveyor #1</t>
  </si>
  <si>
    <t>ทำความสะอาดครีบ พัดลม และฝาครอบมอเตอร์ ของ Outfeed Weigher Conveyor #2</t>
  </si>
  <si>
    <t>ทำความสะอาดครีบ พัดลม และฝาครอบมอเตอร์ ของ Infeed Alpine Conveyor #1</t>
  </si>
  <si>
    <t>ทำความสะอาดครีบ พัดลม และฝาครอบมอเตอร์ ของ Infeed Alpine Conveyor #2</t>
  </si>
  <si>
    <t>ทำความสะอาดครีบ พัดลม และฝาครอบมอเตอร์ ของ Alpine Cooling Conveyor #1</t>
  </si>
  <si>
    <t>ทำความสะอาดครีบ พัดลม และฝาครอบมอเตอร์ ของ Alpine Cooling Conveyor #2</t>
  </si>
  <si>
    <t>ทำความสะอาดครีบ พัดลม และฝาครอบมอเตอร์ ของ Alpine Cooling Conveyor #3</t>
  </si>
  <si>
    <t>ทำความสะอาดครีบ พัดลม และฝาครอบมอเตอร์ ของ Alpine Cooling Conveyor #4</t>
  </si>
  <si>
    <t>ทำความสะอาดครีบ พัดลม และฝาครอบมอเตอร์ ของ Outfeed Cooling Conveyor #1</t>
  </si>
  <si>
    <t>ทำความสะอาดครีบ พัดลม และฝาครอบมอเตอร์ ของ Outfeed Cooling Conveyor #2</t>
  </si>
  <si>
    <t>ตรวจเช็คสภาพท่อร้อยสายไฟ ของFlexi Conveyor #1</t>
  </si>
  <si>
    <t>ตรวจเช็คสภาพท่อร้อยสายไฟ ของFlexi Conveyor #2</t>
  </si>
  <si>
    <t>ตรวจเช็คสภาพท่อร้อยสายไฟ ของFlexi Conveyor #3</t>
  </si>
  <si>
    <t>ตรวจเช็คสภาพท่อร้อยสายไฟ ของFlexi Conveyor #4</t>
  </si>
  <si>
    <t>ตรวจเช็คสภาพท่อร้อยสายไฟ ของFlexi Conveyor #5</t>
  </si>
  <si>
    <t>ตรวจเช็คสภาพท่อร้อยสายไฟ ของFlexi Conveyor #6</t>
  </si>
  <si>
    <t>ตรวจเช็คสภาพท่อร้อยสายไฟ ของFlexi Conveyor #7</t>
  </si>
  <si>
    <t xml:space="preserve">Elevating Conveyor </t>
  </si>
  <si>
    <t>Vibrating Conveyor (Out Feed)</t>
  </si>
  <si>
    <t>ตรวจเช็คสภาพท่อร้อยสายไฟ ของ Vibrating Conveyor (Out Feed)</t>
  </si>
  <si>
    <t>ตรวจเช็คสภาพทั่วไป Terminal box ของFlexi Conveyor #1</t>
  </si>
  <si>
    <t>ตรวจเช็คสภาพทั่วไป Terminal box ของFlexi Conveyor #2</t>
  </si>
  <si>
    <t>ตรวจเช็คสภาพทั่วไป Terminal box ของFlexi Conveyor #3</t>
  </si>
  <si>
    <t>ตรวจเช็คสภาพทั่วไป Terminal box ของFlexi Conveyor #4</t>
  </si>
  <si>
    <t>ตรวจเช็คสภาพทั่วไป Terminal box ของFlexi Conveyor #5</t>
  </si>
  <si>
    <t>ตรวจเช็คสภาพทั่วไป Terminal box ของFlexi Conveyor #6</t>
  </si>
  <si>
    <t>ตรวจเช็คสภาพทั่วไป Terminal box ของFlexi Conveyor #7</t>
  </si>
  <si>
    <t>ตรวจเช็คสภาพทั่วไป Terminal box  ของ Elevating Conveyor</t>
  </si>
  <si>
    <t>ตรวจเช็คสภาพทั่วไป Terminal box ของ Vibrating Conveyor  (Out Feed)</t>
  </si>
  <si>
    <t>ST9-MC-EE</t>
  </si>
  <si>
    <t>ทำความสะอาด Terminal box ของ Magnet รางสั่น Flexi Conveyor #1</t>
  </si>
  <si>
    <t>ทำความสะอาด Terminal box ของ Magnet รางสั่น Flexi Conveyor #2</t>
  </si>
  <si>
    <t>ทำความสะอาด Terminal box ของ Magnet รางสั่น Flexi Conveyor #3</t>
  </si>
  <si>
    <t>ทำความสะอาด Terminal box ของ Magnet รางสั่น Flexi Conveyor #4</t>
  </si>
  <si>
    <t>ทำความสะอาด Terminal box ของ Magnet รางสั่น Flexi Conveyor #5</t>
  </si>
  <si>
    <t>ทำความสะอาด Terminal box ของ Magnet รางสั่น Flexi Conveyor #6</t>
  </si>
  <si>
    <t>ทำความสะอาด Terminal box ของ Magnet รางสั่น Flexi Conveyor #7</t>
  </si>
  <si>
    <t>ทำความสะอาดครีบ พัดลม และฝาครอบมอเตอร์ ของ  Elevating Conveyor</t>
  </si>
  <si>
    <t>P10</t>
  </si>
  <si>
    <t>Crate Dumper #1</t>
  </si>
  <si>
    <t>P10-MC-EE</t>
  </si>
  <si>
    <t>Potato Transfer Conveyor</t>
  </si>
  <si>
    <t>ทำความสะอาดครีบ พัดลม และฝาครอบมอเตอร์ ของ Potato Transfer Conveyor</t>
  </si>
  <si>
    <t>P10-NI-EE</t>
  </si>
  <si>
    <t>Dirt Removal Auger No.1</t>
  </si>
  <si>
    <t>ตรวจเช็คสภาพท่อร้อยสายไฟ ของ Dirt Removal Auger No.1</t>
  </si>
  <si>
    <t>Dirt Removal Auger No.2</t>
  </si>
  <si>
    <t>ตรวจเช็คสภาพท่อร้อยสายไฟ ของ Dirt Removal Auger No.2</t>
  </si>
  <si>
    <t>Crate Dumper #2</t>
  </si>
  <si>
    <t>Hopper Feeder No.1</t>
  </si>
  <si>
    <t>ตรวจเช็คสภาพท่อร้อยสายไฟ ของ Hopper Feeder No.1</t>
  </si>
  <si>
    <t>Hopper Feeder No.2</t>
  </si>
  <si>
    <t>ตรวจเช็คสภาพท่อร้อยสายไฟ ของ Hopper Feeder No.2</t>
  </si>
  <si>
    <t>Hydraulic Crate Dumper No.1</t>
  </si>
  <si>
    <t>ตรวจเช็คสภาพท่อร้อยสายไฟ ของ Hydraulic Crate Dumper No.1</t>
  </si>
  <si>
    <t/>
  </si>
  <si>
    <t>Hydraulic Crate Dumper No.2</t>
  </si>
  <si>
    <t>ตรวจเช็คสภาพท่อร้อยสายไฟ ของ Hydraulic Crate Dumper No.2</t>
  </si>
  <si>
    <t>ตรวจเช็คสภาพท่อร้อยสายไฟ ของ Potato Transfer Conveyor</t>
  </si>
  <si>
    <t>P10-NC-EE</t>
  </si>
  <si>
    <t>ทำความสะอาดครีบ พัดลม และฝาครอบมอเตอร์ ของ Dirt Removal Auger No.1</t>
  </si>
  <si>
    <t>ทำความสะอาดครีบ พัดลม และฝาครอบมอเตอร์ ของ Dirt Removal Auger No.2</t>
  </si>
  <si>
    <t>ทำความสะอาดครีบ พัดลม และฝาครอบมอเตอร์ ของ Hopper Feeder No.1</t>
  </si>
  <si>
    <t>ทำความสะอาดครีบ พัดลม และฝาครอบมอเตอร์ ของ Hopper Feeder No.2</t>
  </si>
  <si>
    <t>ทำความสะอาดครีบ พัดลม และฝาครอบมอเตอร์ ของ Hydraulic Crate Dumper No.1</t>
  </si>
  <si>
    <t>ทำความสะอาดครีบ พัดลม และฝาครอบมอเตอร์ ของ Hydraulic Crate Dumper No.2</t>
  </si>
  <si>
    <t>P10-HI-EE</t>
  </si>
  <si>
    <t>ตรวจเช็คสภาพ Terminal box ของ Hopper Feeder No.1</t>
  </si>
  <si>
    <t>ตรวจเช็คสภาพ Terminal box ของ Hopper Feeder No.2</t>
  </si>
  <si>
    <t>ตรวจเช็คสภาพ Terminal box ของ Hydraulic Crate Dumper No.1</t>
  </si>
  <si>
    <t>ตรวจเช็คสภาพ Terminal box ของ Hydraulic Crate Dumper No.2</t>
  </si>
  <si>
    <t>P10-HI-EE2</t>
  </si>
  <si>
    <t>Crate Dumper #1 (X6)</t>
  </si>
  <si>
    <t>ตรวจเช็คพร้อมทำความสะอาดตู้ไฟฟ้า Crate Dumper#1 (X6)</t>
  </si>
  <si>
    <t>Crate Dumper #2 (X7)</t>
  </si>
  <si>
    <t>ตรวจเช็คพร้อมทำความสะอาดตู้ไฟฟ้า Crate Dumper#2 (X7)</t>
  </si>
  <si>
    <t>P11</t>
  </si>
  <si>
    <t>Floating Debris Conveyor</t>
  </si>
  <si>
    <t>P11-NI-EE2</t>
  </si>
  <si>
    <t>Potato Pump</t>
  </si>
  <si>
    <t>ตรวจเช็คกระแสไฟฟ้าทั้ง 3 เฟส ของ Potato Pump</t>
  </si>
  <si>
    <t>Floating Debris Blower</t>
  </si>
  <si>
    <t>Dewatering Conveyor</t>
  </si>
  <si>
    <t>ตรวจเช็คกระแสไฟฟ้าทั้ง 3 เฟส ของ Dewatering Conveyor</t>
  </si>
  <si>
    <t>Return Pump</t>
  </si>
  <si>
    <t>ตรวจเช็คกระแสไฟฟ้าทั้ง 3 เฟส ของ Return Pump</t>
  </si>
  <si>
    <t>Rock Removal Conveyor</t>
  </si>
  <si>
    <t>P11-MC-EE</t>
  </si>
  <si>
    <t>ทำความสะอาดครีบ พัดลม และฝาครอบมอเตอร์ ของ Dewatering Conveyor</t>
  </si>
  <si>
    <t>Rotary Screen</t>
  </si>
  <si>
    <t>ทำความสะอาดครีบ พัดลม และฝาครอบมอเตอร์ ของ Potato Pump</t>
  </si>
  <si>
    <t>Sand Removal Pump</t>
  </si>
  <si>
    <t>ทำความสะอาดครีบ พัดลม และฝาครอบมอเตอร์ ของ Return Pump</t>
  </si>
  <si>
    <t>P11-NI-EE</t>
  </si>
  <si>
    <t>ตรวจเช็คสภาพท่อร้อยสายไฟ ของ Dewatering Conveyor</t>
  </si>
  <si>
    <t>ตรวจเช็คสภาพท่อร้อยสายไฟ ของ Floating Debris Blower</t>
  </si>
  <si>
    <t>ตรวจเช็คสภาพท่อร้อยสายไฟ ของ Floating Debris Conveyor</t>
  </si>
  <si>
    <t>ตรวจเช็คสภาพท่อร้อยสายไฟ ของ Potato Pump</t>
  </si>
  <si>
    <t>ตรวจเช็คสภาพท่อร้อยสายไฟ ของ Return Pump</t>
  </si>
  <si>
    <t>ตรวจเช็คสภาพ Terminal box ของ Dewatering Conveyor</t>
  </si>
  <si>
    <t>ตรวจเช็คสภาพ Terminal box ของ Floating Debris Blower</t>
  </si>
  <si>
    <t>ตรวจเช็คสภาพ Terminal box ของ Floating Debris Conveyor</t>
  </si>
  <si>
    <t>ตรวจเช็คสภาพ Terminal box ของ Potato Pump</t>
  </si>
  <si>
    <t>ตรวจเช็คสภาพ Terminal box ของ Return Pump</t>
  </si>
  <si>
    <t>ตรวจเช็คสภาพ Terminal box ของ Rock Removal Conveyor</t>
  </si>
  <si>
    <t>ตรวจเช็คสภาพ Terminal box ของ Rotary Screen</t>
  </si>
  <si>
    <t>ตรวจเช็คสภาพ Terminal box ของ Sand Removal Pump</t>
  </si>
  <si>
    <t>ตรวจเช็คสภาพท่อร้อยสายไฟ ของ Rock Removal Conveyor</t>
  </si>
  <si>
    <t>ตรวจเช็คสภาพท่อร้อยสายไฟ ของ Rotary Screen</t>
  </si>
  <si>
    <t>ตรวจเช็คสภาพท่อร้อยสายไฟ ของ Sand Removal Pump</t>
  </si>
  <si>
    <t>P11-NC-EE</t>
  </si>
  <si>
    <t>ทำความสะอาดครีบ พัดลม และฝาครอบมอเตอร์ ของ Floating Debris Blower</t>
  </si>
  <si>
    <t>ทำความสะอาดครีบ พัดลม และฝาครอบมอเตอร์ ของ Floating Debris Conveyor</t>
  </si>
  <si>
    <t>ทำความสะอาดครีบ พัดลม และฝาครอบมอเตอร์ ของ Rock Removal Conveyor</t>
  </si>
  <si>
    <t>ทำความสะอาดครีบ พัดลม และฝาครอบมอเตอร์ ของ Rotary Screen</t>
  </si>
  <si>
    <t>ทำความสะอาดครีบ พัดลม และฝาครอบมอเตอร์ ของ Sand Removal Pump</t>
  </si>
  <si>
    <t>Potato Pump (X16)</t>
  </si>
  <si>
    <t>ตรวจเช็คพร้อมทำความสะอาดตู้ไฟฟ้า Potato Pump J-Box (X16)</t>
  </si>
  <si>
    <t>P11-NT-EE</t>
  </si>
  <si>
    <t>วัดอุณหภูมิพื้นผิวมอเตอร์ ของ Dewatering Conveyor</t>
  </si>
  <si>
    <t>วัดอุณหภูมิพื้นผิวมอเตอร์ ของ Potato Pump</t>
  </si>
  <si>
    <t>วัดอุณหภูมิพื้นผิวมอเตอร์ ของ Return Pump</t>
  </si>
  <si>
    <t>P11-HR-EE</t>
  </si>
  <si>
    <t>เปลี่ยน Bindicator ทั้ง 2 ตัว ของ Dewatering Conveyor</t>
  </si>
  <si>
    <t>P12</t>
  </si>
  <si>
    <t>Feed Conveyor from Dewaterer</t>
  </si>
  <si>
    <t>P12-MI-EE</t>
  </si>
  <si>
    <t>Batch Peeler #5</t>
  </si>
  <si>
    <t>ตรวจเช็คกระแสไฟฟ้าทั้ง 3 เฟส ของ Batch Peeler #5</t>
  </si>
  <si>
    <t>Peeler Feed Elevator</t>
  </si>
  <si>
    <t>Batch Peeler #6</t>
  </si>
  <si>
    <t>ตรวจเช็คกระแสไฟฟ้าทั้ง 3 เฟส ของ Batch Peeler #6</t>
  </si>
  <si>
    <t>Peeler feed Vibrator</t>
  </si>
  <si>
    <t>P12-MC-EE</t>
  </si>
  <si>
    <t>Batch Peeler #1-6</t>
  </si>
  <si>
    <t>ทำความสะอาดตู้ Main Peeler zone panel</t>
  </si>
  <si>
    <t>Twin Weigh Hoppers #1</t>
  </si>
  <si>
    <t>P12-MC-EE2</t>
  </si>
  <si>
    <t>ตรวจเช็คสภาพ พร้อมทำความสะอาด filter ของเครื่องปรับกาศหน้าตู้ไฟฟ้า</t>
  </si>
  <si>
    <t>Twin Weigh Hoppers #2</t>
  </si>
  <si>
    <t>P12-NC-EE</t>
  </si>
  <si>
    <t>Peeler Spray Pump</t>
  </si>
  <si>
    <t>ทำความสะอาดครีบ พัดลม และฝาครอบมอเตอร์ ของ Peeler Spray Pump</t>
  </si>
  <si>
    <t>Twin Weigh Hoppers #3</t>
  </si>
  <si>
    <t>ทำความสะอาดครีบ พัดลม และฝาครอบมอเตอร์ ของ Feed Conveyor from Dewaterer</t>
  </si>
  <si>
    <t>Batch Peeler #1</t>
  </si>
  <si>
    <t>ทำความสะอาดครีบ พัดลม และฝาครอบมอเตอร์ ของ Peeler Feed Elevator</t>
  </si>
  <si>
    <t>Batch Peeler #2</t>
  </si>
  <si>
    <t>ทำความสะอาดครีบ พัดลม และฝาครอบมอเตอร์ ของ Peeler feed Vibrator</t>
  </si>
  <si>
    <t>Batch Peeler #3</t>
  </si>
  <si>
    <t>ทำความสะอาดครีบ พัดลม และฝาครอบมอเตอร์ ของ Batch Peeler #1</t>
  </si>
  <si>
    <t>Batch Peeler #4</t>
  </si>
  <si>
    <t>ทำความสะอาดครีบ พัดลม และฝาครอบมอเตอร์ ของ Batch Peeler #2</t>
  </si>
  <si>
    <t>ทำความสะอาดครีบ พัดลม และฝาครอบมอเตอร์ ของ Batch Peeler #3</t>
  </si>
  <si>
    <t>ทำความสะอาดครีบ พัดลม และฝาครอบมอเตอร์ ของ Batch Peeler #4</t>
  </si>
  <si>
    <t>Peeler Discharge Vibrator</t>
  </si>
  <si>
    <t>ทำความสะอาดครีบ พัดลม และฝาครอบมอเตอร์ ของ Batch Peeler #5</t>
  </si>
  <si>
    <t>ทำความสะอาดครีบ พัดลม และฝาครอบมอเตอร์ ของ Batch Peeler #6</t>
  </si>
  <si>
    <t>Peeled Infeed Elevator</t>
  </si>
  <si>
    <t>ทำความสะอาดครีบ พัดลม และฝาครอบมอเตอร์ ของ Peeler Discharge Vibrator</t>
  </si>
  <si>
    <t>Grader Conveyor</t>
  </si>
  <si>
    <t>P12-NI-EE</t>
  </si>
  <si>
    <t>Collection Vibrating Conveyor</t>
  </si>
  <si>
    <t>ตรวจเช็คสภาพท่อร้อยสายไฟ ของ Collection Vibrating Conveyor</t>
  </si>
  <si>
    <t>Cutter Roller Coveyor</t>
  </si>
  <si>
    <t>Cutter Blade</t>
  </si>
  <si>
    <t>ตรวจเช็คสภาพท่อร้อยสายไฟ ของ Cutter Blade</t>
  </si>
  <si>
    <t>Cutter Roller Conveyor</t>
  </si>
  <si>
    <t>ตรวจเช็คสภาพท่อร้อยสายไฟ ของ Cutter Roller Conveyor</t>
  </si>
  <si>
    <t>ตรวจเช็คสภาพท่อร้อยสายไฟ ของ Grader Conveyor</t>
  </si>
  <si>
    <t>Inspection Conveyor</t>
  </si>
  <si>
    <t>ตรวจเช็คสภาพท่อร้อยสายไฟ ของ Inspection Conveyor</t>
  </si>
  <si>
    <t>Slicer Hopper Infeed Conveyor</t>
  </si>
  <si>
    <t>ตรวจเช็คสภาพท่อร้อยสายไฟ ของ Peeled Infeed Elevator</t>
  </si>
  <si>
    <t>Slicer Incline Conveyor</t>
  </si>
  <si>
    <t>ตรวจเช็คสภาพท่อร้อยสายไฟ ของ Peeler Spray Pump</t>
  </si>
  <si>
    <t>Slicer Lanning Conveyor</t>
  </si>
  <si>
    <t>Slicer Hopper Infeed  Conveyor</t>
  </si>
  <si>
    <t>ตรวจเช็คสภาพท่อร้อยสายไฟ ของ Slicer Hopper Infeed  Conveyor</t>
  </si>
  <si>
    <t>Slicer #1</t>
  </si>
  <si>
    <t>ตรวจเช็คสภาพท่อร้อยสายไฟ ของ Slicer Incline Conveyor</t>
  </si>
  <si>
    <t>Slicer #2</t>
  </si>
  <si>
    <t>ตรวจเช็คสภาพท่อร้อยสายไฟ ของ Slicer Lanning Conveyor</t>
  </si>
  <si>
    <t>ตรวจเช็คสภาพ Terminal box ของ Collection Vibrating Conveyor</t>
  </si>
  <si>
    <t>ตรวจเช็คสภาพ Terminal box ของ Cutter Blade</t>
  </si>
  <si>
    <t>ตรวจเช็คสภาพ Terminal box ของ Cutter Roller Conveyor</t>
  </si>
  <si>
    <t>ตรวจเช็คสภาพ Terminal box ของ Grader Conveyor</t>
  </si>
  <si>
    <t>ตรวจเช็คสภาพ Terminal box ของ Inspection Conveyor</t>
  </si>
  <si>
    <t>ตรวจเช็คสภาพ Terminal box ของ Peeled Infeed Elevator</t>
  </si>
  <si>
    <t>ตรวจเช็คสภาพ Terminal box ของ Peeler Spray Pump</t>
  </si>
  <si>
    <t>ตรวจเช็คสภาพ Terminal box ของ Slicer Hopper Infeed  Conveyor</t>
  </si>
  <si>
    <t>ตรวจเช็คสภาพ Terminal box ของ Slicer Incline Conveyor</t>
  </si>
  <si>
    <t>ตรวจเช็คสภาพ Terminal box ของ Slicer Lanning Conveyor</t>
  </si>
  <si>
    <t>ทำความสะอาดครีบ พัดลม และฝาครอบมอเตอร์ ของ Cutter Blade</t>
  </si>
  <si>
    <t>ทำความสะอาดครีบ พัดลม และฝาครอบมอเตอร์ ของ Cutter Roller Conveyor</t>
  </si>
  <si>
    <t>ทำความสะอาดครีบ พัดลม และฝาครอบมอเตอร์ ของ Grader Conveyor</t>
  </si>
  <si>
    <t>ทำความสะอาดครีบ พัดลม และฝาครอบมอเตอร์ ของ Inspection Conveyor</t>
  </si>
  <si>
    <t>ทำความสะอาดครีบ พัดลม และฝาครอบมอเตอร์ ของ Peeled Infeed Elevator</t>
  </si>
  <si>
    <t>ทำความสะอาดครีบ พัดลม และฝาครอบมอเตอร์ ของ Slicer Hopper Infeed  Conveyor</t>
  </si>
  <si>
    <t>ทำความสะอาดครีบ พัดลม และฝาครอบมอเตอร์ ของ Slicer Incline Conveyor</t>
  </si>
  <si>
    <t>ทำความสะอาดครีบ พัดลม และฝาครอบมอเตอร์ ของ Slicer Lanning Conveyor</t>
  </si>
  <si>
    <t>ทำความสะอาดครีบ พัดลม และฝาครอบมอเตอร์ ของ Collection Vibrating Conveyor</t>
  </si>
  <si>
    <t>P12-NI-EE2</t>
  </si>
  <si>
    <t>Slicer No.1</t>
  </si>
  <si>
    <t>ตรวจเช็คสภาพท่อร้อยสายไฟ ของ Slicer No.1</t>
  </si>
  <si>
    <t>Slicer No.2</t>
  </si>
  <si>
    <t>ตรวจเช็คสภาพท่อร้อยสายไฟ ของ Slicer No.2</t>
  </si>
  <si>
    <t>Slicer No.3</t>
  </si>
  <si>
    <t>ตรวจเช็คสภาพท่อร้อยสายไฟ ของ Slicer No.3</t>
  </si>
  <si>
    <t>Slicer No.4</t>
  </si>
  <si>
    <t>ตรวจเช็คสภาพท่อร้อยสายไฟ ของ Slicer No.4</t>
  </si>
  <si>
    <t>Slicer No.5</t>
  </si>
  <si>
    <t>ตรวจเช็คสภาพท่อร้อยสายไฟ ของ Slicer No.5</t>
  </si>
  <si>
    <t>ตรวจเช็คสภาพ Terminal box ของ Slicer No.1</t>
  </si>
  <si>
    <t>ตรวจเช็คสภาพ Terminal box ของ Slicer No.2</t>
  </si>
  <si>
    <t>ตรวจเช็คสภาพ Terminal box ของ Slicer No.3</t>
  </si>
  <si>
    <t>ตรวจเช็คสภาพ Terminal box ของ Slicer No.4</t>
  </si>
  <si>
    <t>ตรวจเช็คสภาพ Terminal box ของ Slicer No.5</t>
  </si>
  <si>
    <t>P12-NT-EE</t>
  </si>
  <si>
    <t>วัดอุณหภูมิพื้นผิวมอเตอร์ ของ Collection Vibrating Conveyor</t>
  </si>
  <si>
    <t>วัดอุณหภูมิพื้นผิวมอเตอร์ ของ Cutter Blade</t>
  </si>
  <si>
    <t>วัดอุณหภูมิพื้นผิวมอเตอร์ ของ Cutter Roller Conveyor</t>
  </si>
  <si>
    <t>วัดอุณหภูมิพื้นผิวมอเตอร์ ของ Grader Conveyor</t>
  </si>
  <si>
    <t>วัดอุณหภูมิพื้นผิวมอเตอร์ ของ Inspection Conveyor</t>
  </si>
  <si>
    <t>วัดอุณหภูมิพื้นผิวมอเตอร์ ของ Peeled Infeed Elevator</t>
  </si>
  <si>
    <t>วัดอุณหภูมิพื้นผิวมอเตอร์ ของ Peeler Spray Pump</t>
  </si>
  <si>
    <t>วัดอุณหภูมิพื้นผิวมอเตอร์ ของ Slicer Hopper Infeed  Conveyor</t>
  </si>
  <si>
    <t>วัดอุณหภูมิพื้นผิวมอเตอร์ ของ Slicer Incline Conveyor</t>
  </si>
  <si>
    <t>วัดอุณหภูมิพื้นผิวมอเตอร์ ของ Slicer Lanning Conveyor</t>
  </si>
  <si>
    <t>P12-NCB-EE</t>
  </si>
  <si>
    <t>Calibration Twin Weigh Hoppers #1</t>
  </si>
  <si>
    <t>Calibration Twin Weigh Hoppers #2</t>
  </si>
  <si>
    <t>Calibration Twin Weigh Hoppers #3</t>
  </si>
  <si>
    <t>P12-QI-EE</t>
  </si>
  <si>
    <t>ตรวจเช็คสภาพท่อร้อยสายไฟ และสภาพ Terminal Box  Feed Conveyor from Dewaterer</t>
  </si>
  <si>
    <t>ตรวจเช็คสภาพท่อร้อยสายไฟ และสภาพ Terminal Box Peeler Feed Elevator</t>
  </si>
  <si>
    <t>ตรวจเช็คสภาพท่อร้อยสายไฟ และสภาพ Terminal Box Peeler feed Vibrator</t>
  </si>
  <si>
    <t>ตรวจเช็คสภาพท่อร้อยสายไฟ และสภาพ Terminal Box Batch Peeler #1</t>
  </si>
  <si>
    <t>ตรวจเช็คสภาพท่อร้อยสายไฟ และสภาพ Terminal Box Batch Peeler #2</t>
  </si>
  <si>
    <t>ตรวจเช็คสภาพท่อร้อยสายไฟ และสภาพ Terminal Box Batch Peeler #3</t>
  </si>
  <si>
    <t>ตรวจเช็คสภาพท่อร้อยสายไฟ และสภาพ Terminal Box Batch Peeler #4</t>
  </si>
  <si>
    <t>ตรวจเช็คสภาพท่อร้อยสายไฟ และสภาพ Terminal Box Batch Peeler #5</t>
  </si>
  <si>
    <t>ตรวจเช็คสภาพท่อร้อยสายไฟ และสภาพ Terminal Box Batch Peeler #6</t>
  </si>
  <si>
    <t>ตรวจเช็คสภาพท่อร้อยสายไฟ และสภาพ Terminal Box Peeler Discharge Vibrator</t>
  </si>
  <si>
    <t>P12-HR-EE</t>
  </si>
  <si>
    <t>เปลี่ยน ultra sonic level sensor Hydepark ของ Slicer incline conveyor hopper</t>
  </si>
  <si>
    <t>P12-HC-EE</t>
  </si>
  <si>
    <t>Main power Air Control</t>
  </si>
  <si>
    <t>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Air Control unit</t>
  </si>
  <si>
    <t>P13</t>
  </si>
  <si>
    <t>Air Knife</t>
  </si>
  <si>
    <t>P13-NI-EE2</t>
  </si>
  <si>
    <t>ตรวจเช็คกระแสไฟฟ้าทั้ง 3 เฟส ของ Air Knife</t>
  </si>
  <si>
    <t>Air Sweep</t>
  </si>
  <si>
    <t>ตรวจเช็คกระแสไฟฟ้าทั้ง 3 เฟส ของ Air Sweep</t>
  </si>
  <si>
    <t>FOB Catch Box</t>
  </si>
  <si>
    <t>PSSW Water Pump</t>
  </si>
  <si>
    <t>ตรวจเช็คกระแสไฟฟ้าทั้ง 3 เฟส ของ PSSW Water Pump</t>
  </si>
  <si>
    <t>FOB Conveyor</t>
  </si>
  <si>
    <t>P13-NI-EE3</t>
  </si>
  <si>
    <t>ตรวจเช็คสภาพท่อร้อยสายไฟ ของ FOB Conveyor</t>
  </si>
  <si>
    <t>FOB Fines Blower</t>
  </si>
  <si>
    <t>FOB Water Pump</t>
  </si>
  <si>
    <t>ตรวจเช็คสภาพท่อร้อยสายไฟ ของ FOB Water Pump</t>
  </si>
  <si>
    <t>PSSW Conveyor</t>
  </si>
  <si>
    <t>ตรวจเช็คสภาพท่อร้อยสายไฟ ของ PSSW Conveyor</t>
  </si>
  <si>
    <t>PSSW Catch Box</t>
  </si>
  <si>
    <t>PSSW Fines Blower</t>
  </si>
  <si>
    <t>ตรวจเช็คสภาพท่อร้อยสายไฟ ของ PSSW Fines Blower</t>
  </si>
  <si>
    <t>ตรวจเช็คสภาพท่อร้อยสายไฟ ของ PSSW Water Pump</t>
  </si>
  <si>
    <t>ตรวจเช็คสภาพท่อร้อยสายไฟ ของ Air Knife</t>
  </si>
  <si>
    <t>ตรวจเช็คสภาพท่อร้อยสายไฟ ของ Air Sweep</t>
  </si>
  <si>
    <t>ตรวจเช็คสภาพ Terminal box ของ Air Knife</t>
  </si>
  <si>
    <t>ตรวจเช็คสภาพ Terminal box ของ Air Sweep</t>
  </si>
  <si>
    <t>ตรวจเช็คสภาพ Terminal box ของ FOB Catch Box</t>
  </si>
  <si>
    <t>ตรวจเช็คสภาพ Terminal box ของ FOB Conveyor</t>
  </si>
  <si>
    <t>ตรวจเช็คสภาพ Terminal box ของ FOB Fines Blower</t>
  </si>
  <si>
    <t>ตรวจเช็คสภาพ Terminal box ของ FOB Water Pump</t>
  </si>
  <si>
    <t xml:space="preserve">PSSW Catch Box </t>
  </si>
  <si>
    <t xml:space="preserve">ตรวจเช็คสภาพ Terminal box ของ PSSW Catch Box </t>
  </si>
  <si>
    <t>ตรวจเช็คสภาพ Terminal box ของ PSSW Conveyor</t>
  </si>
  <si>
    <t>ตรวจเช็คสภาพ Terminal box ของ PSSW Fines Blower</t>
  </si>
  <si>
    <t>ตรวจเช็คสภาพ Terminal box ของ PSSW Water Pump</t>
  </si>
  <si>
    <t>P13-NC-EE</t>
  </si>
  <si>
    <t>ทำความสะอาดครีบ พัดลม และฝาครอบมอเตอร์ ของ Air Knife</t>
  </si>
  <si>
    <t>ทำความสะอาดครีบ พัดลม และฝาครอบมอเตอร์ ของ Air Sweep</t>
  </si>
  <si>
    <t>ทำความสะอาดครีบ พัดลม และฝาครอบมอเตอร์ ของ FOB Catch Box</t>
  </si>
  <si>
    <t>ทำความสะอาดครีบ พัดลม และฝาครอบมอเตอร์ ของ FOB Conveyor</t>
  </si>
  <si>
    <t>ทำความสะอาดครีบ พัดลม และฝาครอบมอเตอร์ ของ FOB Fines Blower</t>
  </si>
  <si>
    <t>ทำความสะอาดครีบ พัดลม และฝาครอบมอเตอร์ ของ FOB Water Pump</t>
  </si>
  <si>
    <t xml:space="preserve">ทำความสะอาดครีบ พัดลม และฝาครอบมอเตอร์ ของ PSSW Catch Box </t>
  </si>
  <si>
    <t>ทำความสะอาดครีบ พัดลม และฝาครอบมอเตอร์ ของ PSSW Conveyor</t>
  </si>
  <si>
    <t>ทำความสะอาดครีบ พัดลม และฝาครอบมอเตอร์ ของ PSSW Fines Blower</t>
  </si>
  <si>
    <t>ทำความสะอาดครีบ พัดลม และฝาครอบมอเตอร์ ของ PSSW Water Pump</t>
  </si>
  <si>
    <t>P13-QI-EE</t>
  </si>
  <si>
    <t>ตรวจเช็คสภาพท่อร้อยสายไฟ ของ FOB Fines Blower</t>
  </si>
  <si>
    <t xml:space="preserve">ตรวจเช็คสภาพท่อร้อยสายไฟ ของ PSSW Catch Box </t>
  </si>
  <si>
    <t>P13-QT-EE</t>
  </si>
  <si>
    <t>วัดอุณหภูมิพื้นผิวมอเตอร์ ของ Air Knife</t>
  </si>
  <si>
    <t>วัดอุณหภูมิพื้นผิวมอเตอร์ ของ Air Sweep</t>
  </si>
  <si>
    <t>วัดอุณหภูมิพื้นผิวมอเตอร์ ของ PSSW Water Pump</t>
  </si>
  <si>
    <t>P14</t>
  </si>
  <si>
    <t>P14-NI-EE2</t>
  </si>
  <si>
    <t>Fresh &amp; Use Oil Make-Up Pump</t>
  </si>
  <si>
    <t>Combustion Fan</t>
  </si>
  <si>
    <t>ตรวจเช็คกระแสไฟฟ้าทั้ง 3 เฟส ของ Combustion Fan</t>
  </si>
  <si>
    <t>Heat Exchanger (Shell&amp;Tube)</t>
  </si>
  <si>
    <t>Thermal Oil Circulating Pump</t>
  </si>
  <si>
    <t>ตรวจเช็คกระแสไฟฟ้าทั้ง 3 เฟส ของ Thermal Oil Circulating Pump</t>
  </si>
  <si>
    <t>P14-MC-EE</t>
  </si>
  <si>
    <t>P14-MC-EE2</t>
  </si>
  <si>
    <t>ทำความสะอาด Filter control panel</t>
  </si>
  <si>
    <t>Thermal Oil Boiler&amp;Piping</t>
  </si>
  <si>
    <t>ทำความสะอาดห้อง Control</t>
  </si>
  <si>
    <t>P14-YC-EE3</t>
  </si>
  <si>
    <t>ทำความสะอาดห้อง Inverter และอุปกรณ์ภายในประจำปีโดยผู้เชี่ยวชาญ</t>
  </si>
  <si>
    <t>Thermal Oil Burner</t>
  </si>
  <si>
    <t>P14-NI-EE</t>
  </si>
  <si>
    <t>Fryer Catch Box Blower</t>
  </si>
  <si>
    <t>ตรวจเช็คสภาพท่อร้อยสายไฟ ของ Fryer Catch Box Blower</t>
  </si>
  <si>
    <t>Discharge Pump Zone 1</t>
  </si>
  <si>
    <t>Fryer Catch Box Conveyor</t>
  </si>
  <si>
    <t>ตรวจเช็คสภาพท่อร้อยสายไฟ ของ Fryer Catch Box Conveyor</t>
  </si>
  <si>
    <t>Discharge Pump Zone 2</t>
  </si>
  <si>
    <t>Oil Scavenger Pump</t>
  </si>
  <si>
    <t>Fresh Oil Blending Pump</t>
  </si>
  <si>
    <t>ตรวจเช็คสภาพ Terminal box ของ Fresh Oil Blending Pump</t>
  </si>
  <si>
    <t>ตรวจเช็คสภาพ Terminal box ของ Fryer Catch Box Blower</t>
  </si>
  <si>
    <t>ตรวจเช็คสภาพ Terminal box ของ Fryer Catch Box Conveyor</t>
  </si>
  <si>
    <t>Used Oil Blending Pump</t>
  </si>
  <si>
    <t>ตรวจเช็คสภาพ Terminal box ของ Used Oil Blending Pump</t>
  </si>
  <si>
    <t>Fryer Discharge Pump Zone 1</t>
  </si>
  <si>
    <t>ตรวจเช็คสภาพ Terminal box ของ Fryer Discharge Pump Zone 1</t>
  </si>
  <si>
    <t>Fryer Discharge Pump Zone 2</t>
  </si>
  <si>
    <t>ตรวจเช็คสภาพ Terminal box ของ Fryer Discharge Pump Zone 2</t>
  </si>
  <si>
    <t>ตรวจเช็คสภาพท่อร้อยสายไฟ ของ Fresh Oil Blending Pump</t>
  </si>
  <si>
    <t>ตรวจเช็คสภาพท่อร้อยสายไฟ ของ Oil Scavenger Pump</t>
  </si>
  <si>
    <t>ตรวจเช็คสภาพท่อร้อยสายไฟ ของ Used Oil Blending Pump</t>
  </si>
  <si>
    <t>ตรวจเช็คสภาพท่อร้อยสายไฟ ของ Fryer Discharge Pump Zone 1</t>
  </si>
  <si>
    <t>ตรวจเช็คสภาพท่อร้อยสายไฟ ของ Fryer Discharge Pump Zone 2</t>
  </si>
  <si>
    <t>ตรวจเช็คสภาพ Terminal box ของ Oil Scavenger Pump</t>
  </si>
  <si>
    <t>P14-NI-EE3</t>
  </si>
  <si>
    <t>P14-MI-EE2</t>
  </si>
  <si>
    <t>ตรวจเช็คพร้อมถอดล้าง Oil Diff Pressure Switch ของ Thermal Oil Burner</t>
  </si>
  <si>
    <t>P14-NC-EE</t>
  </si>
  <si>
    <t>ทำความสะอาดครีบ พัดลม และฝาครอบมอเตอร์ ของ Fresh Oil Blending Pump</t>
  </si>
  <si>
    <t>ทำความสะอาดครีบ พัดลม และฝาครอบมอเตอร์ ของ Fryer Catch Box Blower</t>
  </si>
  <si>
    <t>ทำความสะอาดครีบ พัดลม และฝาครอบมอเตอร์ ของ Fryer Catch Box Conveyor</t>
  </si>
  <si>
    <t>ทำความสะอาดครีบ พัดลม และฝาครอบมอเตอร์ ของ Used Oil Blending Pump</t>
  </si>
  <si>
    <t>ทำความสะอาดครีบ พัดลม และฝาครอบมอเตอร์ ของ Fryer Discharge Pump Zone 1</t>
  </si>
  <si>
    <t>ทำความสะอาดครีบ พัดลม และฝาครอบมอเตอร์ ของ Fryer Discharge Pump Zone 2</t>
  </si>
  <si>
    <t>P14-QC-EE</t>
  </si>
  <si>
    <t>ทำความสะอาดครีบ พัดลม และฝาครอบมอเตอร์ ของ Oil Scavenger Pump</t>
  </si>
  <si>
    <t>P14-QR-EE</t>
  </si>
  <si>
    <t>ถอดเปลี่ยน Gas Filter Thermal Oil Boiler</t>
  </si>
  <si>
    <t>P14-HI-EE</t>
  </si>
  <si>
    <t>ตรวจสอบสภาพผนังเตาและตรวจสอบรอยรั่วของท่อน้ำมันภายใน Thermal Oil Boiler</t>
  </si>
  <si>
    <t>P14-HI-EE2</t>
  </si>
  <si>
    <t>เก็บตัวอย่างน้ำมันของ Thermal Oil Boiler เพื่อส่ง Lab ตรวจ</t>
  </si>
  <si>
    <t>P14-HI-EE3</t>
  </si>
  <si>
    <t>ตรวจเช็คความสึกหรอของ Fixing piece และ Bearing sleeve ของ ชุด Mixing head</t>
  </si>
  <si>
    <t>P14-HI-EE4</t>
  </si>
  <si>
    <t>ถ่ายรูปความร้อนของ main busbar และ main circuit breaker</t>
  </si>
  <si>
    <t>ถ่ายรูปความร้อนของ main breaker ของ Combustion Air Blower</t>
  </si>
  <si>
    <t>ถ่ายรูปความร้อนของ main breaker ของ Thermal oil circulation pump</t>
  </si>
  <si>
    <t>P14-HR-EE2</t>
  </si>
  <si>
    <t>ถอดเปลี่ยน Flame Sensor Thermal Oil Boiler</t>
  </si>
  <si>
    <t>P14-YI-EE</t>
  </si>
  <si>
    <t>P14-YCB-EE</t>
  </si>
  <si>
    <t>P14-YCB-EE2</t>
  </si>
  <si>
    <t>Calibrate เซ็นเซอร์วัดอุณหภูมิของ Thermal oil heater ทั้งด้าน Inlet และ Outlet</t>
  </si>
  <si>
    <t>P14-YR-EE</t>
  </si>
  <si>
    <t>เปลี่ยน Fixing piece และ Bearing sleeve ของ ชุด Mixing head </t>
  </si>
  <si>
    <t xml:space="preserve">ขัน Terminal busbar และ main circuit breaker </t>
  </si>
  <si>
    <t>ขัน main circuit breaker ของ Combustion air blower</t>
  </si>
  <si>
    <t>ขัน main circuit breaker ของ Thermal oil circulation pump</t>
  </si>
  <si>
    <t>P15</t>
  </si>
  <si>
    <t>P15-NI-EE2</t>
  </si>
  <si>
    <t>ตรวจเช็คกระแสไฟฟ้าทั้ง 3 เฟส ของ Exhaust Fan Discharge</t>
  </si>
  <si>
    <t>ตรวจเช็คกระแสไฟฟ้าทั้ง 3 เฟส ของ Exhaust Fan Infeed</t>
  </si>
  <si>
    <t>Oil mist eliminate exhaust fan</t>
  </si>
  <si>
    <t>ตรวจเช็คกระแสไฟฟ้าทั้ง 3 เฟส ของ Oil mist eliminate exhaust fan</t>
  </si>
  <si>
    <t>Fryer Scrap Auger</t>
  </si>
  <si>
    <t>Fryer Take Out Conveyor</t>
  </si>
  <si>
    <t>P15-NC-EE</t>
  </si>
  <si>
    <t>Take out conveyor</t>
  </si>
  <si>
    <t>ทำความสะอาดครีบ พัดลม และฝาครอบมอเตอร์ ของ Take out conveyor</t>
  </si>
  <si>
    <t>Fryer Paddle Conveyor</t>
  </si>
  <si>
    <t>ทำความสะอาดครีบ พัดลม และฝาครอบมอเตอร์ ของ Fryer Paddle Conveyor</t>
  </si>
  <si>
    <t>ทำความสะอาดครีบ พัดลม และฝาครอบมอเตอร์ ของ Fryer Scrap Auger</t>
  </si>
  <si>
    <t xml:space="preserve">Fryer Submerger Conveyor </t>
  </si>
  <si>
    <t xml:space="preserve">ทำความสะอาดครีบ พัดลม และฝาครอบมอเตอร์ ของ Fryer Submerger Conveyor </t>
  </si>
  <si>
    <t>P15-QI-EE</t>
  </si>
  <si>
    <t>ตรวจเช็คสภาพท่อร้อยสายไฟ ของ Take out conveyor</t>
  </si>
  <si>
    <t>ตรวจเช็คสภาพท่อร้อยสายไฟ ของ Fryer Paddle Conveyor</t>
  </si>
  <si>
    <t>ตรวจเช็คสภาพท่อร้อยสายไฟ ของ Fryer Scrap Auger</t>
  </si>
  <si>
    <t xml:space="preserve">ตรวจเช็คสภาพท่อร้อยสายไฟ ของ Fryer Submerger Conveyor </t>
  </si>
  <si>
    <t>ตรวจเช็คสภาพ Terminal box ของ Take out conveyor</t>
  </si>
  <si>
    <t xml:space="preserve">ตรวจเช็คสภาพ Terminal box ของ Fryer Submerger Conveyor </t>
  </si>
  <si>
    <t>ตรวจเช็คสภาพ Terminal box ของ Fryer Paddle Conveyor</t>
  </si>
  <si>
    <t>ตรวจเช็คสภาพ Terminal box ของ Fryer Scrap Auger</t>
  </si>
  <si>
    <t>P15-QI-EE2</t>
  </si>
  <si>
    <t>Control Terminal Box (X10)</t>
  </si>
  <si>
    <t>ตรวจเช็คพร้อมทำความสะอาดตู้ไฟฟ้า Fryer Analog Signal J-Box (X10)</t>
  </si>
  <si>
    <t>Control Terminal Box (X11)</t>
  </si>
  <si>
    <t>ตรวจเช็คพร้อมทำความสะอาดตู้ไฟฟ้า Fryer Motor J-Box (X11)</t>
  </si>
  <si>
    <t>Control Terminal Box (X100)</t>
  </si>
  <si>
    <t>ตรวจเช็คพร้อมทำความสะอาดตู้ไฟฟ้า Fryer OIT No.2 (X100)</t>
  </si>
  <si>
    <t>P15-HC-EE</t>
  </si>
  <si>
    <t>P15-HI-EE</t>
  </si>
  <si>
    <t>ตรวจเช็คกระแสไฟฟ้าทั้ง 3 เฟส ของ Fryer Hood &amp; Lifter</t>
  </si>
  <si>
    <t>P15-HR-EE</t>
  </si>
  <si>
    <t>ถอดเปลี่ยน Motor ของ Exhaust Fan Discharge</t>
  </si>
  <si>
    <t>ถอดเปลี่ยน Motor ของ Exhaust Fan Infeed</t>
  </si>
  <si>
    <t>P15-HR-EE2</t>
  </si>
  <si>
    <t>เปลี่ยน ultra sonic level sensor "Hydepark" ของระดับน้ำมัน Fryer</t>
  </si>
  <si>
    <t>P16</t>
  </si>
  <si>
    <t>P16-NI-EE2</t>
  </si>
  <si>
    <t>Kromasort Chiller</t>
  </si>
  <si>
    <t>ทำความสะอาด Coil ร้อน Kromasort Chiller ด้วยน้ำยา Totaline</t>
  </si>
  <si>
    <t>FL710 (Center)</t>
  </si>
  <si>
    <t>P16-MC-EE</t>
  </si>
  <si>
    <t>Kromasort Outfeed Vibrating Conveyor</t>
  </si>
  <si>
    <t>ทำความสะอาด Terminal box ของ Magnet รางสั่น No. V6100</t>
  </si>
  <si>
    <t>P16-MCB-EE</t>
  </si>
  <si>
    <t>Kromasort Waste Conveyor</t>
  </si>
  <si>
    <t>Calibrate Waste weight unit</t>
  </si>
  <si>
    <t>P16-NC-EE</t>
  </si>
  <si>
    <t>Kromasort Main Brush Roller</t>
  </si>
  <si>
    <t>ทำความสะอาดครีบ พัดลม และฝาครอบมอเตอร์ ของ Kromasort Main Brush Roller</t>
  </si>
  <si>
    <t>Kromasort Defect Conveyor</t>
  </si>
  <si>
    <t>Kromasort Main Conveyor</t>
  </si>
  <si>
    <t>ทำความสะอาดครีบ พัดลม และฝาครอบมอเตอร์ ของ Kromasort Main Conveyor</t>
  </si>
  <si>
    <t>Kromasort Light &amp; Control Module</t>
  </si>
  <si>
    <t>Kromasort Outfeed Incline Conveyor</t>
  </si>
  <si>
    <t>ทำความสะอาดครีบ พัดลม และฝาครอบมอเตอร์ ของ Kromasort Outfeed Incline Conveyor</t>
  </si>
  <si>
    <t>Kromasort Recirculating Conveyor</t>
  </si>
  <si>
    <t>ทำความสะอาดครีบ พัดลม และฝาครอบมอเตอร์ ของ Kromasort Recirculating Conveyor</t>
  </si>
  <si>
    <t>Moisture Monitoring Conveyor</t>
  </si>
  <si>
    <t>ทำความสะอาดครีบ พัดลม และฝาครอบมอเตอร์ ของ Moisture Monitoring Conveyor</t>
  </si>
  <si>
    <t>Kromasort Infeed Vibrating Conveyor</t>
  </si>
  <si>
    <t>ทำความสะอาดครีบ พัดลม และฝาครอบมอเตอร์ ของ Kromasort Infeed Vibrating Conveyor</t>
  </si>
  <si>
    <t>ทำความสะอาดครีบ พัดลม และฝาครอบมอเตอร์ ของ Kromasort Defect Conveyor</t>
  </si>
  <si>
    <t>Kromasort Recycle Conveyor</t>
  </si>
  <si>
    <t>ทำความสะอาดครีบ พัดลม และฝาครอบมอเตอร์ ของ Kromasort Recycle Conveyor</t>
  </si>
  <si>
    <t>ทำความสะอาดครีบ พัดลม และฝาครอบมอเตอร์ ของ Kromasort Waste Conveyor</t>
  </si>
  <si>
    <t>Kromasort X- Feed Conveyor</t>
  </si>
  <si>
    <t>ทำความสะอาดครีบ พัดลม และฝาครอบมอเตอร์ ของ Kromasort x Feed Conveyor</t>
  </si>
  <si>
    <t>P16-QI-EE</t>
  </si>
  <si>
    <t>ตรวจเช็คสภาพท่อร้อยสายไฟ ของ Kromasort Defect Conveyor</t>
  </si>
  <si>
    <t>ตรวจเช็คสภาพท่อร้อยสายไฟ ของ Kromasort Infeed Vibrating Conveyor</t>
  </si>
  <si>
    <t>ตรวจเช็คสภาพท่อร้อยสายไฟ ของ Kromasort Main Brush Roller</t>
  </si>
  <si>
    <t>Kromasort X-Feed Conveyor</t>
  </si>
  <si>
    <t>ตรวจเช็คสภาพท่อร้อยสายไฟ ของ Kromasort Main Conveyor</t>
  </si>
  <si>
    <t>ตรวจเช็คสภาพท่อร้อยสายไฟ ของ Kromasort Outfeed Incline Conveyor</t>
  </si>
  <si>
    <t>ตรวจเช็คสภาพท่อร้อยสายไฟ ของ Kromasort Recirculating Conveyor</t>
  </si>
  <si>
    <t>ตรวจเช็คสภาพท่อร้อยสายไฟ ของ Moisture Monitoring Conveyor</t>
  </si>
  <si>
    <t>ตรวจเช็คสภาพท่อร้อยสายไฟ ของ Kromasort Recycle Conveyor</t>
  </si>
  <si>
    <t>ตรวจเช็คสภาพท่อร้อยสายไฟ ของ Kromasort Waste Conveyor</t>
  </si>
  <si>
    <t>Kromasort x Feed Conveyor</t>
  </si>
  <si>
    <t>ตรวจเช็คสภาพท่อร้อยสายไฟ ของ Kromasort X Feed Conveyor</t>
  </si>
  <si>
    <t>ตรวจเช็คสภาพ Terminal box ของ Kromasort Defect Conveyor</t>
  </si>
  <si>
    <t>ตรวจเช็คสภาพ Terminal box ของ Kromasort Infeed Vibrating Conveyor</t>
  </si>
  <si>
    <t>ตรวจเช็คสภาพ Terminal box ของ Kromasort Main Brush Roller</t>
  </si>
  <si>
    <t>ตรวจเช็คสภาพ Terminal box ของ Kromasort Main Conveyor</t>
  </si>
  <si>
    <t>ตรวจเช็คสภาพ Terminal box ของ Kromasort Recirculating Conveyor</t>
  </si>
  <si>
    <t>ตรวจเช็คสภาพ Terminal box ของ Moisture Monitoring Conveyor</t>
  </si>
  <si>
    <t>ตรวจเช็คสภาพ Terminal box ของ Kromasort Recycle Conveyor</t>
  </si>
  <si>
    <t>ตรวจเช็คสภาพ Terminal box ของ Kromasort Waste Conveyor</t>
  </si>
  <si>
    <t>ตรวจเช็คสภาพ Terminal box ของ Kromasort x Feed Conveyor</t>
  </si>
  <si>
    <t>ตรวจเช็คสภาพ Terminal box ของ Kromasort Outfeed Incline Conveyor</t>
  </si>
  <si>
    <t>P16-HI-EE2</t>
  </si>
  <si>
    <t>ตรวจเช็คปริมาณสารทำความเย็น Air conditioner ของ control panel ของ Kromasort</t>
  </si>
  <si>
    <t>P16-HI-EE</t>
  </si>
  <si>
    <t>P16-HC-EE</t>
  </si>
  <si>
    <t>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Kromasort Chiller</t>
  </si>
  <si>
    <t>ตรวจวัดค่าความเป็นฉนวนของสายไฟและ Electro Magnet บันทึกค่า พร้อมแก้ไข</t>
  </si>
  <si>
    <t>P16-YR-EE</t>
  </si>
  <si>
    <t>P16-YC-EE</t>
  </si>
  <si>
    <t>ทำความสะอาดช่องว่างระหว่าง Electro Magnet กับ Armature รวมทั้ง Amplitude sensor   ทั้ง 2 pair</t>
  </si>
  <si>
    <t>P17</t>
  </si>
  <si>
    <t>Scarf Feeder Loop #1</t>
  </si>
  <si>
    <t>P17-FC-EE</t>
  </si>
  <si>
    <t>SSN Applicator Loop #1</t>
  </si>
  <si>
    <t>ทำความสะอาดตู้ไฟฟ้าของ SSN Applicator Loop #1</t>
  </si>
  <si>
    <t>Scarf Feeder Loop #2</t>
  </si>
  <si>
    <t>SSN Applicator Loop #2</t>
  </si>
  <si>
    <t>ทำความสะอาดตู้ไฟฟ้าของ SSN Applicator Loop# 2</t>
  </si>
  <si>
    <t>Scarf Feeder Loop #3</t>
  </si>
  <si>
    <t>SSN Applicator Loop #3</t>
  </si>
  <si>
    <t>ทำความสะอาดตู้ไฟฟ้าของ SSN Applicator Loop #3</t>
  </si>
  <si>
    <t>Scarf Feeder Loop #4</t>
  </si>
  <si>
    <t>SSN Applicator Loop #4</t>
  </si>
  <si>
    <t>ทำความสะอาดตู้ไฟฟ้าของ SSN Applicator Loop# 4</t>
  </si>
  <si>
    <t>P17-FI-EE4</t>
  </si>
  <si>
    <t>Chiller for air conditioner</t>
  </si>
  <si>
    <t>ตรวจเช็คกระแสของ Air Compress</t>
  </si>
  <si>
    <t>ตรวจเช็คพร้อมถอดล้างทำความสะอาด Air Filter + Condensing air fan</t>
  </si>
  <si>
    <t>ตรวจเช็คระบบ Air Compress+ Condensing+ล้างทำความสะอาด</t>
  </si>
  <si>
    <t>ตรวจเช็คน้ำยา+ล้าง Coil เย็นของ Air SSN Loop #1-4</t>
  </si>
  <si>
    <t>P17-MI-EE</t>
  </si>
  <si>
    <t>SSN Agitator Loop 1</t>
  </si>
  <si>
    <t>ตรวจเช็คสภาพท่อร้อยสายไฟ ของ SSN Agitator Loop 1</t>
  </si>
  <si>
    <t>SSN SpiroFlow Loop #1</t>
  </si>
  <si>
    <t>SSN Auger Loop 1</t>
  </si>
  <si>
    <t>ตรวจเช็คสภาพท่อร้อยสายไฟ ของ SSN Auger Loop 1</t>
  </si>
  <si>
    <t>SSN SpiroFlow Loop #2</t>
  </si>
  <si>
    <t>SSN Agitator Loop 2</t>
  </si>
  <si>
    <t>ตรวจเช็คสภาพท่อร้อยสายไฟ ของ SSN Agitator Loop 2</t>
  </si>
  <si>
    <t>SSN SpiroFlow Loop #3</t>
  </si>
  <si>
    <t>SSN Auger Loop 2</t>
  </si>
  <si>
    <t>ตรวจเช็คสภาพท่อร้อยสายไฟ ของ SSN Auger Loop 2</t>
  </si>
  <si>
    <t>SSN SpiroFlow Loop #4</t>
  </si>
  <si>
    <t>SSN Agitator Loop 3</t>
  </si>
  <si>
    <t>ตรวจเช็คสภาพท่อร้อยสายไฟ ของ SSN Agitator Loop 3</t>
  </si>
  <si>
    <t>Tumbler Drum Loop #1</t>
  </si>
  <si>
    <t>SSN Auger Loop 3</t>
  </si>
  <si>
    <t>ตรวจเช็คสภาพท่อร้อยสายไฟ ของ SSN Auger Loop 3</t>
  </si>
  <si>
    <t>Tumbler Drum Loop #2</t>
  </si>
  <si>
    <t>SSN Agitator Loop 4</t>
  </si>
  <si>
    <t>ตรวจเช็คสภาพท่อร้อยสายไฟ ของ SSN Agitator Loop 4</t>
  </si>
  <si>
    <t>Tumbler Drum Loop #3</t>
  </si>
  <si>
    <t>SSN Auger Loop 4</t>
  </si>
  <si>
    <t>ตรวจเช็คสภาพท่อร้อยสายไฟ ของ SSN Auger Loop 4</t>
  </si>
  <si>
    <t>Tumbler Drum Loop #4</t>
  </si>
  <si>
    <t>SSN Spiroflow Agitator Loop  No.1</t>
  </si>
  <si>
    <t>ตรวจเช็คสภาพท่อร้อยสายไฟ ของ SSN Spiroflow Agitator Loop  No.1</t>
  </si>
  <si>
    <t>Weighing Conveyor Loop #1</t>
  </si>
  <si>
    <t>SSN Spiroflow Hopper Feeder Loop  No.1</t>
  </si>
  <si>
    <t>ตรวจเช็คสภาพท่อร้อยสายไฟ ของ SSN Spiroflow Hopper Feeder Loop  No.1</t>
  </si>
  <si>
    <t>SSN Spiroflow Agitator Loop  No.2</t>
  </si>
  <si>
    <t>ตรวจเช็คสภาพท่อร้อยสายไฟ ของ SSN Spiroflow Agitator Loop  No.2</t>
  </si>
  <si>
    <t>SSN Spiroflow Hopper Feeder Loop  No.2</t>
  </si>
  <si>
    <t>ตรวจเช็คสภาพท่อร้อยสายไฟ ของ SSN Spiroflow Hopper Feeder Loop  No.2</t>
  </si>
  <si>
    <t>Weighing Conveyor Loop #4</t>
  </si>
  <si>
    <t>SSN Spiroflow Agitator Loop  No.3</t>
  </si>
  <si>
    <t>ตรวจเช็คสภาพท่อร้อยสายไฟ ของ SSN Spiroflow Agitator Loop  No.3</t>
  </si>
  <si>
    <t>Vibrating Conveyor (Weighing Conv. Loop#1 Infeed)</t>
  </si>
  <si>
    <t>SSN Spiroflow Hopper Feeder Loop  No.3</t>
  </si>
  <si>
    <t>ตรวจเช็คสภาพท่อร้อยสายไฟ ของ SSN Spiroflow Hopper Feeder Loop  No.3</t>
  </si>
  <si>
    <t>Vibrating Conveyor (Drum Loop#1 Infeed)</t>
  </si>
  <si>
    <t>SSN Spiroflow Agitator Loop  No.4</t>
  </si>
  <si>
    <t>ตรวจเช็คสภาพท่อร้อยสายไฟ ของ SSN Spiroflow Agitator Loop  No.4</t>
  </si>
  <si>
    <t>Vibrating Conveyor (Loop#1 to Loop #2)</t>
  </si>
  <si>
    <t>SSN Spiroflow Hopper Feeder Loop  No.4</t>
  </si>
  <si>
    <t>ตรวจเช็คสภาพท่อร้อยสายไฟ ของ SSN Spiroflow Hopper Feeder Loop  No.4</t>
  </si>
  <si>
    <t>Tumbler Drum Loop No.1</t>
  </si>
  <si>
    <t>ตรวจเช็คสภาพท่อร้อยสายไฟ ของ Tumbler Drum Loop No.1</t>
  </si>
  <si>
    <t>Vibrating Conveyor (Drum Loop#2 Infeed)</t>
  </si>
  <si>
    <t>Tumbler Drum Loop No.2</t>
  </si>
  <si>
    <t>ตรวจเช็คสภาพท่อร้อยสายไฟ ของ Tumbler Drum Loop No.2</t>
  </si>
  <si>
    <t>Tumbler Drum Loop No.3</t>
  </si>
  <si>
    <t>ตรวจเช็คสภาพท่อร้อยสายไฟ ของ Tumbler Drum Loop No.3</t>
  </si>
  <si>
    <t>Tumbler Drum Loop No.4</t>
  </si>
  <si>
    <t>ตรวจเช็คสภาพท่อร้อยสายไฟ ของ Tumbler Drum Loop No.4</t>
  </si>
  <si>
    <t>Weight Belt Loop No.2</t>
  </si>
  <si>
    <t>ตรวจเช็คสภาพท่อร้อยสายไฟ ของ Weight Belt Loop No.2</t>
  </si>
  <si>
    <t>Weight Belt Loop No.3</t>
  </si>
  <si>
    <t>ตรวจเช็คสภาพท่อร้อยสายไฟ ของ Weight Belt Loop No.3</t>
  </si>
  <si>
    <t>P17-MI-EE2</t>
  </si>
  <si>
    <t>ตรวจเช็ค Parameter ของ CD drive ที่ขับ Scarf feeder</t>
  </si>
  <si>
    <t xml:space="preserve">ตรวจเช็ค Parameter ของ CD drive ที่ขับ Scarf feeder </t>
  </si>
  <si>
    <t xml:space="preserve">Weighing Vibrating Conveyor Loop #1 </t>
  </si>
  <si>
    <t xml:space="preserve">ตรวจเช็ค Parameter ของ CD drive ที่ขับ Weight vibrating conveyor </t>
  </si>
  <si>
    <t xml:space="preserve">Weighing Vibrating Conveyor Loop #4 </t>
  </si>
  <si>
    <t>P17-MC-EE3</t>
  </si>
  <si>
    <t>ตรวจสอบค่า mV ที่ load cell amplifier ขณะไม่มี load ของ Applicator loop#1</t>
  </si>
  <si>
    <t>ตรวจสอบค่า mV ที่ load cell amplifier ขณะไม่มี load ของ Applicator loop#2</t>
  </si>
  <si>
    <t>ตรวจสอบค่า mV ที่ load cell amplifier ขณะไม่มี load ของ Applicator loop#3</t>
  </si>
  <si>
    <t>ตรวจสอบค่า mV ที่ load cell amplifier ขณะไม่มี load ของ Applicator loop#4</t>
  </si>
  <si>
    <t>ตรวจสอบค่า mV ที่ load cell amplifier ขณะไม่มี load ของ Weight vibrating conveyor loop#1</t>
  </si>
  <si>
    <t>ตรวจสอบค่า mV ที่ load cell amplifier ขณะไม่มี load ของ Weight belt loop#2</t>
  </si>
  <si>
    <t>ตรวจสอบค่า mV ที่ load cell amplifier ขณะไม่มี load ของ Weight belt loop#3</t>
  </si>
  <si>
    <t>P17-MC-EE</t>
  </si>
  <si>
    <t>ทำความสะอาด Terminal box ของ Magnet รางสั่น No. V6111</t>
  </si>
  <si>
    <t>ทำความสะอาด Terminal box ของ Magnet รางสั่น No. VC6102</t>
  </si>
  <si>
    <t>ทำความสะอาด Terminal box ของ Magnet รางสั่น No. VC6112</t>
  </si>
  <si>
    <t>ทำความสะอาด Terminal box ของ Magnet รางสั่น No. VC6120</t>
  </si>
  <si>
    <t>Vibrating Conveyor (Loop#1 to Loop #2</t>
  </si>
  <si>
    <t>ทำความสะอาด Terminal box ของ Magnet รางสั่น No. V6210</t>
  </si>
  <si>
    <t xml:space="preserve">Vibrating Conveyor (Weight Belt Loop#2 Infeed) </t>
  </si>
  <si>
    <t>ทำความสะอาด Terminal box ของ Magnet รางสั่น No. V6211</t>
  </si>
  <si>
    <t>ทำความสะอาด Terminal box ของ Magnet รางสั่น No. V6212</t>
  </si>
  <si>
    <t>ทำความสะอาด Terminal box ของ Magnet รางสั่น No. V6220</t>
  </si>
  <si>
    <t xml:space="preserve">Vibrating Conveyor (Loop#2 to Loop#3) </t>
  </si>
  <si>
    <t>ทำความสะอาด Terminal box ของ Magnet รางสั่น No. V6310</t>
  </si>
  <si>
    <t xml:space="preserve">Vibrating Conveyor (Weight Belt Loop#3 Infeed) </t>
  </si>
  <si>
    <t>ทำความสะอาด Terminal box ของ Magnet รางสั่น No. V6311</t>
  </si>
  <si>
    <t xml:space="preserve">Vibrating Conveyor (Drum Loop#3 Infeed) </t>
  </si>
  <si>
    <t>ทำความสะอาด Terminal box ของ Magnet รางสั่น No. V6312</t>
  </si>
  <si>
    <t>ทำความสะอาด Terminal box ของ Magnet รางสั่น No. V6320</t>
  </si>
  <si>
    <t xml:space="preserve">Vibrating Conveyor (Loop#3 to Loop#4) </t>
  </si>
  <si>
    <t>ทำความสะอาด Terminal box ของ Magnet รางสั่น No. V6410</t>
  </si>
  <si>
    <t xml:space="preserve">Vibrating Conveyor (Weighing Conv. Loop#4 Infeed) </t>
  </si>
  <si>
    <t>ทำความสะอาด Terminal box ของ Magnet รางสั่น No. V6411</t>
  </si>
  <si>
    <t>ทำความสะอาด Terminal box ของ Magnet รางสั่น No. WC6410</t>
  </si>
  <si>
    <t xml:space="preserve">Scarf Feeder Loop #4 </t>
  </si>
  <si>
    <t>ทำความสะอาด Terminal box ของ Magnet รางสั่น No. V6420</t>
  </si>
  <si>
    <t xml:space="preserve">Vibrating Conveyor (Drum Loop#4 Infeed) </t>
  </si>
  <si>
    <t>ทำความสะอาด Terminal box ของ Magnet รางสั่น No. V6412</t>
  </si>
  <si>
    <t>P17-NC-EE</t>
  </si>
  <si>
    <t>ทำความสะอาดครีบ พัดลม และฝาครอบมอเตอร์ ของ SSN Agitator Loop 1</t>
  </si>
  <si>
    <t>ทำความสะอาดครีบ พัดลม และฝาครอบมอเตอร์ ของ SSN Agitator Loop 2</t>
  </si>
  <si>
    <t>ทำความสะอาดครีบ พัดลม และฝาครอบมอเตอร์ ของ SSN Agitator Loop 3</t>
  </si>
  <si>
    <t>ทำความสะอาดครีบ พัดลม และฝาครอบมอเตอร์ ของ SSN Agitator Loop 4</t>
  </si>
  <si>
    <t>ทำความสะอาดครีบ พัดลม และฝาครอบมอเตอร์ ของ SSN Auger Loop 1</t>
  </si>
  <si>
    <t>ทำความสะอาดครีบ พัดลม และฝาครอบมอเตอร์ ของ SSN Auger Loop 2</t>
  </si>
  <si>
    <t>ทำความสะอาดครีบ พัดลม และฝาครอบมอเตอร์ ของ SSN Auger Loop 3</t>
  </si>
  <si>
    <t>ทำความสะอาดครีบ พัดลม และฝาครอบมอเตอร์ ของ SSN Auger Loop 4</t>
  </si>
  <si>
    <t>SSN Spiroflow Hopper Feeder Loop1</t>
  </si>
  <si>
    <t>ทำความสะอาดครีบ พัดลม และฝาครอบมอเตอร์ ของ SSN Spiroflow Hopper Feeder Loop1</t>
  </si>
  <si>
    <t>SSN Spiroflow Hopper Feeder Loop2</t>
  </si>
  <si>
    <t>ทำความสะอาดครีบ พัดลม และฝาครอบมอเตอร์ ของ SSN Spiroflow Hopper Feeder Loop2</t>
  </si>
  <si>
    <t>SSN Spiroflow Hopper Feeder Loop3</t>
  </si>
  <si>
    <t>ทำความสะอาดครีบ พัดลม และฝาครอบมอเตอร์ ของ SSN Spiroflow Hopper Feeder Loop3</t>
  </si>
  <si>
    <t>SSN Spiroflow Hopper Feeder Loop4</t>
  </si>
  <si>
    <t>ทำความสะอาดครีบ พัดลม และฝาครอบมอเตอร์ ของ SSN Spiroflow Hopper Feeder Loop4</t>
  </si>
  <si>
    <t>ทำความสะอาดครีบ พัดลม และฝาครอบมอเตอร์ ของ Tumbler Drum Loop No.1</t>
  </si>
  <si>
    <t>ทำความสะอาดครีบ พัดลม และฝาครอบมอเตอร์ ของ Tumbler Drum Loop No.2</t>
  </si>
  <si>
    <t>ทำความสะอาดครีบ พัดลม และฝาครอบมอเตอร์ ของ Tumbler Drum Loop No.3</t>
  </si>
  <si>
    <t>ทำความสะอาดครีบ พัดลม และฝาครอบมอเตอร์ ของ Tumbler Drum Loop No.4</t>
  </si>
  <si>
    <t>ทำความสะอาดครีบ พัดลม และฝาครอบมอเตอร์ ของ Weight Belt Loop No.2</t>
  </si>
  <si>
    <t>ทำความสะอาดครีบ พัดลม และฝาครอบมอเตอร์ ของ Weight Belt Loop No.3</t>
  </si>
  <si>
    <t>P17-NI-EE</t>
  </si>
  <si>
    <t>ตรวจเช็คสภาพ Terminal box ของ SSN Agitator Loop 1</t>
  </si>
  <si>
    <t>ตรวจเช็คสภาพ Terminal box ของ SSN Agitator Loop 2</t>
  </si>
  <si>
    <t>ตรวจเช็คสภาพ Terminal box ของ SSN Agitator Loop 3</t>
  </si>
  <si>
    <t>ตรวจเช็คสภาพ Terminal box ของ SSN Agitator Loop 4</t>
  </si>
  <si>
    <t>ตรวจเช็คสภาพ Terminal box ของ SSN Auger Loop 1</t>
  </si>
  <si>
    <t>ตรวจเช็คสภาพ Terminal box ของ SSN Auger Loop 2</t>
  </si>
  <si>
    <t>ตรวจเช็คสภาพ Terminal box ของ SSN Auger Loop 3</t>
  </si>
  <si>
    <t>ตรวจเช็คสภาพ Terminal box ของ SSN Auger Loop 4</t>
  </si>
  <si>
    <t>ตรวจเช็คสภาพ Terminal box ของ SSN Spiroflow Hopper Feeder Loop  No.1</t>
  </si>
  <si>
    <t>ตรวจเช็คสภาพ Terminal box ของ SSN Spiroflow Hopper Feeder Loop  No.2</t>
  </si>
  <si>
    <t>ตรวจเช็คสภาพ Terminal box ของ SSN Spiroflow Hopper Feeder Loop  No.3</t>
  </si>
  <si>
    <t>ตรวจเช็คสภาพ Terminal box ของ SSN Spiroflow Hopper Feeder Loop  No.4</t>
  </si>
  <si>
    <t>ตรวจเช็คสภาพ Terminal box ของ Tumbler Drum Loop No.1</t>
  </si>
  <si>
    <t>ตรวจเช็คสภาพ Terminal box ของ Tumbler Drum Loop No.2</t>
  </si>
  <si>
    <t>ตรวจเช็คสภาพ Terminal box ของ Tumbler Drum Loop No.3</t>
  </si>
  <si>
    <t>ตรวจเช็คสภาพ Terminal box ของ Tumbler Drum Loop No.4</t>
  </si>
  <si>
    <t>ตรวจเช็คสภาพ Terminal box ของ Weight Belt Loop No.2</t>
  </si>
  <si>
    <t>ตรวจเช็คสภาพ Terminal box ของ Weight Belt Loop No.3</t>
  </si>
  <si>
    <t>P17-QC-EE</t>
  </si>
  <si>
    <t>ทำความสะอาดครีบ พัดลม และฝาครอบมอเตอร์ ของ SSN Spiroflow Agitator Loop  No.1</t>
  </si>
  <si>
    <t>ทำความสะอาดครีบ พัดลม และฝาครอบมอเตอร์ ของ SSN Spiroflow Agitator Loop  No.2</t>
  </si>
  <si>
    <t>ทำความสะอาดครีบ พัดลม และฝาครอบมอเตอร์ ของ SSN Spiroflow Agitator Loop  No.3</t>
  </si>
  <si>
    <t>ทำความสะอาดครีบ พัดลม และฝาครอบมอเตอร์ ของ SSN Spiroflow Agitator Loop  No.4</t>
  </si>
  <si>
    <t>P17-QI-EE</t>
  </si>
  <si>
    <t>ตรวจเช็คสภาพ Terminal box ของ SSN Spiroflow Agitator Loop  No.1</t>
  </si>
  <si>
    <t>ตรวจเช็คสภาพ Terminal box ของ SSN Spiroflow Agitator Loop  No.2</t>
  </si>
  <si>
    <t>ตรวจเช็คสภาพ Terminal box ของ SSN Spiroflow Agitator Loop  No.3</t>
  </si>
  <si>
    <t>ตรวจเช็คสภาพ Terminal box ของ SSN Spiroflow Agitator Loop  No.4</t>
  </si>
  <si>
    <t>P17-QI-EE2</t>
  </si>
  <si>
    <t>ถอด Cover ชุด LIW เพื่อทำความสะอาดและตรวจสอบสภาพ Load cell ทั้ง 3 ตัว</t>
  </si>
  <si>
    <t>ตรวจเช็คสภาพฐานเม็ดลูกปืนของ Load cell ทั้ง 3 ตัว</t>
  </si>
  <si>
    <t>ตรวจเช็คน๊อตค้ำยัน Load cell ต้องไม่แตะที่ปลาย load cell</t>
  </si>
  <si>
    <t>P17-QR-EE</t>
  </si>
  <si>
    <t>เปลี่ยนเม็ด Bearing รองฐาน และฐาน Load cell ของ SSN Hopper Loop#1</t>
  </si>
  <si>
    <t>เปลี่ยนเม็ด Bearing รองฐาน และฐาน Load cell ของ SSN Hopper Loop#2</t>
  </si>
  <si>
    <t>เปลี่ยนเม็ด Bearing รองฐาน และฐาน Load cell ของ SSN Hopper Loop#3</t>
  </si>
  <si>
    <t>เปลี่ยนเม็ด Bearing รองฐาน และฐาน Load cell ของ SSN Hopper Loop#4</t>
  </si>
  <si>
    <t>P17-RI-EE</t>
  </si>
  <si>
    <t>ตรวจเช็ค Parameter CD drive/ค่ากระแสไฟฟ้า/สภาพ Power Terminal พร้อมเปรียบเทียบกับค่าครั้งก่อนหน้า</t>
  </si>
  <si>
    <t>P17-RI-EE2</t>
  </si>
  <si>
    <t>P17-RI-EE3</t>
  </si>
  <si>
    <t>P17-RI-EE4</t>
  </si>
  <si>
    <t>P17-HR-EE2</t>
  </si>
  <si>
    <t>เปลี่ยนชุดเกียร์ SSN Auger และ Agitator ของ SSN Applicator Loop#1</t>
  </si>
  <si>
    <t>P17-HR-EE3</t>
  </si>
  <si>
    <t>เปลี่ยนชุดเกียร์ SSN Auger และ Agitator ของ SSN Applicator Loop#2</t>
  </si>
  <si>
    <t>P17-HR-EE4</t>
  </si>
  <si>
    <t>เปลี่ยนชุดเกียร์ SSN Auger และ Agitator ของ SSN Applicator Loop#3</t>
  </si>
  <si>
    <t>P17-HR-EE5</t>
  </si>
  <si>
    <t>เปลี่ยนชุดเกียร์ SSN Auger และ Agitator ของ SSN Applicator Loop#4</t>
  </si>
  <si>
    <t>P17-HC-EE</t>
  </si>
  <si>
    <t>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SSN unit</t>
  </si>
  <si>
    <t>P17-HC-EE2</t>
  </si>
  <si>
    <t>Air Control SSN Loop #1-4</t>
  </si>
  <si>
    <t>P17-HI-EE</t>
  </si>
  <si>
    <t>P17-HI-EE2</t>
  </si>
  <si>
    <t>P17-HI-EE3</t>
  </si>
  <si>
    <t>P17-HI-EE4</t>
  </si>
  <si>
    <t>P17-HI-EE5</t>
  </si>
  <si>
    <t>P17-HI-EE6</t>
  </si>
  <si>
    <t>P17-HI-EE7</t>
  </si>
  <si>
    <t>P17-HI-EE8</t>
  </si>
  <si>
    <t>P17-HI-EE9</t>
  </si>
  <si>
    <t>P17-HI-EE10</t>
  </si>
  <si>
    <t>P17-HI-EE11</t>
  </si>
  <si>
    <t>P17-HI-EE12</t>
  </si>
  <si>
    <t>P17-HI-EE13</t>
  </si>
  <si>
    <t>P17-HI-EE14</t>
  </si>
  <si>
    <t>P17-HI-EE15</t>
  </si>
  <si>
    <t>P17-HI-EE16</t>
  </si>
  <si>
    <t>P17-HI-EE17</t>
  </si>
  <si>
    <t>P17-HCB-EE</t>
  </si>
  <si>
    <t xml:space="preserve">Calibrate โดยการทำ Catch Test เพื่อปรับค่า Span Weight   </t>
  </si>
  <si>
    <t>P17-HCB-EE2</t>
  </si>
  <si>
    <t xml:space="preserve">Weigh Belt Loop #2                       </t>
  </si>
  <si>
    <t>P17-HCB-EE3</t>
  </si>
  <si>
    <t xml:space="preserve">Weigh Belt Loop #3                      </t>
  </si>
  <si>
    <t>P17-HCB-EE4</t>
  </si>
  <si>
    <t>P17-YR-EE</t>
  </si>
  <si>
    <t>เปลี่ยน Load cell ของ SSN Hopper Loop#1 ทั้ง 3 ตัว</t>
  </si>
  <si>
    <t>P17-YR-EE2</t>
  </si>
  <si>
    <t>เปลี่ยน Load cell ของ SSN Hopper Loop#2 ทั้ง 3 ตัว</t>
  </si>
  <si>
    <t>P17-YR-EE3</t>
  </si>
  <si>
    <t>เปลี่ยน Load cell ของ SSN Hopper Loop#3 ทั้ง 3 ตัว</t>
  </si>
  <si>
    <t>P17-YR-EE4</t>
  </si>
  <si>
    <t>เปลี่ยน Load cell ของ SSN Hopper Loop#4 ทั้ง 3 ตัว</t>
  </si>
  <si>
    <t>P17-YC-EE1</t>
  </si>
  <si>
    <t>ทำความสะอาดช่องว่างระหว่าง Electro Magnet กับ Armature รวมทั้ง Amplitude sensor   ทั้ง 3  pair</t>
  </si>
  <si>
    <t>P17-YC-EE2</t>
  </si>
  <si>
    <t>P17-YC-EE3</t>
  </si>
  <si>
    <t xml:space="preserve">ทำความสะอาดช่องว่างระหว่าง Electro Magnet กับ Armature รวมทั้ง Amplitude sensor </t>
  </si>
  <si>
    <t>P17-YC-EE4</t>
  </si>
  <si>
    <t>P17-YC-EE5</t>
  </si>
  <si>
    <t>P17-YC-EE6</t>
  </si>
  <si>
    <t>P17-YC-EE7</t>
  </si>
  <si>
    <t>P17-YC-EE8</t>
  </si>
  <si>
    <t>P17-YC-EE9</t>
  </si>
  <si>
    <t>P17-YC-EE10</t>
  </si>
  <si>
    <t>P17-YC-EE11</t>
  </si>
  <si>
    <t>P17-YC-EE12</t>
  </si>
  <si>
    <t>P17-YC-EE13</t>
  </si>
  <si>
    <t>P17-YC-EE14</t>
  </si>
  <si>
    <t>P17-YC-EE15</t>
  </si>
  <si>
    <t>P17-YC-EE16</t>
  </si>
  <si>
    <t>P17-YC-EE17</t>
  </si>
  <si>
    <t>P18</t>
  </si>
  <si>
    <t>Elevating Conveyor #1</t>
  </si>
  <si>
    <t>P18-FI-EE3</t>
  </si>
  <si>
    <t>Vibrating Conveyor (Drum Loop#1 Outfeed)</t>
  </si>
  <si>
    <t>ถ่ายรูป Thermal ที่ Terminal ของ CD Driver No. VC6105</t>
  </si>
  <si>
    <t>Elevating Conveyor #2</t>
  </si>
  <si>
    <t xml:space="preserve">Vibrating Conveyor (Loop#1 Outfeed) </t>
  </si>
  <si>
    <t>ถ่ายรูป Thermal ที่ Terminal ของ CD Driver No. VC6113</t>
  </si>
  <si>
    <t>Elevating Conveyor #3</t>
  </si>
  <si>
    <t>Vibrating Conveyor (Loop#2 Outfeed)</t>
  </si>
  <si>
    <t>ถ่ายรูป Thermal ที่ Terminal ของ CD Driver No. V6213</t>
  </si>
  <si>
    <t>Elevating Conveyor #4</t>
  </si>
  <si>
    <t xml:space="preserve">Vibrating Conveyor (Loop#3 Outfeed) </t>
  </si>
  <si>
    <t>ถ่ายรูป Thermal ที่ Terminal ของ CD Driver No. V6313</t>
  </si>
  <si>
    <t xml:space="preserve">Vibrating Conveyor (Loop#4 Outfeed) </t>
  </si>
  <si>
    <t>ถ่ายรูป Thermal ที่ Terminal ของ CD Driver No. V6413</t>
  </si>
  <si>
    <t>Elevating Conveyor #5</t>
  </si>
  <si>
    <t>P18-NI-EE</t>
  </si>
  <si>
    <t>Elevating Conveyor No.1</t>
  </si>
  <si>
    <t>ตรวจเช็คสภาพท่อร้อยสายไฟ ของ Elevating Conveyor No.1</t>
  </si>
  <si>
    <t>Elevating Conveyor No.2</t>
  </si>
  <si>
    <t>ตรวจเช็คสภาพท่อร้อยสายไฟ ของ Elevating Conveyor No.2</t>
  </si>
  <si>
    <t>Vibrating Conveyor (Loop#1 Outfeed)</t>
  </si>
  <si>
    <t>Elevating Conveyor No.3</t>
  </si>
  <si>
    <t>ตรวจเช็คสภาพท่อร้อยสายไฟ ของ Elevating Conveyor No.3</t>
  </si>
  <si>
    <t>Elevating Conveyor No.4</t>
  </si>
  <si>
    <t>ตรวจเช็คสภาพท่อร้อยสายไฟ ของ Elevating Conveyor No.4</t>
  </si>
  <si>
    <t>Vibrating Conveyor (Loop#3 Outfeed)</t>
  </si>
  <si>
    <t>ตรวจเช็คสภาพ Terminal box ของ Elevating Conveyor No.1</t>
  </si>
  <si>
    <t>Vibrating Conveyor (Loop#4 Outfeed)</t>
  </si>
  <si>
    <t>ตรวจเช็คสภาพ Terminal box ของ Elevating Conveyor No.2</t>
  </si>
  <si>
    <t>ตรวจเช็คสภาพ Terminal box ของ Elevating Conveyor No.3</t>
  </si>
  <si>
    <t>ตรวจเช็คสภาพ Terminal box ของ Elevating Conveyor No.4</t>
  </si>
  <si>
    <t>Elevating Conveyor No.5</t>
  </si>
  <si>
    <t>ตรวจเช็คสภาพ Terminal box ของ Elevating Conveyor No.5</t>
  </si>
  <si>
    <t>PK#3 Infeed Conveyor</t>
  </si>
  <si>
    <t>ตรวจเช็คสภาพ Terminal box ของ PK#3 Infeed Conveyor</t>
  </si>
  <si>
    <t>P18-MC-EE</t>
  </si>
  <si>
    <t>ทำความสะอาด Terminal box ของ Magnet รางสั่น No. VC6105</t>
  </si>
  <si>
    <t>ทำความสะอาด Terminal box ของ Magnet รางสั่น No. VC6113</t>
  </si>
  <si>
    <t>ทำความสะอาด Terminal box ของ Magnet รางสั่น No. V6213</t>
  </si>
  <si>
    <t>ทำความสะอาด Terminal box ของ Magnet รางสั่น No. V6313</t>
  </si>
  <si>
    <t>ทำความสะอาด Terminal box ของ Magnet รางสั่น No. V6413</t>
  </si>
  <si>
    <t>P18-NC-EE</t>
  </si>
  <si>
    <t>ทำความสะอาดครีบ พัดลม และฝาครอบมอเตอร์ ของ Elevating Conveyor No.1</t>
  </si>
  <si>
    <t>ทำความสะอาดครีบ พัดลม และฝาครอบมอเตอร์ ของ Elevating Conveyor No.2</t>
  </si>
  <si>
    <t>ทำความสะอาดครีบ พัดลม และฝาครอบมอเตอร์ ของ Elevating Conveyor No.3</t>
  </si>
  <si>
    <t>ทำความสะอาดครีบ พัดลม และฝาครอบมอเตอร์ ของ Elevating Conveyor No.4</t>
  </si>
  <si>
    <t>P18-RI-EE</t>
  </si>
  <si>
    <t>P18-HI-EE</t>
  </si>
  <si>
    <t>P18-HI-EE2</t>
  </si>
  <si>
    <t>P18-HI-EE3</t>
  </si>
  <si>
    <t>P18-HI-EE4</t>
  </si>
  <si>
    <t>P18-HI-EE5</t>
  </si>
  <si>
    <t>P18-YC-EE</t>
  </si>
  <si>
    <t>P18-YC-EE2</t>
  </si>
  <si>
    <t>P18-YC-EE3</t>
  </si>
  <si>
    <t>P18-YC-EE4</t>
  </si>
  <si>
    <t>P18-YC-EE5</t>
  </si>
  <si>
    <t>PE0</t>
  </si>
  <si>
    <t>Sack Empty Hopper #1</t>
  </si>
  <si>
    <t>PE0-NI-EE</t>
  </si>
  <si>
    <t>ตรวจเช็คกระแสไฟฟ้าทั้ง 3 เฟส ของ Flour Mixer (M73)</t>
  </si>
  <si>
    <t>Sack Empty Hopper #2</t>
  </si>
  <si>
    <t>Flour Mixer Agitator</t>
  </si>
  <si>
    <t>ตรวจเช็คกระแสไฟฟ้าทั้ง 3 เฟส ของ Flour Mixer Agitator (M74A,B)</t>
  </si>
  <si>
    <t>Sack Empty Hopper #3</t>
  </si>
  <si>
    <t>PE0-MC-EE</t>
  </si>
  <si>
    <t>ทำความสะอาดครีบ พัดลม และฝาครอบมอเตอร์ ของ Sack Empty Hopper#1 Disch Valve (M50)</t>
  </si>
  <si>
    <t>Big Bag Empty Hopper</t>
  </si>
  <si>
    <t>ทำความสะอาดครีบ พัดลม และฝาครอบมอเตอร์ ของ Sack Empty Hopper#2 Disch Valve (M51)</t>
  </si>
  <si>
    <t>Microingredients Charging Doser #1</t>
  </si>
  <si>
    <t>ทำความสะอาดครีบ พัดลม และฝาครอบมอเตอร์ ของ Sack Empty Hopper#3 Disch Valve (M52)</t>
  </si>
  <si>
    <t>Microingredients Charging Doser #2</t>
  </si>
  <si>
    <t>Weighting Hopper</t>
  </si>
  <si>
    <t>ทำความสะอาดครีบ พัดลม และฝาครอบมอเตอร์ ของ Weighing Hopper Control (M56)</t>
  </si>
  <si>
    <t>Microingredients Charging Doser #3</t>
  </si>
  <si>
    <t>ทำความสะอาดครีบ พัดลม และฝาครอบมอเตอร์ ของ Microingredients Charging Doser #1</t>
  </si>
  <si>
    <t>Microingredients Charging Doser #4</t>
  </si>
  <si>
    <t>ทำความสะอาดครีบ พัดลม และฝาครอบมอเตอร์ ของ Microingredients Charging Doser #2</t>
  </si>
  <si>
    <t>ทำความสะอาดครีบ พัดลม และฝาครอบมอเตอร์ ของ Microingredients Charging Doser #3</t>
  </si>
  <si>
    <t>ทำความสะอาดครีบ พัดลม และฝาครอบมอเตอร์ ของ Microingredients Charging Doser #4</t>
  </si>
  <si>
    <t>Plough Share Mixer</t>
  </si>
  <si>
    <t>ทำความสะอาดครีบ พัดลม และฝาครอบมอเตอร์ ของ Flour Mixer (M73)</t>
  </si>
  <si>
    <t>Flour Storage Hopper #1</t>
  </si>
  <si>
    <t>ทำความสะอาดครีบ พัดลม และฝาครอบมอเตอร์ ของ Flour Mixer Agitator (M74A,B)</t>
  </si>
  <si>
    <t>Flour Storage Hopper #2</t>
  </si>
  <si>
    <t>Flour Mixer Storage</t>
  </si>
  <si>
    <t>ตรวจเช็คสภาพท่อร้อยสายไฟ ของ Sack Empty Hopper #1 (M41)</t>
  </si>
  <si>
    <t>ตรวจเช็คสภาพท่อร้อยสายไฟ ของ Sack Empty Hopper #2 (M42)</t>
  </si>
  <si>
    <t>ตรวจเช็คสภาพท่อร้อยสายไฟ ของ Sack Empty Hopper #3 (M43)</t>
  </si>
  <si>
    <t>ตรวจเช็คสภาพท่อร้อยสายไฟ ของ Big Bag Empty Hopper (M44)</t>
  </si>
  <si>
    <t>ตรวจเช็คสภาพท่อร้อยสายไฟ ของ Sack Empty Hopper #1 Dust Filter (M45)</t>
  </si>
  <si>
    <t>ตรวจเช็คสภาพท่อร้อยสายไฟ ของ Sack Empty Hopper #2 Dust Filter (M46)</t>
  </si>
  <si>
    <t>ตรวจเช็คสภาพท่อร้อยสายไฟ ของ Sack Empty Hopper #3 Dust Filter (M47)</t>
  </si>
  <si>
    <t>ตรวจเช็คสภาพท่อร้อยสายไฟ ของ Big Bag Discharge Rotary Valve (M48)</t>
  </si>
  <si>
    <t>ตรวจเช็คสภาพท่อร้อยสายไฟ ของ Sack Empty Hopper #1 Discharge Valve (M50)</t>
  </si>
  <si>
    <t>ตรวจเช็คสภาพท่อร้อยสายไฟ ของ Sack Empty Hopper #2 Discharge Valve (M51)</t>
  </si>
  <si>
    <t>ตรวจเช็คสภาพท่อร้อยสายไฟ ของ Sack Empty Hopper #3 Discharge Valve (M52)</t>
  </si>
  <si>
    <t>ตรวจเช็คสภาพท่อร้อยสายไฟ ของ Weighing Hopper Control (M56)</t>
  </si>
  <si>
    <t>ตรวจเช็คสภาพท่อร้อยสายไฟ ของ Flour Mixer (M73)</t>
  </si>
  <si>
    <t>ตรวจเช็คสภาพท่อร้อยสายไฟ ของ Flour Mixer Agitator (M74A,B)</t>
  </si>
  <si>
    <t>ตรวจเช็คสภาพ Terminal box ของ Sack Empty Hopper #1 (M41)</t>
  </si>
  <si>
    <t>ตรวจเช็คสภาพ Terminal box ของ Sack Empty Hopper #2 (M42)</t>
  </si>
  <si>
    <t>ตรวจเช็คสภาพ Terminal box ของ Sack Empty Hopper #3 (M43)</t>
  </si>
  <si>
    <t>ตรวจเช็คสภาพ Terminal box ของ Sack Empty Hopper #1 Dust Filter (M45)</t>
  </si>
  <si>
    <t>ตรวจเช็คสภาพ Terminal box ของ Sack Empty Hopper #2 Dust Filter (M46)</t>
  </si>
  <si>
    <t>ตรวจเช็คสภาพ Terminal box ของ Sack Empty Hopper #3 Dust Filter (M47)</t>
  </si>
  <si>
    <t>ตรวจเช็คสภาพ Terminal box ของ Sack Empty Hopper #1 Discharge Valve (M50)</t>
  </si>
  <si>
    <t>ตรวจเช็คสภาพ Terminal box ของ Sack Empty Hopper #2 Discharge Valve (M51)</t>
  </si>
  <si>
    <t>ตรวจเช็คสภาพ Terminal box ของ Sack Empty Hopper #3 Discharge Valve (M52)</t>
  </si>
  <si>
    <t>ตรวจเช็คสภาพ Terminal box ของ Weighing Hopper Control (M56)</t>
  </si>
  <si>
    <t>ตรวจเช็คสภาพ Terminal box ของ Flour Mixer (M73)</t>
  </si>
  <si>
    <t>ตรวจเช็คสภาพ Terminal box ของ Flour Mixer Agitator (M74A,B)</t>
  </si>
  <si>
    <t>ตรวจเช็คสภาพ Terminal box ของ Flour Mixer Storage Tank Control (M77)</t>
  </si>
  <si>
    <t>PE0-QI-EE</t>
  </si>
  <si>
    <t>ตรวจเช็คค่าความต้านทานของสาย Earth bonding จำนวน 2 จุด</t>
  </si>
  <si>
    <t>ตรวจเช็คค่าความต้านทานของสาย Earth bonding จำนวน 8 จุด</t>
  </si>
  <si>
    <t>PE0-QT-EE</t>
  </si>
  <si>
    <t>วัดอุณหภูมิพื้นผิวมอเตอร์ ของ Plough Share Mixer</t>
  </si>
  <si>
    <t>PE0-HI-EE</t>
  </si>
  <si>
    <t xml:space="preserve">ตรวจสอบสภาพ Seal ของ Flour discharge butterfly valve ของ Macro &amp; Micro Weigher </t>
  </si>
  <si>
    <t>PE1</t>
  </si>
  <si>
    <t>Dough Water Dosing Pump</t>
  </si>
  <si>
    <t>PE1-MC-EE</t>
  </si>
  <si>
    <t>ทำความสะอาดครีบ พัดลม และฝาครอบมอเตอร์ ของ TT Water Doser (M104)</t>
  </si>
  <si>
    <t>Barrel Water Pump</t>
  </si>
  <si>
    <t>ทำความสะอาดครีบ พัดลม และฝาครอบมอเตอร์ ของ TT Barrel Water Doser (M105)</t>
  </si>
  <si>
    <t>Hot Water Pump</t>
  </si>
  <si>
    <t>ทำความสะอาดครีบ พัดลม และฝาครอบมอเตอร์ ของ TT Hot Water Pump (M109)</t>
  </si>
  <si>
    <t>PE1-NI-EE</t>
  </si>
  <si>
    <t>ตรวจเช็คสภาพท่อร้อยสายไฟ ของ TT Water Doser (M104)</t>
  </si>
  <si>
    <t>ตรวจเช็คสภาพท่อร้อยสายไฟ ของ TT Barrel Water Doser (M105)</t>
  </si>
  <si>
    <t>Robox VC1</t>
  </si>
  <si>
    <t>ตรวจเช็คสภาพท่อร้อยสายไฟ ของ TT Hot Water Pump (M109)</t>
  </si>
  <si>
    <t>Robox VC2</t>
  </si>
  <si>
    <t>ตรวจเช็คสภาพ Terminal box ของ TT Water Doser (M104)</t>
  </si>
  <si>
    <t>Vacuum Pump VC3</t>
  </si>
  <si>
    <t>ตรวจเช็คสภาพ Terminal box ของ TT Barrel Water Doser (M105)</t>
  </si>
  <si>
    <t>ตรวจเช็คสภาพ Terminal box ของ TT Hot Water Pump (M109)</t>
  </si>
  <si>
    <t>PE1-QT-EE</t>
  </si>
  <si>
    <t>วัดอุณหภูมิพื้นผิวมอเตอร์ ของ Motor Robox VC1</t>
  </si>
  <si>
    <t>วัดอุณหภูมิพื้นผิวมอเตอร์ ของ Motor Robox VC2</t>
  </si>
  <si>
    <t>PE2</t>
  </si>
  <si>
    <t>Flour Doser</t>
  </si>
  <si>
    <t>PE2-NI-EE2</t>
  </si>
  <si>
    <t>TT-Extruder</t>
  </si>
  <si>
    <t>ตรวจเช็คกระแสไฟฟ้าทั้ง 3 เฟส ของ TT Extrusion Screw (M113)</t>
  </si>
  <si>
    <t>Pre-Mixer</t>
  </si>
  <si>
    <t>ตรวจเช็คกระแสไฟฟ้าทั้ง 3 เฟส ของ TT Extrusion Screw Motor Ventillation (M114)</t>
  </si>
  <si>
    <t>Paddle Preconditioner</t>
  </si>
  <si>
    <t xml:space="preserve">ตรวจเช็คกระแสไฟฟ้าทั้ง 3 เฟส ของ TT Heater Zone A,B,C (M109) </t>
  </si>
  <si>
    <t>Dough Force Feeder</t>
  </si>
  <si>
    <t>ตรวจเช็คกระแสไฟฟ้าทั้ง 3 เฟส ของ  Barrel Heater (R118)</t>
  </si>
  <si>
    <t>ตรวจเช็คกระแสไฟฟ้าทั้ง 3 เฟส ของ  Barrel Heater (R119)</t>
  </si>
  <si>
    <t>ตรวจเช็คกระแสไฟฟ้าทั้ง 3 เฟส ของ  Barrel Heater (R120)</t>
  </si>
  <si>
    <t>ตรวจเช็คกระแสไฟฟ้าทั้ง 3 เฟส ของ  Barrel Heater (R121)</t>
  </si>
  <si>
    <t>ตรวจเช็คกระแสไฟฟ้าทั้ง 3 เฟส ของ  Barrel Heater (R122)</t>
  </si>
  <si>
    <t>ตรวจเช็คกระแสไฟฟ้าทั้ง 3 เฟส ของ  Barrel Heater (R123)</t>
  </si>
  <si>
    <t>ตรวจเช็คสภาพท่อร้อยสายไฟ ของ K-Tron Agitator</t>
  </si>
  <si>
    <t>ตรวจเช็คสภาพท่อร้อยสายไฟ ของ TT Pre-Mixer (M108)</t>
  </si>
  <si>
    <t>ตรวจเช็คสภาพท่อร้อยสายไฟ ของ TT Mixer (Pre-Conditioner) (M110)</t>
  </si>
  <si>
    <t>ตรวจเช็คสภาพท่อร้อยสายไฟ ของ TT Force Feeder (M112)</t>
  </si>
  <si>
    <t>ตรวจเช็คสภาพท่อร้อยสายไฟ ของ TT Extrusion Screw (M113)</t>
  </si>
  <si>
    <t>ตรวจเช็คสภาพท่อร้อยสายไฟ ของ TT Extrusion Screw Motor Ventillation (M114)</t>
  </si>
  <si>
    <t>ตรวจเช็คสภาพท่อร้อยสายไฟ ของ TT Lubrication (M115)</t>
  </si>
  <si>
    <t>ตรวจเช็คสภาพท่อร้อยสายไฟ ของ TT Heat Exchanger (M124)</t>
  </si>
  <si>
    <t>ตรวจเช็คสภาพท่อร้อยสายไฟ ของ TT Filter Changer (M126)</t>
  </si>
  <si>
    <t>ตรวจเช็คสภาพท่อร้อยสายไฟ ของ Heater Barrel (R118)</t>
  </si>
  <si>
    <t>ตรวจเช็คสภาพท่อร้อยสายไฟ ของ Heater Barrel (R119)</t>
  </si>
  <si>
    <t>ตรวจเช็คสภาพท่อร้อยสายไฟ ของ Heater Barrel (R120)</t>
  </si>
  <si>
    <t>ตรวจเช็คสภาพท่อร้อยสายไฟ ของ Heater Barrel (R121)</t>
  </si>
  <si>
    <t>ตรวจเช็คสภาพท่อร้อยสายไฟ ของ Heater Barrel (R122)</t>
  </si>
  <si>
    <t>ตรวจเช็คสภาพท่อร้อยสายไฟ ของ Heater Barrel (R123)</t>
  </si>
  <si>
    <t>PE2-MR-EE</t>
  </si>
  <si>
    <t>สลับใช้ VFD ของ Main TT-extruder มอเตอร์</t>
  </si>
  <si>
    <t>PE2-MC-EE</t>
  </si>
  <si>
    <t>ทำความสะอาดครีบ พัดลม และฝาครอบมอเตอร์ ของ TT Pre-Mixer (M108)</t>
  </si>
  <si>
    <t>ทำความสะอาดครีบ พัดลม และฝาครอบมอเตอร์ ของ TT Mixer (Pre-Conditioner) (M110)</t>
  </si>
  <si>
    <t>ทำความสะอาดครีบ พัดลม และฝาครอบมอเตอร์ ของ TT Force Feeder (M112)</t>
  </si>
  <si>
    <t>ทำความสะอาดครีบ พัดลม และฝาครอบมอเตอร์ ของ TT Extrusion Screw (M113)</t>
  </si>
  <si>
    <t>PE2-MI-EE</t>
  </si>
  <si>
    <t>ตรวจเช็คสภาพท่อร้อยสายไฟ ของ K-Tron</t>
  </si>
  <si>
    <t>PE2-QC-EE</t>
  </si>
  <si>
    <t>ทำความสะอาดครีบ พัดลม และฝาครอบมอเตอร์ ของ TT Extrusion Screw Motor Vent (M114)</t>
  </si>
  <si>
    <t>ทำความสะอาดครีบ พัดลม และฝาครอบมอเตอร์ ของ TT Lubrication (M115)</t>
  </si>
  <si>
    <t>ทำความสะอาดครีบ พัดลม และฝาครอบมอเตอร์ ของ TT Heat Exchanger (M124)</t>
  </si>
  <si>
    <t>ทำความสะอาดครีบ พัดลม และฝาครอบมอเตอร์ ของ TT Filter Changer (M126)</t>
  </si>
  <si>
    <t>PE2-NI-EE</t>
  </si>
  <si>
    <t>ตรวจเช็คสภาพ Terminal box ของ K-Tron</t>
  </si>
  <si>
    <t>ตรวจเช็คสภาพ Terminal box ของ K-Tron Agitator</t>
  </si>
  <si>
    <t>ตรวจเช็คสภาพ Terminal box ของ TT Pre-Mixer (M108)</t>
  </si>
  <si>
    <t>ตรวจเช็คสภาพ Terminal box ของ TT Mixer (Pre-Conditioner) (M110)</t>
  </si>
  <si>
    <t>ตรวจเช็คสภาพ Terminal box ของ TT Force Feeder (M112)</t>
  </si>
  <si>
    <t>ตรวจเช็คสภาพ Terminal box ของ TT Extrusion Screw (M113)</t>
  </si>
  <si>
    <t>ตรวจเช็คสภาพ Terminal box ของ TT Extrusion Screw Motor Ventillation (M114)</t>
  </si>
  <si>
    <t>ตรวจเช็คสภาพ Terminal box ของ TT Lubrication (M115)</t>
  </si>
  <si>
    <t>ตรวจเช็คสภาพ Terminal box ของ TT Heat Exchanger (M124)</t>
  </si>
  <si>
    <t>ตรวจเช็คสภาพ Terminal box ของ TT Filter Changer (M126)</t>
  </si>
  <si>
    <t>PE2-HI-EE2</t>
  </si>
  <si>
    <t>Control Terminal Box</t>
  </si>
  <si>
    <t xml:space="preserve">ตรวจเช็คพร้อมทำความสะอาดตู้ไฟฟ้า ( X100 ) </t>
  </si>
  <si>
    <t>PE2-HCB-EE</t>
  </si>
  <si>
    <t>Calibrate อุณหภูมิของ Thermocouple  Barrel Heater (R118)</t>
  </si>
  <si>
    <t>Calibrate อุณหภูมิของ Thermocouple  Barrel Heater (R119)</t>
  </si>
  <si>
    <t>Calibrate อุณหภูมิของ Thermocouple  Barrel Heater (R120)</t>
  </si>
  <si>
    <t>Calibrate อุณหภูมิของ Thermocouple  Barrel Heater (R121)</t>
  </si>
  <si>
    <t>Calibrate อุณหภูมิของ Thermocouple  Barrel Heater (R122)</t>
  </si>
  <si>
    <t>Calibrate อุณหภูมิของ Thermocouple  Barrel Heater (R123)</t>
  </si>
  <si>
    <t>PE2-YI-EE</t>
  </si>
  <si>
    <t>PE3</t>
  </si>
  <si>
    <t>BSC Chaging Belt</t>
  </si>
  <si>
    <t>PE3-NI-EE2</t>
  </si>
  <si>
    <t>RDS Cross Roller</t>
  </si>
  <si>
    <t>ตรวจเช็คกระแสไฟฟ้าทั้ง 3 เฟส ของ RV Laminating Rolls Group #1 (M210)</t>
  </si>
  <si>
    <t>Belt Sheet Conditioner</t>
  </si>
  <si>
    <t>ตรวจเช็คกระแสไฟฟ้าทั้ง 3 เฟส ของ RV Laminating Rolls Group #2 (M211)</t>
  </si>
  <si>
    <t>ตรวจเช็คกระแสไฟฟ้าทั้ง 3 เฟส ของ RV/TP2 Pneumatic Conveyor (M221)</t>
  </si>
  <si>
    <t>Perforate Unit</t>
  </si>
  <si>
    <t>ตรวจเช็คกระแสไฟฟ้าทั้ง 3 เฟส ของ RV2-TP2 Pneumatic Conveyor (M246)</t>
  </si>
  <si>
    <t>PE3-NI-EE</t>
  </si>
  <si>
    <t>ตรวจเช็คสภาพท่อร้อยสายไฟ ของ RV Laminating Rolls Group #1 (M210)</t>
  </si>
  <si>
    <t>ตรวจเช็คสภาพท่อร้อยสายไฟ ของ RV Laminating Rolls Group #2 (M211)</t>
  </si>
  <si>
    <t>ตรวจเช็คสภาพท่อร้อยสายไฟ ของ RV Forming Rolls Group (M212)</t>
  </si>
  <si>
    <t>ตรวจเช็คสภาพท่อร้อยสายไฟ ของ RV Forming Rolls Brush (M213)</t>
  </si>
  <si>
    <t>ตรวจเช็คสภาพท่อร้อยสายไฟ ของ RV Scrap Shear Feeding Rolls (M217)</t>
  </si>
  <si>
    <t>ตรวจเช็คสภาพท่อร้อยสายไฟ ของ RV Scrap Shear (M218)</t>
  </si>
  <si>
    <t>ตรวจเช็คสภาพท่อร้อยสายไฟ ของ RV Scrap Pneunatic Conveyor (M219)</t>
  </si>
  <si>
    <t>ตรวจเช็คสภาพท่อร้อยสายไฟ ของ RV/TP2 Pneumatic Conveyor (M221)</t>
  </si>
  <si>
    <t>ตรวจเช็คสภาพท่อร้อยสายไฟ ของ Longitudinal Cutting (M230)</t>
  </si>
  <si>
    <t>ตรวจเช็คสภาพท่อร้อยสายไฟ ของ Forming Rolls (M234)</t>
  </si>
  <si>
    <t>ตรวจเช็คสภาพท่อร้อยสายไฟ ของ  Forming Rolls Brush (M235)</t>
  </si>
  <si>
    <t>ตรวจเช็คสภาพท่อร้อยสายไฟ ของ Beating Roll (M236)</t>
  </si>
  <si>
    <t>ตรวจเช็คสภาพท่อร้อยสายไฟ ของ Slitter (M239)</t>
  </si>
  <si>
    <t>ตรวจเช็คสภาพท่อร้อยสายไฟ ของ Scrap Shear (M241)</t>
  </si>
  <si>
    <t>ตรวจเช็คสภาพท่อร้อยสายไฟ ของ Scrap Pneumatic Conveyor (M243)</t>
  </si>
  <si>
    <t>ตรวจเช็คสภาพท่อร้อยสายไฟ ของ RV2-TP2 Pneumatic Conveyor (M246)</t>
  </si>
  <si>
    <t>ตรวจเช็คสภาพท่อร้อยสายไฟ ของ BSC Charging Ventilation (M198)</t>
  </si>
  <si>
    <t>ตรวจเช็คสภาพท่อร้อยสายไฟ ของ BSC Charging Belt (M199)</t>
  </si>
  <si>
    <t>ตรวจเช็คสภาพท่อร้อยสายไฟ ของ BSC Movement (M201)</t>
  </si>
  <si>
    <t>ตรวจเช็คสภาพท่อร้อยสายไฟ ของ BSC Humidity Extraction  (M206)</t>
  </si>
  <si>
    <t>PE3-QC-EE</t>
  </si>
  <si>
    <t>ทำความสะอาดครีบ พัดลม และฝาครอบมอเตอร์ ของ BSC Charging Ventilation (M198)</t>
  </si>
  <si>
    <t>ทำความสะอาดครีบ พัดลม และฝาครอบมอเตอร์ ของ BSC Charging Belt (M199)</t>
  </si>
  <si>
    <t>ทำความสะอาดครีบ พัดลม และฝาครอบมอเตอร์ ของ BSC Movement (M201)</t>
  </si>
  <si>
    <t>PE3-NI-EE3</t>
  </si>
  <si>
    <t>ตรวจเช็คสภาพ Terminal box ของ RV Laminating Rolls Group #1 (M210)</t>
  </si>
  <si>
    <t>ตรวจเช็คสภาพ Terminal box ของ RV Laminating Rolls Group #2 (M211)</t>
  </si>
  <si>
    <t>ตรวจเช็คสภาพ Terminal box ของ RV Forming Rolls Group (M212)</t>
  </si>
  <si>
    <t>ตรวจเช็คสภาพ Terminal box ของ RV Forming Rolls Brush (M213)</t>
  </si>
  <si>
    <t>ตรวจเช็คสภาพ Terminal box ของ RV Scrap Shear Feeding Rolls (M217)</t>
  </si>
  <si>
    <t>ตรวจเช็คสภาพ Terminal box ของ RV Scrap Shear (M218)</t>
  </si>
  <si>
    <t>ตรวจเช็คสภาพ Terminal box ของ RV Scrap Pneunatic Conveyor (M219)</t>
  </si>
  <si>
    <t>ตรวจเช็คสภาพ Terminal box ของ RV/TP2 Pneumatic Conveyor (M221)</t>
  </si>
  <si>
    <t>ตรวจเช็คสภาพ Terminal box ของ Longitudinal Cutting (M230)</t>
  </si>
  <si>
    <t>ตรวจเช็คสภาพ Terminal box ของ Forming Rolls (M234)</t>
  </si>
  <si>
    <t>ตรวจเช็คสภาพ Terminal box ของ  Forming Rolls Brush (M235)</t>
  </si>
  <si>
    <t>ตรวจเช็คสภาพ Terminal box ของ Beating Roll (M236)</t>
  </si>
  <si>
    <t>ตรวจเช็คสภาพ Terminal box ของ Slitter (M239)</t>
  </si>
  <si>
    <t>ตรวจเช็คสภาพ Terminal box ของ Scrap Shear (M241)</t>
  </si>
  <si>
    <t>ตรวจเช็คสภาพ Terminal box ของ Scrap Pneumatic Conveyor (M243)</t>
  </si>
  <si>
    <t>ตรวจเช็คสภาพ Terminal box ของ RV2-TP2 Pneumatic Conveyor (M246)</t>
  </si>
  <si>
    <t>ตรวจเช็คสภาพ Terminal box ของ BSC Charging Ventilation (M198)</t>
  </si>
  <si>
    <t>ตรวจเช็คสภาพ Terminal box ของ BSC Charging Belt (M199)</t>
  </si>
  <si>
    <t>ตรวจเช็คสภาพ Terminal box ของ BSC Movement (M201)</t>
  </si>
  <si>
    <t>ตรวจเช็คสภาพ Terminal box ของ BSC Humidity Extraction  (M206)</t>
  </si>
  <si>
    <t>PE3-HI-EE2</t>
  </si>
  <si>
    <t>ตรวจเช็คพร้อมทำความสะอาดตู้ไฟฟ้า ( X 104 )</t>
  </si>
  <si>
    <t>PE4</t>
  </si>
  <si>
    <t>Cutter Unit #1(RV1)</t>
  </si>
  <si>
    <t>PE4-NI-EE</t>
  </si>
  <si>
    <t>RV Laminating Rolls Group #1 (M210)</t>
  </si>
  <si>
    <t>RV Laminating Rolls Group #2 (M211)</t>
  </si>
  <si>
    <t>RV1 Scrap Shearer</t>
  </si>
  <si>
    <t>RV Scrap Pneunatic Conveyor (M219)</t>
  </si>
  <si>
    <t>ตรวจเช็คกระแสไฟฟ้าทั้ง 3 เฟส ของ RV Scrap Pneunatic Conveyor (M219)</t>
  </si>
  <si>
    <t>RV2 Scrap Shearer</t>
  </si>
  <si>
    <t>RV2-TP2 Pneumatic Conveyor (M246)</t>
  </si>
  <si>
    <t>RV1 Scrap Pneumatic Conveyor</t>
  </si>
  <si>
    <t>PE4-NI-EE2</t>
  </si>
  <si>
    <t>RV2 Scrap Pneumatic Conveyor</t>
  </si>
  <si>
    <t>RV1/TP2 Pneumatic Conveyor</t>
  </si>
  <si>
    <t>RV Forming Rolls Group (M212)</t>
  </si>
  <si>
    <t>RV Forming Rolls Brush (M213)</t>
  </si>
  <si>
    <t>RV Scrap Shear Feeding Rolls (M217)</t>
  </si>
  <si>
    <t>RV Scrap Shear (M218)</t>
  </si>
  <si>
    <t>RV/TP2 Pneumatic Conveyor (M221)</t>
  </si>
  <si>
    <t>Longitudinal Cutting (M230)</t>
  </si>
  <si>
    <t>Forming Rolls (M234)</t>
  </si>
  <si>
    <t>Forming Rolls Brush (M235)</t>
  </si>
  <si>
    <t>Beating Roll (M236)</t>
  </si>
  <si>
    <t>Slitter (M239)</t>
  </si>
  <si>
    <t>Scrap Shear (M241)</t>
  </si>
  <si>
    <t>Scrap Pneumatic Conveyor (M243)</t>
  </si>
  <si>
    <t>PE4-QC-EE</t>
  </si>
  <si>
    <t>ทำความสะอาดครีบ พัดลม และฝาครอบมอเตอร์ ของ RV Laminating Rolls Group #1 (M210)</t>
  </si>
  <si>
    <t>Cutter Unit #1(RV2)</t>
  </si>
  <si>
    <t>ทำความสะอาดครีบ พัดลม และฝาครอบมอเตอร์ ของ RV Laminating Rolls Group #2 (M211)</t>
  </si>
  <si>
    <t>ทำความสะอาดครีบ พัดลม และฝาครอบมอเตอร์ ของ RV Forming Rolls Group (M212)</t>
  </si>
  <si>
    <t>ทำความสะอาดครีบ พัดลม และฝาครอบมอเตอร์ ของ RV Forming Rolls Brush (M213)</t>
  </si>
  <si>
    <t>ทำความสะอาดครีบ พัดลม และฝาครอบมอเตอร์ ของ RV Scrap Shear Feeding Rolls (M217)</t>
  </si>
  <si>
    <t>ทำความสะอาดครีบ พัดลม และฝาครอบมอเตอร์ ของ RV Scrap Shear (M218)</t>
  </si>
  <si>
    <t>ทำความสะอาดครีบ พัดลม และฝาครอบมอเตอร์ ของ RV Scrap Pneunatic Conveyor (M219)</t>
  </si>
  <si>
    <t>ทำความสะอาดครีบ พัดลม และฝาครอบมอเตอร์ ของ RV/TP2 Pneumatic Conveyor (M221)</t>
  </si>
  <si>
    <t>ทำความสะอาดครีบ พัดลม และฝาครอบมอเตอร์ ของ Longitudinal Cutting (M230)</t>
  </si>
  <si>
    <t>ทำความสะอาดครีบ พัดลม และฝาครอบมอเตอร์ ของ Forming Rolls (M234)</t>
  </si>
  <si>
    <t>ทำความสะอาดครีบ พัดลม และฝาครอบมอเตอร์ ของ  Forming Rolls Brush (M235)</t>
  </si>
  <si>
    <t>ทำความสะอาดครีบ พัดลม และฝาครอบมอเตอร์ ของ Beating Roll (M236)</t>
  </si>
  <si>
    <t>ทำความสะอาดครีบ พัดลม และฝาครอบมอเตอร์ ของ Slitter (M239)</t>
  </si>
  <si>
    <t>ทำความสะอาดครีบ พัดลม และฝาครอบมอเตอร์ ของ Scrap Shear (M241)</t>
  </si>
  <si>
    <t>ทำความสะอาดครีบ พัดลม และฝาครอบมอเตอร์ ของ Scrap Pneumatic Conveyor (M243)</t>
  </si>
  <si>
    <t>ทำความสะอาดครีบ พัดลม และฝาครอบมอเตอร์ ของ RV2-TP2 Pneumatic Conveyor (M246)</t>
  </si>
  <si>
    <t>PE5</t>
  </si>
  <si>
    <t>Shaking Dryer #1(TP2)</t>
  </si>
  <si>
    <t>PE5-NC-EE</t>
  </si>
  <si>
    <t>Pre-Dryer(MCPD)</t>
  </si>
  <si>
    <t>ทำความสะอาดครีบ พัดลม และฝาครอบมอเตอร์ ของ MCPD Humidity Extraction (M313)</t>
  </si>
  <si>
    <t>Shaking Dryer #2(TP1)</t>
  </si>
  <si>
    <t>PE5-NI-EE</t>
  </si>
  <si>
    <t>Final Dryer(MCFD)</t>
  </si>
  <si>
    <t>ตรวจเช็คสภาพท่อร้อยสายไฟ ของ MCFD Product Spreader (M319)</t>
  </si>
  <si>
    <t>ตรวจเช็คสภาพท่อร้อยสายไฟ ของ MCFD Loading Vibrating Tier (M320A,B)</t>
  </si>
  <si>
    <t>MCPD Product Spreader</t>
  </si>
  <si>
    <t>ตรวจเช็คสภาพท่อร้อยสายไฟ ของ MCFD 1st Movement (M330)</t>
  </si>
  <si>
    <t>ตรวจเช็คสภาพท่อร้อยสายไฟ ของ MCFD 2nd Movement (M331)</t>
  </si>
  <si>
    <t>ตรวจเช็คสภาพท่อร้อยสายไฟ ของ MCFD 3rd Movement (M332)</t>
  </si>
  <si>
    <t>ตรวจเช็คสภาพท่อร้อยสายไฟ ของ MCFD 1st Humidity Extraction (M349)</t>
  </si>
  <si>
    <t>MCFD Product Spreader</t>
  </si>
  <si>
    <t>ตรวจเช็คสภาพท่อร้อยสายไฟ ของ MCFD 2nd Humidity Extraction (M351)</t>
  </si>
  <si>
    <t>ตรวจเช็คสภาพท่อร้อยสายไฟ ของ MCFD 1st Zone Air Inlet (M353A,B)</t>
  </si>
  <si>
    <t>ตรวจเช็คสภาพท่อร้อยสายไฟ ของ MCFD 2nd Zone Air Inlet (M354)</t>
  </si>
  <si>
    <t>ตรวจเช็คสภาพท่อร้อยสายไฟ ของ TP2 Movement (M260)</t>
  </si>
  <si>
    <t>ตรวจเช็คสภาพท่อร้อยสายไฟ ของ TP2 Humidity Extraction (M266)</t>
  </si>
  <si>
    <t>ตรวจเช็คสภาพท่อร้อยสายไฟ ของ TP2-TP 1st Pneumatic Conveyor (M277)</t>
  </si>
  <si>
    <t>ตรวจเช็คสภาพท่อร้อยสายไฟ ของ TP2-TP 2nd Pneumatic Conveyor (M278)</t>
  </si>
  <si>
    <t>ตรวจเช็คสภาพท่อร้อยสายไฟ ของ TP Movement (M270)</t>
  </si>
  <si>
    <t>ตรวจเช็คสภาพท่อร้อยสายไฟ ของ TP Humidity Extraction (M276)</t>
  </si>
  <si>
    <t>ตรวจเช็คสภาพท่อร้อยสายไฟ ของ TP-MCPD Pneumatic Conveyor (M280)</t>
  </si>
  <si>
    <t>ตรวจเช็คสภาพท่อร้อยสายไฟ ของ MCPD Product Spreader (M289)</t>
  </si>
  <si>
    <t>ตรวจเช็คสภาพท่อร้อยสายไฟ ของ MCPD Loading Vibrating Tier (M290A,B)</t>
  </si>
  <si>
    <t>ตรวจเช็คสภาพท่อร้อยสายไฟ ของ MCPD 1st Movement (M300)</t>
  </si>
  <si>
    <t>ตรวจเช็คสภาพท่อร้อยสายไฟ ของ MCPD 2nd Movement (M301)</t>
  </si>
  <si>
    <t>ตรวจเช็คสภาพท่อร้อยสายไฟ ของ MCPD 3rd Movement (M302)</t>
  </si>
  <si>
    <t>ตรวจเช็คสภาพท่อร้อยสายไฟ ของ MCPD Humidity Extraction (M313)</t>
  </si>
  <si>
    <t>ตรวจเช็คสภาพท่อร้อยสายไฟ ของ MCPD-MCFD Pneumatic Conveyor (M317)</t>
  </si>
  <si>
    <t>PE5-QC-EE</t>
  </si>
  <si>
    <t>ทำความสะอาดครีบ พัดลม และฝาครอบมอเตอร์ ของ TP2 Movement (M260)</t>
  </si>
  <si>
    <t>ทำความสะอาดครีบ พัดลม และฝาครอบมอเตอร์ ของ TP2 Humidity Extraction (M266)</t>
  </si>
  <si>
    <t>ทำความสะอาดครีบ พัดลม และฝาครอบมอเตอร์ ของ TP2-TP 1st Pneumatic Conveyor (M277)</t>
  </si>
  <si>
    <t>ทำความสะอาดครีบ พัดลม และฝาครอบมอเตอร์ ของ TP2-TP 2nd Pneumatic Conveyor (M278)</t>
  </si>
  <si>
    <t>ทำความสะอาดครีบ พัดลม และฝาครอบมอเตอร์ ของ TP Movement (M270)</t>
  </si>
  <si>
    <t>ทำความสะอาดครีบ พัดลม และฝาครอบมอเตอร์ ของ TP Humidity Extraction (M276)</t>
  </si>
  <si>
    <t>ทำความสะอาดครีบ พัดลม และฝาครอบมอเตอร์ ของ TP-MCPD Pneumatic Conveyor (M280)</t>
  </si>
  <si>
    <t>ทำความสะอาดครีบ พัดลม และฝาครอบมอเตอร์ ของ MCPD Product Spreader (M289)</t>
  </si>
  <si>
    <t>ทำความสะอาดครีบ พัดลม และฝาครอบมอเตอร์ ของ MCPD Loading Vibrating Tier (M290A,B)</t>
  </si>
  <si>
    <t>ทำความสะอาดครีบ พัดลม และฝาครอบมอเตอร์ ของ MCPD 1st Movement (M300)</t>
  </si>
  <si>
    <t>ทำความสะอาดครีบ พัดลม และฝาครอบมอเตอร์ ของ MCPD 2nd Movement (M301)</t>
  </si>
  <si>
    <t>ทำความสะอาดครีบ พัดลม และฝาครอบมอเตอร์ ของ MCPD 3rd Movement (M302)</t>
  </si>
  <si>
    <t>ทำความสะอาดครีบ พัดลม และฝาครอบมอเตอร์ ของ MCPD-MCFD Pneumatic Conveyor (M317)</t>
  </si>
  <si>
    <t>ทำความสะอาดครีบ พัดลม และฝาครอบมอเตอร์ ของ MCFD Product Spreader (M319)</t>
  </si>
  <si>
    <t>ทำความสะอาดครีบ พัดลม และฝาครอบมอเตอร์ ของ MCFD Loading Vibrating Tier (M320A,B)</t>
  </si>
  <si>
    <t>ทำความสะอาดครีบ พัดลม และฝาครอบมอเตอร์ ของ MCFD 1st Movement (M330)</t>
  </si>
  <si>
    <t>ทำความสะอาดครีบ พัดลม และฝาครอบมอเตอร์ ของ MCFD 2nd Movement (M331)</t>
  </si>
  <si>
    <t>ทำความสะอาดครีบ พัดลม และฝาครอบมอเตอร์ ของ MCFD 3rd Movement (M332)</t>
  </si>
  <si>
    <t>ทำความสะอาดครีบ พัดลม และฝาครอบมอเตอร์ ของ MCFD 1st Humidity Extraction (M349)</t>
  </si>
  <si>
    <t>ทำความสะอาดครีบ พัดลม และฝาครอบมอเตอร์ ของ MCFD 2nd Humidity Extraction (M351)</t>
  </si>
  <si>
    <t>ทำความสะอาดครีบ พัดลม และฝาครอบมอเตอร์ ของ MCFD 1st Zone Air Inlet (M353A,B)</t>
  </si>
  <si>
    <t>ทำความสะอาดครีบ พัดลม และฝาครอบมอเตอร์ ของ MCFD 2nd Zone Air Inlet (M354)</t>
  </si>
  <si>
    <t>PE5-QI-EE</t>
  </si>
  <si>
    <t>ขัน Terminal ของ MCB289 ทุกตัว</t>
  </si>
  <si>
    <t>PE5-NI-EE2</t>
  </si>
  <si>
    <t>ตรวจเช็คสภาพ Terminal box ของ TP2 Movement (M260)</t>
  </si>
  <si>
    <t>ตรวจเช็คสภาพ Terminal box ของ TP2 Humidity Extraction (M266)</t>
  </si>
  <si>
    <t>ตรวจเช็คสภาพ Terminal box ของ TP Movement (M270)</t>
  </si>
  <si>
    <t>ตรวจเช็คสภาพ Terminal box ของ TP Humidity Extraction (M276)</t>
  </si>
  <si>
    <t>ตรวจเช็คสภาพ Terminal box ของ TP2-TP 1st Pneumatic Conveyor (M277)</t>
  </si>
  <si>
    <t>ตรวจเช็คสภาพ Terminal box ของ TP2-TP 2nd Pneumatic Conveyor (M278)</t>
  </si>
  <si>
    <t>ตรวจเช็คสภาพ Terminal box ของ TP-MCPD Pneumatic Conveyor (M280)</t>
  </si>
  <si>
    <t>ตรวจเช็คสภาพ Terminal box ของ MCPD Product Spreader (M289)</t>
  </si>
  <si>
    <t>ตรวจเช็คสภาพ Terminal box ของ MCPD Loading Vibrating Tier (M290A,B)</t>
  </si>
  <si>
    <t>ตรวจเช็คสภาพ Terminal box ของ MCPD 1st Movement (M300)</t>
  </si>
  <si>
    <t>ตรวจเช็คสภาพ Terminal box ของ MCPD 2nd Movement (M301)</t>
  </si>
  <si>
    <t>ตรวจเช็คสภาพ Terminal box ของ MCPD 3rd Movement (M302)</t>
  </si>
  <si>
    <t>ตรวจเช็คสภาพ Terminal box ของ MCPD Humidity Extraction (M313)</t>
  </si>
  <si>
    <t>ตรวจเช็คสภาพ Terminal box ของ MCPD-MCFD Pneumatic Conveyor (M317)</t>
  </si>
  <si>
    <t>ตรวจเช็คสภาพ Terminal box ของ MCFD Product Spreader (M319)</t>
  </si>
  <si>
    <t>ตรวจเช็คสภาพ Terminal box ของ MCFD Loading Vibrating Tier (M320A,B)</t>
  </si>
  <si>
    <t>ตรวจเช็คสภาพ Terminal box ของ MCFD 1st Movement (M330)</t>
  </si>
  <si>
    <t>ตรวจเช็คสภาพ Terminal box ของ MCFD 2nd Movement (M331)</t>
  </si>
  <si>
    <t>ตรวจเช็คสภาพ Terminal box ของ MCFD 3rd Movement (M332)</t>
  </si>
  <si>
    <t>ตรวจเช็คสภาพ Terminal box ของ MCFD 1st Humidity Extraction (M349)</t>
  </si>
  <si>
    <t>ตรวจเช็คสภาพ Terminal box ของ MCFD 2nd Humidity Extraction (M351)</t>
  </si>
  <si>
    <t>ตรวจเช็คสภาพ Terminal box ของ MCFD 1st Zone Air Inlet (M353A,B)</t>
  </si>
  <si>
    <t>ตรวจเช็คสภาพ Terminal box ของ MCFD 2nd Zone Air Inlet (M354)</t>
  </si>
  <si>
    <t>PE5-HI-EE2</t>
  </si>
  <si>
    <t>ตรวจเช็คพร้อมทำความสะอาดตู้ไฟฟ้า ( X. 2.1 )</t>
  </si>
  <si>
    <t>ตรวจเช็คพร้อมทำความสะอาดตู้ไฟฟ้า ( X. 2.2)</t>
  </si>
  <si>
    <t>PE6</t>
  </si>
  <si>
    <t>Cooling Conveyor</t>
  </si>
  <si>
    <t>PE6-NI-EE</t>
  </si>
  <si>
    <t>Vibrating Sieve</t>
  </si>
  <si>
    <t>ตรวจเช็คสภาพท่อร้อยสายไฟ ของ Discharge Vibrator (M363)</t>
  </si>
  <si>
    <t>Sieve Discharge Vibrator</t>
  </si>
  <si>
    <t>Elevating Belt</t>
  </si>
  <si>
    <t>ตรวจเช็คสภาพท่อร้อยสายไฟ ของ Elevator Belt (M366)</t>
  </si>
  <si>
    <t>Weight Charging Belt</t>
  </si>
  <si>
    <t>ตรวจเช็คสภาพท่อร้อยสายไฟ ของ Semi-Auto Weigher/Weighers Charging Belt (M367)</t>
  </si>
  <si>
    <t>ตรวจเช็คสภาพท่อร้อยสายไฟ ของ CC Movement (M360)</t>
  </si>
  <si>
    <t>ตรวจเช็คสภาพ Terminal box ของ CC Movement (M360)</t>
  </si>
  <si>
    <t>ตรวจเช็คสภาพ Terminal box ของ Discharge Vibrator (M363)</t>
  </si>
  <si>
    <t>ตรวจเช็คสภาพ Terminal box ของ Elevator Belt (M366)</t>
  </si>
  <si>
    <t>ตรวจเช็คสภาพ Terminal box ของ Semi-Auto Weigher/Weighers Charging Belt (M367)</t>
  </si>
  <si>
    <t>PE6-QC-EE</t>
  </si>
  <si>
    <t>ทำความสะอาดครีบ พัดลม และฝาครอบมอเตอร์ ของ CC Movement (M360)</t>
  </si>
  <si>
    <t>ทำความสะอาดครีบ พัดลม และฝาครอบมอเตอร์ ของ Discharge Vibrator (M363)</t>
  </si>
  <si>
    <t>ทำความสะอาดครีบ พัดลม และฝาครอบมอเตอร์ ของ Elevator Belt (M366)</t>
  </si>
  <si>
    <t>ทำความสะอาดมอเตอร์ ของ Semi-Auto Weigher/Weighers Charging Belt (M367)</t>
  </si>
  <si>
    <t>PE6-HI-EE2</t>
  </si>
  <si>
    <t>ตรวจเช็คพร้อมทำความสะอาดตู้ไฟฟ้า (X.2  )</t>
  </si>
  <si>
    <t>PE7</t>
  </si>
  <si>
    <t>PE7-FC-EE</t>
  </si>
  <si>
    <t>Steam Boiler</t>
  </si>
  <si>
    <t>ใช้ผ้าเช็ดทำความสะอาดผิวเครื่องด้านนอก (Steam Boiler)</t>
  </si>
  <si>
    <t>LPG Burner #1</t>
  </si>
  <si>
    <t>ทำความสะอาดฝุ่นที่หลังคา Steam Boiler</t>
  </si>
  <si>
    <t>Hot Water Boiler</t>
  </si>
  <si>
    <t>ทำความสะอาดคราบฝุ่นที่ผิวของ Regulating Cam (หวีปรับ)</t>
  </si>
  <si>
    <t>LPG Burner #2</t>
  </si>
  <si>
    <t>ทำความสะอาดฝุ่นที่หลังคา Hot Water Boiler</t>
  </si>
  <si>
    <t>PE7-MC-EE</t>
  </si>
  <si>
    <t>ถอดทำความสะอาดหัว Mixing Head (Steam Boiler)</t>
  </si>
  <si>
    <t>ถอดทำความสะอาดใบพัดลม Combustion Fan (Steam Boiler)</t>
  </si>
  <si>
    <t>ถอดทำความสะอาด Inlet gas filter ที่ Inlet solenoid gas valve</t>
  </si>
  <si>
    <t>ถอดทำความสะอาดหัว Mixing Head (Hot Water Boiler)</t>
  </si>
  <si>
    <t>ถอดทำความสะอาดใบพัดลม Combustion Fan (Hot Water Boiler)</t>
  </si>
  <si>
    <t>ถอดทำความสะอาด Inlet gas filter ที่ Housing</t>
  </si>
  <si>
    <t>Water Feed Tank Unit</t>
  </si>
  <si>
    <t>PE7-MI-EE</t>
  </si>
  <si>
    <t>ตรวจเช็คสภาพของสายจุด Ignition และ Flame Sensor (Steam Boiler)</t>
  </si>
  <si>
    <t>RO Unit 2 m3/Hr</t>
  </si>
  <si>
    <t>ตรวจเช็คค่า Combustion ของ Burner (Steam Boiler)</t>
  </si>
  <si>
    <t>ตรวจเช็คสภาพของสายจุด Ignition และ Flame Sensor (Hot Water Boiler)</t>
  </si>
  <si>
    <t>ตรวจเช็คค่า Combustion ของ Burner (Hot Water Boiler)</t>
  </si>
  <si>
    <t>PE7-HR-EE</t>
  </si>
  <si>
    <t>เปลี่ยน Flame Sensor Steam Boiler</t>
  </si>
  <si>
    <t>เปลี่ยน Flame Sensor Hotwater Boiler</t>
  </si>
  <si>
    <t>High Pressure Cleaner stationary</t>
  </si>
  <si>
    <t>PE7-YCB-EE</t>
  </si>
  <si>
    <t>Calibrate pressure gauge LPG burner-boiler</t>
  </si>
  <si>
    <t>PE7-YI-EE</t>
  </si>
  <si>
    <t>ตรวจทดสอบความปลอดภัยหม้อต้มไอน้ำประจำปีโดยวิศวกร</t>
  </si>
  <si>
    <t>PE7-WI-EE</t>
  </si>
  <si>
    <t>ตรวจเช็คกระแสไฟฟ้าของ Heater ในขณะที่เครื่องทำงาน</t>
  </si>
  <si>
    <t>300H</t>
  </si>
  <si>
    <t>RB0</t>
  </si>
  <si>
    <t>Bag Dump</t>
  </si>
  <si>
    <t>RB0-FI-EE</t>
  </si>
  <si>
    <t>ตรวจเช็คกระแสไฟฟ้าทั้ง 3 เฟส  Bag Dump Fan Motor (M0801)</t>
  </si>
  <si>
    <t>Sifter</t>
  </si>
  <si>
    <t>ตรวจเช็คกระแสไฟฟ้าทั้ง 3 เฟส Bag Dump Air lock Motor (M0802)</t>
  </si>
  <si>
    <t>Vacuum Pump No.1</t>
  </si>
  <si>
    <t>ตรวจเช็คกระแสไฟฟ้าทั้ง 3 เฟส  Motor ของ Sifter (M1004)</t>
  </si>
  <si>
    <t>Batch Weight Hopper</t>
  </si>
  <si>
    <t>ตรวจเช็คกระแสไฟฟ้าทั้ง 3 เฟส  Motor ของ Vacuum Pump (M1003)</t>
  </si>
  <si>
    <t>Dry Blender</t>
  </si>
  <si>
    <t>ตรวจเช็คกระแสไฟฟ้าทั้ง 3 เฟส Motor Dry Blender(M1101)</t>
  </si>
  <si>
    <t>RB0-MI-EE</t>
  </si>
  <si>
    <t>ตรวจเช็คสภาพท่อร้อยสายไฟ ของ Bag Dump (M0801)</t>
  </si>
  <si>
    <t>Buffer Hopper</t>
  </si>
  <si>
    <t>ตรวจเช็คสภาพท่อร้อยสายไฟ ของ Bag Dump (M0802)</t>
  </si>
  <si>
    <t>ตรวจเช็คสภาพท่อร้อยสายไฟ ของ Sifter(M1004)</t>
  </si>
  <si>
    <t>ตรวจเช็คสภาพท่อร้อยสายไฟ ของ Vacuum Pump No.1 (M1003)</t>
  </si>
  <si>
    <t>ตรวจเช็คสภาพท่อร้อยสายไฟ ของ Dry Blender(M1101)</t>
  </si>
  <si>
    <t>RB0-NC-EE</t>
  </si>
  <si>
    <t>ทำความสะอาดครีบ พัดลม และฝาครอบมอเตอร์ ของ Bag Dump (M0801)</t>
  </si>
  <si>
    <t>ทำความสะอาดครีบ พัดลม และฝาครอบมอเตอร์ ของ Bag Dump (M0802)</t>
  </si>
  <si>
    <t>ทำความสะอาดครีบ พัดลม และฝาครอบมอเตอร์ ของ Sifter(M1004)</t>
  </si>
  <si>
    <t>ทำความสะอาดครีบ พัดลม และฝาครอบมอเตอร์ ของ Vacuum Pump No.1 (M1003)</t>
  </si>
  <si>
    <t>ทำความสะอาดครีบ พัดลม และฝาครอบมอเตอร์ ของ Dry Blender(M1101)</t>
  </si>
  <si>
    <t>RB0-QI-EE</t>
  </si>
  <si>
    <t>ตรวจเช็คสภาพ Terminal box ของ Bag Dump (M0801)</t>
  </si>
  <si>
    <t>ตรวจเช็คสภาพ Terminal box ของ Bag Dump (M0802)</t>
  </si>
  <si>
    <t>ตรวจเช็คสภาพ Terminal box ของ Sifter (M1004)</t>
  </si>
  <si>
    <t>ตรวจเช็คสภาพ Terminal box ของ Vacuum Pump No.1 (M1003)</t>
  </si>
  <si>
    <t>ตรวจเช็คสภาพ Terminal box ของ Dry Blender(M1101)</t>
  </si>
  <si>
    <t>RB0-QI-EE2</t>
  </si>
  <si>
    <t>ตรวจเช็คค่าความต้านทานของสาย Earth bonding จำนวน 1 จุด</t>
  </si>
  <si>
    <t>RB0-HI-EE</t>
  </si>
  <si>
    <t>ตรวจสอบสภาพ Seal ของ Flour discharge butterfly valve</t>
  </si>
  <si>
    <t>RB0-HC-EE</t>
  </si>
  <si>
    <t>Main Control Panel</t>
  </si>
  <si>
    <t>RB0-YCB-EE</t>
  </si>
  <si>
    <t>Calibrate Load cell ของ Batch Weight Hopper</t>
  </si>
  <si>
    <t>RB1</t>
  </si>
  <si>
    <t>Water Feeder</t>
  </si>
  <si>
    <t>RB1-FI-EE</t>
  </si>
  <si>
    <t>ตรวจเช็คกระแสไฟฟ้าทั้ง 3 เฟส Water Feeder (M1401)</t>
  </si>
  <si>
    <t>Oil Feeder</t>
  </si>
  <si>
    <t>ตรวจเช็คกระแสไฟฟ้าทั้ง 3 เฟส Oil Feeder (M1421)</t>
  </si>
  <si>
    <t>ตรวจเช็คกระแสไฟฟ้าทั้ง 3 เฟส RO Unit</t>
  </si>
  <si>
    <t>Water Heat Exchanger Unit</t>
  </si>
  <si>
    <t>ตรวจเช็คกระแสไฟฟ้าทั้ง 3 เฟส Water Heat Exchanger Unit</t>
  </si>
  <si>
    <t>RB1-MI-EE</t>
  </si>
  <si>
    <t>ตรวจเช็คสภาพท่อร้อยสายไฟ ของ Water Feeder (M1401)</t>
  </si>
  <si>
    <t>ตรวจเช็คสภาพท่อร้อยสายไฟ ของ Oil Feeder (M1421)</t>
  </si>
  <si>
    <t>ตรวจเช็คสภาพท่อร้อยสายไฟ ของ Water Heat Exchanger Unit</t>
  </si>
  <si>
    <t>RB1-NC-EE</t>
  </si>
  <si>
    <t>ทำความสะอาดครีบ พัดลม และฝาครอบมอเตอร์ ของ Water Feeder (M1401)</t>
  </si>
  <si>
    <t>ทำความสะอาดครีบ พัดลม และฝาครอบมอเตอร์ ของ Oil Feeder (M1421)</t>
  </si>
  <si>
    <t>ทำความสะอาดครีบ พัดลม และฝาครอบมอเตอร์ ของ Water Heat Exchanger Unit</t>
  </si>
  <si>
    <t>RB1-QI-EE</t>
  </si>
  <si>
    <t>ตรวจเช็คสภาพ Terminal box ของ Water Feeder (M1401)</t>
  </si>
  <si>
    <t>ตรวจเช็คสภาพ Terminal box ของ Oil Feeder (M1421)</t>
  </si>
  <si>
    <t>ตรวจเช็คสภาพ Terminal box ของ Water Heat Exchanger Unit</t>
  </si>
  <si>
    <t>RB1-YCB-EE</t>
  </si>
  <si>
    <t>Weight Hopper</t>
  </si>
  <si>
    <t>Calibrate Load cell ของ Weight Hopper</t>
  </si>
  <si>
    <t>Calibrate Load cell ของ Dry Blender</t>
  </si>
  <si>
    <t>RB2</t>
  </si>
  <si>
    <t>Metal Detector Conveyor</t>
  </si>
  <si>
    <t>RB2-FI-EE</t>
  </si>
  <si>
    <t>ตรวจเช็คกระแสไฟฟ้าทั้ง 3 เฟส Metal Detector Conveyor (M1701)</t>
  </si>
  <si>
    <t>Oscillating Conveyor</t>
  </si>
  <si>
    <t>ตรวจเช็คกระแสไฟฟ้าทั้ง 3 เฟส Oscillating Conveyor (M2002)</t>
  </si>
  <si>
    <t>RB2-MI-EE</t>
  </si>
  <si>
    <t>ตรวจเช็คสภาพท่อร้อยสายไฟ ของ Metal Detector Conveyor (M1701)</t>
  </si>
  <si>
    <t>ตรวจเช็คสภาพท่อร้อยสายไฟ ของ Oscillating Conveyor (M2002)</t>
  </si>
  <si>
    <t>RB2-NC-EE</t>
  </si>
  <si>
    <t>ทำความสะอาดครีบ พัดลม และฝาครอบมอเตอร์ ของ Metal Detector Conveyor (M1701)</t>
  </si>
  <si>
    <t>ทำความสะอาดครีบ พัดลม และฝาครอบมอเตอร์ ของ Oscillating Conveyor (M2002)</t>
  </si>
  <si>
    <t>RB2-QI-EE</t>
  </si>
  <si>
    <t>ตรวจเช็คสภาพ Terminal box ของ Metal Detector Conveyor (M1701)</t>
  </si>
  <si>
    <t>ตรวจเช็คสภาพ Terminal box ของ Oscillating Conveyor (M2002)</t>
  </si>
  <si>
    <t>RB3</t>
  </si>
  <si>
    <t>3RG Sheeter</t>
  </si>
  <si>
    <t>RB3-FI-EE</t>
  </si>
  <si>
    <t>ตรวจเช็คกระแสไฟฟ้าทั้ง 3 เฟส 3RG Sheeter (M2101)</t>
  </si>
  <si>
    <t>3RG Conveyor</t>
  </si>
  <si>
    <t>ตรวจเช็คกระแสไฟฟ้าทั้ง 3 เฟส 3RG Conveyor (M2104)</t>
  </si>
  <si>
    <t>PGR Sheeter</t>
  </si>
  <si>
    <t>ตรวจเช็คกระแสไฟฟ้าทั้ง 3 เฟส PGR Sheeter (M2301)</t>
  </si>
  <si>
    <t>PGR Conveyor</t>
  </si>
  <si>
    <t>ตรวจเช็คกระแสไฟฟ้าทั้ง 3 เฟส PGR Conveyor (M2302)</t>
  </si>
  <si>
    <t>FGR Sheeter</t>
  </si>
  <si>
    <t>ตรวจเช็คกระแสไฟฟ้าทั้ง 3 เฟส FGR Sheeter (M2401)</t>
  </si>
  <si>
    <t>FGR Conveyor</t>
  </si>
  <si>
    <t>ตรวจเช็คกระแสไฟฟ้าทั้ง 3 เฟส FGR Conveyor (M2402)</t>
  </si>
  <si>
    <t>RGR Sheeter</t>
  </si>
  <si>
    <t>ตรวจเช็คกระแสไฟฟ้าทั้ง 3 เฟส RGR Sheeter (M2403)</t>
  </si>
  <si>
    <t>RGR Conveyor</t>
  </si>
  <si>
    <t>ตรวจเช็คกระแสไฟฟ้าทั้ง 3 เฟส RGR Conveyor (M2603)</t>
  </si>
  <si>
    <t>Cutting Conveyor</t>
  </si>
  <si>
    <t>ตรวจเช็คกระแสไฟฟ้าทั้ง 3 เฟส Cutting Conveyor (M2801)</t>
  </si>
  <si>
    <t>Die Roller</t>
  </si>
  <si>
    <t>ตรวจเช็คกระแสไฟฟ้าทั้ง 3 เฟส Die Roller (M2802)</t>
  </si>
  <si>
    <t>Separation Conveyor</t>
  </si>
  <si>
    <t>ตรวจเช็คกระแสไฟฟ้าทั้ง 3 เฟส Separation Conveyor (M2804)</t>
  </si>
  <si>
    <t>RB3-MC-EE</t>
  </si>
  <si>
    <t>RB3-MI-EE</t>
  </si>
  <si>
    <t>ตรวจเช็คสภาพท่อร้อยสายไฟ ของ 3RG Sheeter (M2101)</t>
  </si>
  <si>
    <t>ตรวจเช็คสภาพท่อร้อยสายไฟ ของ 3RG Conveyor (M2104)</t>
  </si>
  <si>
    <t>ตรวจเช็คสภาพท่อร้อยสายไฟ ของ PGR Sheeter (M2301)</t>
  </si>
  <si>
    <t>ตรวจเช็คสภาพท่อร้อยสายไฟ ของ PGR Conveyor (M2302)</t>
  </si>
  <si>
    <t>ตรวจเช็คสภาพท่อร้อยสายไฟ ของ FGR Sheeter (M2401)</t>
  </si>
  <si>
    <t>ตรวจเช็คสภาพท่อร้อยสายไฟ ของ FGR Conveyor (M2402)</t>
  </si>
  <si>
    <t>ตรวจเช็คสภาพท่อร้อยสายไฟ ของ RGR Sheeter (M2403)</t>
  </si>
  <si>
    <t>ตรวจเช็คสภาพท่อร้อยสายไฟ ของ RGR Conveyor (M2603)</t>
  </si>
  <si>
    <t>ตรวจเช็คสภาพท่อร้อยสายไฟ ของ Cutting Conveyor (M2801)</t>
  </si>
  <si>
    <t>ตรวจเช็คสภาพท่อร้อยสายไฟ ของ Die Roller (M2802)</t>
  </si>
  <si>
    <t>ตรวจเช็คสภาพท่อร้อยสายไฟ ของ Separation Conveyor (M2804)</t>
  </si>
  <si>
    <t>RB3-NC-EE</t>
  </si>
  <si>
    <t>ทำความสะอาดครีบ พัดลม และฝาครอบมอเตอร์ ของ 3RG Sheeter (M2101)</t>
  </si>
  <si>
    <t>ทำความสะอาดครีบ พัดลม และฝาครอบมอเตอร์ ของ 3RG Conveyor (M2104)</t>
  </si>
  <si>
    <t>ทำความสะอาดครีบ พัดลม และฝาครอบมอเตอร์ ของ PGR Sheeter (M2301)</t>
  </si>
  <si>
    <t>ทำความสะอาดครีบ พัดลม และฝาครอบมอเตอร์ ของ PGR Conveyor (M2302)</t>
  </si>
  <si>
    <t>ทำความสะอาดครีบ พัดลม และฝาครอบมอเตอร์ ของ FGR Sheeter (M2401)</t>
  </si>
  <si>
    <t>ทำความสะอาดครีบ พัดลม และฝาครอบมอเตอร์ ของ FGR Conveyor (M2402)</t>
  </si>
  <si>
    <t>ทำความสะอาดครีบ พัดลม และฝาครอบมอเตอร์ ของ RGR Sheeter (M2403)</t>
  </si>
  <si>
    <t>ทำความสะอาดครีบ พัดลม และฝาครอบมอเตอร์ ของ RGR Conveyor (M2603)</t>
  </si>
  <si>
    <t>ทำความสะอาดครีบ พัดลม และฝาครอบมอเตอร์ ของ Cutting Conveyor (M2801)</t>
  </si>
  <si>
    <t>ทำความสะอาดครีบ พัดลม และฝาครอบมอเตอร์ ของ Die Roller (M2802)</t>
  </si>
  <si>
    <t>ทำความสะอาดครีบ พัดลม และฝาครอบมอเตอร์ ของ Separation Conveyor (M2804)</t>
  </si>
  <si>
    <t>RB3-QI-EE</t>
  </si>
  <si>
    <t>ตรวจเช็คสภาพ Terminal box ของ 3RG Sheeter (M2101)</t>
  </si>
  <si>
    <t>ตรวจเช็คสภาพ Terminal box ของ 3RG Conveyor (M2104)</t>
  </si>
  <si>
    <t>ตรวจเช็คสภาพ Terminal box ของ PGR Sheeter (M2301)</t>
  </si>
  <si>
    <t>ตรวจเช็คสภาพ Terminal box ของ PGR Conveyor (M2302)</t>
  </si>
  <si>
    <t>ตรวจเช็คสภาพ Terminal box ของ FGR Sheeter (M2401)</t>
  </si>
  <si>
    <t>ตรวจเช็คสภาพ Terminal box ของ FGR Conveyor (M2402)</t>
  </si>
  <si>
    <t>ตรวจเช็คสภาพ Terminal box ของ RGR Sheeter (M2403)</t>
  </si>
  <si>
    <t>ตรวจเช็คสภาพ Terminal box ของ RGR Conveyor (M2603)</t>
  </si>
  <si>
    <t>ตรวจเช็คสภาพ Terminal box ของ Cutting Conveyor (M2801)</t>
  </si>
  <si>
    <t>ตรวจเช็คสภาพ Terminal box ของ Die Roller (M2802)</t>
  </si>
  <si>
    <t>ตรวจเช็คสภาพ Terminal box ของ Separation Conveyor (M2804)</t>
  </si>
  <si>
    <t>RB3-HC-EE</t>
  </si>
  <si>
    <t xml:space="preserve"> Control Panel</t>
  </si>
  <si>
    <t xml:space="preserve"> 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Air Control ทั้ง 2 ตัว</t>
  </si>
  <si>
    <t>RB3-YCB-EE</t>
  </si>
  <si>
    <t>3RS Sheeter</t>
  </si>
  <si>
    <t>Calibrate temperature probe ของน้ำเย็นที่เข้า ทั้ง 3  จุด ที่อุณหภูมิ  10  และ  20 C</t>
  </si>
  <si>
    <t>Calibrate temperature probe ของน้ำเย็นที่เข้า ทั้ง 2  จุด ที่อุณหภูมิ  10  และ  20 C</t>
  </si>
  <si>
    <t>Calibrate temperature probe ของน้ำเย็นที่เข้า ทั้ง 1  จุด ที่อุณหภูมิ  10  และ  20 C</t>
  </si>
  <si>
    <t>RB4</t>
  </si>
  <si>
    <t>RB4-FI-EE</t>
  </si>
  <si>
    <t>Oven Top Circulation Fan</t>
  </si>
  <si>
    <t>ตรวจเช็คกระแสไฟฟ้าทั้ง 3 เฟส Oven Top Circulation Fan</t>
  </si>
  <si>
    <t>Oven Bottom Circulation Fan</t>
  </si>
  <si>
    <t>ตรวจเช็คกระแสไฟฟ้าทั้ง 3 เฟส Oven Bottom Circulation Fan</t>
  </si>
  <si>
    <t>RB4-MI-EE</t>
  </si>
  <si>
    <t>RB4-MI-EE2</t>
  </si>
  <si>
    <t>ตรวจเช็คสภาพท่อร้อยสายไฟ ของ Oven Conveyor (M3701)</t>
  </si>
  <si>
    <t>ตรวจเช็คสภาพท่อร้อยสายไฟ ของ Oven Top Circulation Fan</t>
  </si>
  <si>
    <t>Curling Conveyor</t>
  </si>
  <si>
    <t>ตรวจเช็คสภาพท่อร้อยสายไฟ ของ Oven Bottom Circulation Fan</t>
  </si>
  <si>
    <t>ตรวจเช็คสภาพท่อร้อยสายไฟ ของ Curling Conveyor</t>
  </si>
  <si>
    <t>RB4-FC-EE</t>
  </si>
  <si>
    <t>ทำความสะอาด Burner Blower, ใบพัดมอเตอร์, Flame Sensor และ Damper ของ Oven Burner</t>
  </si>
  <si>
    <t>RB4-NC-EE</t>
  </si>
  <si>
    <t>ทำความสะอาดครีบ พัดลม และฝาครอบมอเตอร์ ของ Oven Top Circulation Fan</t>
  </si>
  <si>
    <t>ทำความสะอาดครีบ พัดลม และฝาครอบมอเตอร์ ของ Oven Bottom Circulation Fan</t>
  </si>
  <si>
    <t>ทำความสะอาดครีบ พัดลม และฝาครอบมอเตอร์ ของ Curling Conveyor</t>
  </si>
  <si>
    <t>RB4-QI-EE</t>
  </si>
  <si>
    <t>ตรวจเช็คสภาพ Terminal box ของ Oven Top Circulation Fan</t>
  </si>
  <si>
    <t>ตรวจเช็คสภาพ Terminal box ของ Oven Bottom Circulation Fan</t>
  </si>
  <si>
    <t>ตรวจเช็คสภาพ Terminal box ของ Oven Burner</t>
  </si>
  <si>
    <t>ตรวจเช็คสภาพ Terminal box ของ Curling Conveyor</t>
  </si>
  <si>
    <t>RB4-YCB-EE</t>
  </si>
  <si>
    <t>Calibrate เซ็นเซอร์วัดอุณหภูมิของ Oven Burner</t>
  </si>
  <si>
    <t>RB5</t>
  </si>
  <si>
    <t>Dryer Top Conveyor</t>
  </si>
  <si>
    <t>RB5-FI-EE</t>
  </si>
  <si>
    <t>Dryer Top Circulation Fan</t>
  </si>
  <si>
    <t>ตรวจเช็คกระแสไฟฟ้าทั้ง 3 เฟส Dryer Top Circulation Fan</t>
  </si>
  <si>
    <t>Dryer Middle Conveyor</t>
  </si>
  <si>
    <t>Dryer Bottom Circulation Fan</t>
  </si>
  <si>
    <t>ตรวจเช็คกระแสไฟฟ้าทั้ง 3 เฟส Dryer Bottom Circulation Fan</t>
  </si>
  <si>
    <t>Dryer Bottom Conveyor</t>
  </si>
  <si>
    <t>RB5-MI-EE</t>
  </si>
  <si>
    <t>Dryer Burner</t>
  </si>
  <si>
    <t>ตรวจวัดค่า Combustion ของ Dryer Burner</t>
  </si>
  <si>
    <t>RB5-MI-EE2</t>
  </si>
  <si>
    <t>ตรวจเช็คสภาพท่อร้อยสายไฟ ของ Dryer Top Conveyor</t>
  </si>
  <si>
    <t>ตรวจเช็คสภาพท่อร้อยสายไฟ ของ Dryer Middle Conveyor</t>
  </si>
  <si>
    <t>Dryer Exhaust Fan</t>
  </si>
  <si>
    <t>ตรวจเช็คสภาพท่อร้อยสายไฟ ของ Dryer Bottom Conveyor</t>
  </si>
  <si>
    <t>ตรวจเช็คสภาพท่อร้อยสายไฟ ของ Dryer Top Circulation Fan</t>
  </si>
  <si>
    <t>Dryer Outfeed Vibrating Conveyor</t>
  </si>
  <si>
    <t>ตรวจเช็คสภาพท่อร้อยสายไฟ ของ Dryer Bottom Circulation Fan</t>
  </si>
  <si>
    <t>ตรวจเช็คสภาพท่อร้อยสายไฟ ของ Dryer Exhaust Fan</t>
  </si>
  <si>
    <t>ตรวจเช็คสภาพท่อร้อยสายไฟ ของ Dryer Burner</t>
  </si>
  <si>
    <t>ตรวจเช็คสภาพท่อร้อยสายไฟ ของ Dryer Outfeed Vibrating Conveyor</t>
  </si>
  <si>
    <t>RB5-MI-EE3</t>
  </si>
  <si>
    <t>ตรวจสอบสภาพและการยึดแน่นของสายกราวด์</t>
  </si>
  <si>
    <t>ตรวจสอบ Amplitude การสั่นของรางสั่นที่ Controller และตัว pan</t>
  </si>
  <si>
    <t>ตรวจสอบ Alarm ที่จอของ Controller</t>
  </si>
  <si>
    <t>RB5-MC-EE</t>
  </si>
  <si>
    <t>ทำความสะอาด Burner Blower, ใบพัดมอเตอร์, Flame Sensor และ Damper ของ Dryer Burner</t>
  </si>
  <si>
    <t>RB5-NC-EE</t>
  </si>
  <si>
    <t>ทำความสะอาดครีบ พัดลม และฝาครอบมอเตอร์ ของ Dryer Top Conveyor</t>
  </si>
  <si>
    <t>ทำความสะอาดครีบ พัดลม และฝาครอบมอเตอร์ ของ Dryer Middle Conveyor</t>
  </si>
  <si>
    <t>ทำความสะอาดครีบ พัดลม และฝาครอบมอเตอร์ ของ Dryer Bottom Conveyor</t>
  </si>
  <si>
    <t>ทำความสะอาดครีบ พัดลม และฝาครอบมอเตอร์ ของ Dryer Top Circulation Fan</t>
  </si>
  <si>
    <t>ทำความสะอาดครีบ พัดลม และฝาครอบมอเตอร์ ของ Dryer Bottom Circulation Fan</t>
  </si>
  <si>
    <t>ทำความสะอาดครีบ พัดลม และฝาครอบมอเตอร์ ของ Dryer Exhaust Fan</t>
  </si>
  <si>
    <t>ทำความสะอาดครีบ พัดลม และฝาครอบมอเตอร์ ของ Dryer Outfeed Vibrating Conveyor</t>
  </si>
  <si>
    <t>RB5-QI-EE</t>
  </si>
  <si>
    <t>ตรวจเช็คสภาพ Terminal box ของ Dryer Top Conveyor</t>
  </si>
  <si>
    <t>ตรวจเช็คสภาพ Terminal box ของ Dryer Middle Conveyor</t>
  </si>
  <si>
    <t>ตรวจเช็คสภาพ Terminal box ของ Dryer Bottom Conveyor</t>
  </si>
  <si>
    <t>ตรวจเช็คสภาพ Terminal box ของ Dryer Top Circulation Fan</t>
  </si>
  <si>
    <t>ตรวจเช็คสภาพ Terminal box ของ Dryer Bottom Circulation Fan</t>
  </si>
  <si>
    <t>ตรวจเช็คสภาพ Terminal box ของ Dryer Exhaust Fan</t>
  </si>
  <si>
    <t>ตรวจเช็คสภาพ Terminal box ของ Dryer Burner</t>
  </si>
  <si>
    <t>ตรวจเช็คสภาพ Terminal box ของ Dryer Outfeed Vibrating Conveyor</t>
  </si>
  <si>
    <t>RB5-QI-EE2</t>
  </si>
  <si>
    <t>ตรวจเช็คค่ากระแสไฟฟ้าที่จ่ายจาก Controller</t>
  </si>
  <si>
    <t>ทำการ Tuning test ในกรณีที่ไม่อยู๋ในช่วง 3880-3960 ให้ทำการ tuning ใหม่ให้อยู่ในช่วง 3880-3920</t>
  </si>
  <si>
    <t>ตรวจสอบสภาพตู้ Controller,สวิทช์มปุ่มต่างๆ,ข้อต่อสายไฟ</t>
  </si>
  <si>
    <t>ตรวจสอบอุณหภูมิของ Magnet ในระหว่างทำงานต้องน้อยกว่า 70 C</t>
  </si>
  <si>
    <t>ถอด magnet เพื่อเช็คสภาพแตกร้าว และการคลายตัวของน๊อตยึด  Magnet</t>
  </si>
  <si>
    <t>ตรวจเช็คระยะห่างของ magnet และ pan ระหว่าง 4-5 mm.</t>
  </si>
  <si>
    <t>RB5-HI-EE</t>
  </si>
  <si>
    <t>RB5-YR-EE</t>
  </si>
  <si>
    <t>RB5-YCB-EE</t>
  </si>
  <si>
    <t>Calibrate เซ็นเซอร์วัดอุณหภูมิของ Dryer Burner</t>
  </si>
  <si>
    <t>RB5-YI-EE</t>
  </si>
  <si>
    <t>ตรวจเช็คค่าความต้านทานของ Magnet ต้องอยู่ระหว่าง 2.7-2.9 โอห์ม</t>
  </si>
  <si>
    <t>ตรวจเช็คค่าความเป็นฉนวนระหว่างสายกราวด์กับสาย L/N ต้อง &gt; 7 Mohm</t>
  </si>
  <si>
    <t>ตรวจเช็คค่าความเป็นฉนวนระหว่าง Magnet case กับสาย L/N ต้อง &gt; 7 Mohm</t>
  </si>
  <si>
    <t>ตรวจเช็คค่าความต้านทานระหว่างสายกราวด์กับ Pan,Magnet,ตู้ controller</t>
  </si>
  <si>
    <t>RB6</t>
  </si>
  <si>
    <t>SSN Infeed Conveyor</t>
  </si>
  <si>
    <t>RB6-FI-EE</t>
  </si>
  <si>
    <t>ตรวจเช็คกระแสไฟฟ้าทั้ง 3 เฟส SSN Infeed Conveyor</t>
  </si>
  <si>
    <t>Elevating Infeed Conveyor</t>
  </si>
  <si>
    <t>ตรวจเช็คกระแสไฟฟ้าทั้ง 3 เฟส Elevating Infeed Conveyor</t>
  </si>
  <si>
    <t>Weight Infeed Vibration Conveyor</t>
  </si>
  <si>
    <t>ตรวจเช็คกระแสไฟฟ้าทั้ง 3 เฟส Weight Infeed Vibration Conveyor</t>
  </si>
  <si>
    <t>Weight Vibration Conveyor</t>
  </si>
  <si>
    <t>ตรวจเช็คกระแสไฟฟ้าทั้ง 3 เฟส Weight Vibration Conveyor</t>
  </si>
  <si>
    <t>Oiler Unit</t>
  </si>
  <si>
    <t>ตรวจเช็คกระแสไฟฟ้าทั้ง 3 เฟส Oiler Unit</t>
  </si>
  <si>
    <t>SSN Tumbler Drum</t>
  </si>
  <si>
    <t>ตรวจเช็คกระแสไฟฟ้าทั้ง 3 เฟส SSN Tumbler Drum</t>
  </si>
  <si>
    <t>ตรวจเช็คกระแสไฟฟ้าทั้ง 3 เฟส SSN Applicator</t>
  </si>
  <si>
    <t>ตรวจเช็คกระแสไฟฟ้าทั้ง 3 เฟส Scarf Feeder</t>
  </si>
  <si>
    <t>SSN Bulk Feeder</t>
  </si>
  <si>
    <t>ตรวจเช็คกระแสไฟฟ้าทั้ง 3 เฟส SSN Bulk Feeder</t>
  </si>
  <si>
    <t>ตรวจเช็คกระแสไฟฟ้าทั้ง 3 เฟส Dust Collector</t>
  </si>
  <si>
    <t>ตรวจเช็คกระแสไฟฟ้าทั้ง 3 เฟส Elevating Conveyor</t>
  </si>
  <si>
    <t>RB6-MI-EE</t>
  </si>
  <si>
    <t>ตรวจเช็คสภาพท่อร้อยสายไฟ ของ SSN Infeed Conveyor</t>
  </si>
  <si>
    <t>ตรวจเช็คสภาพท่อร้อยสายไฟ ของ Elevating Infeed Conveyor</t>
  </si>
  <si>
    <t>ตรวจเช็คสภาพท่อร้อยสายไฟ ของ Weight Infeed Vibration Conveyor</t>
  </si>
  <si>
    <t>ตรวจเช็คสภาพท่อร้อยสายไฟ ของ Weight Vibration Conveyor</t>
  </si>
  <si>
    <t>ตรวจเช็คสภาพท่อร้อยสายไฟ ของ Oiler Unit</t>
  </si>
  <si>
    <t>ตรวจเช็คสภาพท่อร้อยสายไฟ ของ SSN Tumbler Drum</t>
  </si>
  <si>
    <t>ตรวจเช็คสภาพท่อร้อยสายไฟ ของ SSN Bulk Feeder</t>
  </si>
  <si>
    <t>ตรวจเช็คสภาพท่อร้อยสายไฟ ของ Dust Collector</t>
  </si>
  <si>
    <t>RB6-MI-EE2</t>
  </si>
  <si>
    <t>ตรวจสอบสภาพและการยึดแน่นของสายกราวด์ Weight Infeed Vibration Conveyor</t>
  </si>
  <si>
    <t>ตรวจสอบสภาพและการยึดแน่นของสายกราวด์ Weight Vibration Conveyor</t>
  </si>
  <si>
    <t>ตรวจสอบสภาพและการยึดแน่นของสายกราวด์ Scarf Feeder</t>
  </si>
  <si>
    <t>ตรวจสอบ Amplitude การสั่นของรางสั่นที่ Controller และตัว pan ของ Weight Infeed Vibration Conveyor</t>
  </si>
  <si>
    <t>ตรวจสอบ Amplitude การสั่นของรางสั่นที่ Controller และตัว pan ของ Weight Vibration Conveyor</t>
  </si>
  <si>
    <t>ตรวจสอบ Amplitude การสั่นของรางสั่นที่ Controller และตัว pan ของ Scarf Feeder</t>
  </si>
  <si>
    <t>ตรวจสอบ Alarm ที่จอของ Controller ของ Weight Infeed Vibration Conveyor</t>
  </si>
  <si>
    <t>ตรวจสอบ Alarm ที่จอของ Controller ของ Weight Vibration Conveyor</t>
  </si>
  <si>
    <t>ตรวจสอบ Alarm ที่จอของ Controller ของ Scarf Feeder</t>
  </si>
  <si>
    <t>RB6-NC-EE</t>
  </si>
  <si>
    <t>ทำความสะอาดครีบ พัดลม และฝาครอบมอเตอร์ ของ SSN Infeed Conveyor</t>
  </si>
  <si>
    <t>ทำความสะอาดครีบ พัดลม และฝาครอบมอเตอร์ ของ Elevating Infeed Conveyor</t>
  </si>
  <si>
    <t>ทำความสะอาดครีบ พัดลม และฝาครอบมอเตอร์ ของ Weight Infeed Vibration Conveyor</t>
  </si>
  <si>
    <t>ทำความสะอาดครีบ พัดลม และฝาครอบมอเตอร์ ของ Weight Vibration Conveyor</t>
  </si>
  <si>
    <t>ทำความสะอาดครีบ พัดลม และฝาครอบมอเตอร์ ของ Oiler Unit</t>
  </si>
  <si>
    <t>ทำความสะอาดครีบ พัดลม และฝาครอบมอเตอร์ ของ SSN Tumbler Drum</t>
  </si>
  <si>
    <t>ทำความสะอาดครีบ พัดลม และฝาครอบมอเตอร์ ของ SSN Bulk Feeder</t>
  </si>
  <si>
    <t>ทำความสะอาดครีบ พัดลม และฝาครอบมอเตอร์ ของ Dust Collector</t>
  </si>
  <si>
    <t>RB6-QI-EE</t>
  </si>
  <si>
    <t>ตรวจเช็คสภาพ Terminal box ของ SSN Infeed Conveyor</t>
  </si>
  <si>
    <t>ตรวจเช็คสภาพ Terminal box ของ Elevating Infeed Conveyor</t>
  </si>
  <si>
    <t>ตรวจเช็คสภาพ Terminal box ของ Weight Infeed Vibration Conveyor</t>
  </si>
  <si>
    <t>ตรวจเช็คสภาพ Terminal box ของ Weight Vibration Conveyor</t>
  </si>
  <si>
    <t>ตรวจเช็คสภาพ Terminal box ของ Oiler Unit</t>
  </si>
  <si>
    <t>ตรวจเช็คสภาพ Terminal box ของ SSN Tumbler Drum</t>
  </si>
  <si>
    <t>ตรวจเช็คสภาพ Terminal box ของ SSN Bulk Feeder</t>
  </si>
  <si>
    <t>ตรวจเช็คสภาพ Terminal box ของ Dust Collector</t>
  </si>
  <si>
    <t>RB6-QI-EE2</t>
  </si>
  <si>
    <t>RB6-YI-EE</t>
  </si>
  <si>
    <t>RB6-YCB-EE</t>
  </si>
  <si>
    <t>Calibrate Load cell ของ SSN applicator</t>
  </si>
  <si>
    <t>FC0</t>
  </si>
  <si>
    <t>Vertical Blender #1</t>
  </si>
  <si>
    <t>FC0-MI-EE</t>
  </si>
  <si>
    <t>ตรวจเช็คกระแสไฟฟ้าทั้ง 3 เฟสของมอเตอร์ Dust Collector</t>
  </si>
  <si>
    <t>Vertical Blender #2</t>
  </si>
  <si>
    <t>FC0-MI-EE2</t>
  </si>
  <si>
    <t>ตรวจเช็คสภาพท่อร้อยสายไฟ ของ Vertical Blender #1</t>
  </si>
  <si>
    <t>Bucket Elevator #1</t>
  </si>
  <si>
    <t>ตรวจเช็คสภาพท่อร้อยสายไฟ ของ Vertical Blender #2</t>
  </si>
  <si>
    <t>Bucket Elevator #2</t>
  </si>
  <si>
    <t>ตรวจเช็คสภาพท่อร้อยสายไฟ ของ Bucket Elevator #1</t>
  </si>
  <si>
    <t>ตรวจเช็คสภาพท่อร้อยสายไฟ ของ Bucket Elevator #2</t>
  </si>
  <si>
    <t>FC0-MC-EE</t>
  </si>
  <si>
    <t>ทำความสะอาด Blower และมอเตอร์ของ Dust Collector</t>
  </si>
  <si>
    <t>Bucket Elevator#1</t>
  </si>
  <si>
    <t>ทำความสะอาดภายในตู้ไฟฟ้า FC0-E01 Bucket Elevator#1</t>
  </si>
  <si>
    <t>Bucket Elevayor#2</t>
  </si>
  <si>
    <t>ทำความสะอาดภายในตู้ไฟฟ้า FC0-E02 Bucket Elevayor#2</t>
  </si>
  <si>
    <t>FC0-NC-EE</t>
  </si>
  <si>
    <t>ทำความสะอาดครีบ พัดลม และฝาครอบมอเตอร์ ของ Vertical Blender #1</t>
  </si>
  <si>
    <t>ทำความสะอาดครีบ พัดลม และฝาครอบมอเตอร์ ของ Vertical Blender #2</t>
  </si>
  <si>
    <t>ทำความสะอาดครีบ พัดลม และฝาครอบมอเตอร์ ของ Bucket Elevator #1</t>
  </si>
  <si>
    <t>ทำความสะอาดครีบ พัดลม และฝาครอบมอเตอร์ ของ Bucket Elevator #2</t>
  </si>
  <si>
    <t>FC1</t>
  </si>
  <si>
    <t>Extruder #1</t>
  </si>
  <si>
    <t>FC1-FI-EE</t>
  </si>
  <si>
    <t>Extruder#1</t>
  </si>
  <si>
    <t>ตรวจเช็คกระแสไฟฟ้าทั้ง 3 เฟสของมอเตอร์ Extruder #1</t>
  </si>
  <si>
    <t>Extruder #2</t>
  </si>
  <si>
    <t>Extruder#2</t>
  </si>
  <si>
    <t>ตรวจเช็คกระแสไฟฟ้าทั้ง 3 เฟสของมอเตอร์ Extruder #2</t>
  </si>
  <si>
    <t>Extruder #3</t>
  </si>
  <si>
    <t>Extruder#3</t>
  </si>
  <si>
    <t>ตรวจเช็คกระแสไฟฟ้าทั้ง 3 เฟสของมอเตอร์ Extruder #3</t>
  </si>
  <si>
    <t>FC1-MI-EE</t>
  </si>
  <si>
    <t>ตรวจเช็คสภาพท่อร้อยสายไฟ ของ Extruder #1</t>
  </si>
  <si>
    <t>ตรวจเช็คสภาพท่อร้อยสายไฟ ของ Extruder #2</t>
  </si>
  <si>
    <t>ตรวจเช็คสภาพท่อร้อยสายไฟ ของ Extruder #3</t>
  </si>
  <si>
    <t>FC1-NC-EE</t>
  </si>
  <si>
    <t>ทำความสะอาดภายใน และฟิลเตอร์ตู้ไฟฟ้า FC0-E01 Extruder#1</t>
  </si>
  <si>
    <t>ทำความสะอาดภายใน และฟิลเตอร์ตู้ไฟฟ้า FC0-E02 Extruder#2</t>
  </si>
  <si>
    <t>ทำความสะอาดภายใน และฟิลเตอร์ตู้ไฟฟ้า FC0-E03 Extruder#3</t>
  </si>
  <si>
    <t>FC1-NC-EE2</t>
  </si>
  <si>
    <t>ทำความสะอาดครีบ พัดลม และฝาครอบมอเตอร์ ของ Extruder#1</t>
  </si>
  <si>
    <t>ทำความสะอาดครีบ พัดลม และฝาครอบมอเตอร์ ของ Extruder#2</t>
  </si>
  <si>
    <t>ทำความสะอาดครีบ พัดลม และฝาครอบมอเตอร์ ของ Extruder#3</t>
  </si>
  <si>
    <t>FC1-NR-EE</t>
  </si>
  <si>
    <t>เปลี่ยนฟิลเตอร์ตู้ไฟฟ้า FC1-E01 Extruder#1</t>
  </si>
  <si>
    <t>เปลี่ยนฟิลเตอร์ตู้ไฟฟ้า FC1-E02 Extruder#2</t>
  </si>
  <si>
    <t>เปลี่ยนฟิลเตอร์ตู้ไฟฟ้า FC1-E03 Extruder#3</t>
  </si>
  <si>
    <t>FC2</t>
  </si>
  <si>
    <t>FC2-MC-EE</t>
  </si>
  <si>
    <t>Weight Belt</t>
  </si>
  <si>
    <t>ทำความสะอาดภายในตู้ไฟฟ้า FC2-E01 Weight Belt</t>
  </si>
  <si>
    <t>Bulk Feeder Hopper</t>
  </si>
  <si>
    <t>FC2-MI-EE</t>
  </si>
  <si>
    <t>Weight Belt Conveyor</t>
  </si>
  <si>
    <t>ตรวจเช็คสภาพท่อร้อยสายไฟ ของ Weight Belt Conveyor</t>
  </si>
  <si>
    <t>FC2-NC-EE</t>
  </si>
  <si>
    <t>ทำความสะอาดครีบ พัดลม และฝาครอบมอเตอร์ ของ Bulk Feeder Hopper</t>
  </si>
  <si>
    <t>ทำความสะอาดครีบ พัดลม และฝาครอบมอเตอร์ ของ Weight Belt Conveyor</t>
  </si>
  <si>
    <t>FC3</t>
  </si>
  <si>
    <t>FC3-FC-EE</t>
  </si>
  <si>
    <t>FC3-MI-EE</t>
  </si>
  <si>
    <t>Oven Reject Conveyor</t>
  </si>
  <si>
    <t>ตรวจเช็คสภาพท่อร้อยสายไฟ ของ Oven Outfeed Vibrating Conveyor</t>
  </si>
  <si>
    <t>ตรวจเช็คสภาพท่อร้อยสายไฟ ของ Oven Reject Conveyor</t>
  </si>
  <si>
    <t>ตรวจเช็คสภาพท่อร้อยสายไฟ ของ Mobile Conveyor #3</t>
  </si>
  <si>
    <t>FC3-MI-EE2</t>
  </si>
  <si>
    <t>FC3-MC-EE</t>
  </si>
  <si>
    <t>ทำความสะอาดภายในตู้ไฟฟ้า FC3-E03 Oven Reject Conveyor</t>
  </si>
  <si>
    <t>FC3-NC-EE</t>
  </si>
  <si>
    <t>ทำความสะอาดครีบ พัดลม และฝาครอบมอเตอร์ ของ Oven Reject Conveyor</t>
  </si>
  <si>
    <t>ทำความสะอาดครีบ พัดลม และฝาครอบมอเตอร์ ของ Mobile Conveyor #3</t>
  </si>
  <si>
    <t>FC3-NC-EE2</t>
  </si>
  <si>
    <t>ทำความสะอาดภายใน และฟิลเตอร์ตู้ไฟฟ้า FC3-E01 Oven Burner</t>
  </si>
  <si>
    <t>ทำความสะอาดภายใน และฟิลเตอร์ตู้ไฟฟ้า FC3-E02 Oven Conveyor</t>
  </si>
  <si>
    <t>FC3-NR-EE</t>
  </si>
  <si>
    <t>ทำความสะอาดภายใน และเปลี่ยนฟิลเตอร์ตู้ไฟฟ้า FC3-E01 Oven Burner</t>
  </si>
  <si>
    <t>ทำความสะอาดภายใน และเปลี่ยนฟิลเตอร์ตู้ไฟฟ้า FC3-E02 Oven Conveyor</t>
  </si>
  <si>
    <t>FC3-HR-EE</t>
  </si>
  <si>
    <t>FC3-HCB-EE</t>
  </si>
  <si>
    <t>FC4</t>
  </si>
  <si>
    <t>FC4-MI-EE</t>
  </si>
  <si>
    <t>FC4-NC-EE</t>
  </si>
  <si>
    <t>FC5</t>
  </si>
  <si>
    <t>FC5-FC-EE</t>
  </si>
  <si>
    <t>FC5-MI-EE</t>
  </si>
  <si>
    <t>ตรวจวัดค่า Combustion ของ Fryer Burner</t>
  </si>
  <si>
    <t>ตรวจเช็คพร้อมถอดล้าง Oil Diff Pressure Switch ของ Burner FCP</t>
  </si>
  <si>
    <t>FC5-MI-EE2</t>
  </si>
  <si>
    <t>FC5-NC-EE</t>
  </si>
  <si>
    <t>FC5-HCB-EE</t>
  </si>
  <si>
    <t>FC5-HR-EE</t>
  </si>
  <si>
    <t>FC5-HC-EE</t>
  </si>
  <si>
    <t>FC6</t>
  </si>
  <si>
    <t>FC6-MI-EE</t>
  </si>
  <si>
    <t>FC6-MC-EE</t>
  </si>
  <si>
    <t>FL 710</t>
  </si>
  <si>
    <t>ทำความสะอาดภายในตู้ไฟฟ้า FC6-E01 FL 710</t>
  </si>
  <si>
    <t>ทำความสะอาดภายในตู้ไฟฟ้า FC6-E02 Reject Conveyor</t>
  </si>
  <si>
    <t>Inspection  Vibrating Conveyor</t>
  </si>
  <si>
    <t>ทำความสะอาดภายในตู้ไฟฟ้า FC6-E03 Inspection  Vibrating Conveyor</t>
  </si>
  <si>
    <t>FC6-NC-EE</t>
  </si>
  <si>
    <t>ทำความสะอาดคราบสกปรกที่ Coil ไฟฟ้าของ Inspection Vibrating Conveyor</t>
  </si>
  <si>
    <t>FC6-HI-EE</t>
  </si>
  <si>
    <t>FC6-YR-EE</t>
  </si>
  <si>
    <t>FC7</t>
  </si>
  <si>
    <t>FC7-MC-EE</t>
  </si>
  <si>
    <t>ทำความสะอาดภายในตู้ไฟฟ้า FC7-E01 Slurry Spray Pump</t>
  </si>
  <si>
    <t>FC7-MI-EE</t>
  </si>
  <si>
    <t>FC7-NC-EE</t>
  </si>
  <si>
    <t>FC7-YCB-EE</t>
  </si>
  <si>
    <t>FC8</t>
  </si>
  <si>
    <t>FC8-MC-EE</t>
  </si>
  <si>
    <t>ทำความสะอาดภายในตู้ไฟฟ้า FC8-E01 Elevating Conveyor</t>
  </si>
  <si>
    <t>ทำความสะอาดภายในตู้ไฟฟ้า FC8-E02 Outfeed Vibrating Conveyor</t>
  </si>
  <si>
    <t>FC8-MI-EE</t>
  </si>
  <si>
    <t>FC8-NC-EE</t>
  </si>
  <si>
    <t>P20</t>
  </si>
  <si>
    <t>P20-FIO-001EE</t>
  </si>
  <si>
    <t>P20-FI-EE</t>
  </si>
  <si>
    <t>ตรวจเช็คกระแสไฟฟ้าทั้ง 3 เฟส ของ Cross Conveyor</t>
  </si>
  <si>
    <t>P20-FIO-002EE</t>
  </si>
  <si>
    <t>ตรวจเช็คกระแสไฟฟ้าทั้ง 3 เฟส ของ Incline Conveyor No.1</t>
  </si>
  <si>
    <t>Surge Hopper</t>
  </si>
  <si>
    <t>P20-FIO-003EE</t>
  </si>
  <si>
    <t>Surge Hopper Elevator</t>
  </si>
  <si>
    <t>ตรวจเช็คกระแสไฟฟ้าทั้ง 3 เฟส ของ Surge Hopper Elevator</t>
  </si>
  <si>
    <t>P20-FIO-004EE</t>
  </si>
  <si>
    <t>High Level Conveyor #1</t>
  </si>
  <si>
    <t>ตรวจเช็คกระแสไฟฟ้าทั้ง 3 เฟส ของ High Level Conveyor No.1</t>
  </si>
  <si>
    <t>P20-FIO-005EE</t>
  </si>
  <si>
    <t>High Level Conveyor #2</t>
  </si>
  <si>
    <t>ตรวจเช็คกระแสไฟฟ้าทั้ง 3 เฟส ของ High Level Conveyor No.2</t>
  </si>
  <si>
    <t>P20-FIO-006EE</t>
  </si>
  <si>
    <t>High Level Conveyor #3</t>
  </si>
  <si>
    <t>ตรวจเช็คกระแสไฟฟ้าทั้ง 3 เฟส ของ High Level Conveyor No.3</t>
  </si>
  <si>
    <t>P20-FIO-007EE</t>
  </si>
  <si>
    <t>ตรวจเช็คกระแสไฟฟ้าทั้ง 3 เฟส ของ Slicer Incline Conveyor</t>
  </si>
  <si>
    <t>P20-FIO-008EE</t>
  </si>
  <si>
    <t>Slicer Feeder Auger</t>
  </si>
  <si>
    <t>ตรวจเช็คกระแสไฟฟ้าทั้ง 3 เฟส ของ Slicer Feeder Auger</t>
  </si>
  <si>
    <t>Slicer Incline conveyor</t>
  </si>
  <si>
    <t>P20-FIO-009EE</t>
  </si>
  <si>
    <t>ตรวจเช็คกระแสไฟฟ้าทั้ง 3 เฟส ของ Slicer No.1</t>
  </si>
  <si>
    <t>P20-FIO-010EE</t>
  </si>
  <si>
    <t>ตรวจเช็คกระแสไฟฟ้าทั้ง 3 เฟส ของ Slicer No.2</t>
  </si>
  <si>
    <t>P20-MIO-001EE</t>
  </si>
  <si>
    <t>P20-MI-EE</t>
  </si>
  <si>
    <t>P20-NIO-001EE</t>
  </si>
  <si>
    <t>P20-NI-EE</t>
  </si>
  <si>
    <t>ตรวจเช็คสภาพท่อร้อยสายไฟ ของ Incline Conveyor No.1</t>
  </si>
  <si>
    <t>P20-NIO-002EE</t>
  </si>
  <si>
    <t>ตรวจเช็คสภาพท่อร้อยสายไฟ ของ Surge Hopper Elevator</t>
  </si>
  <si>
    <t>P20-NIO-003EE</t>
  </si>
  <si>
    <t>ตรวจเช็คสภาพท่อร้อยสายไฟ ของ High Level Conveyor No.1</t>
  </si>
  <si>
    <t>P20-NIO-004EE</t>
  </si>
  <si>
    <t>ตรวจเช็คสภาพท่อร้อยสายไฟ ของ High Level Conveyor No.2</t>
  </si>
  <si>
    <t>P20-NIO-005EE</t>
  </si>
  <si>
    <t>ตรวจเช็คสภาพท่อร้อยสายไฟ ของ High Level Conveyor No.3</t>
  </si>
  <si>
    <t>P20-NIO-006EE</t>
  </si>
  <si>
    <t>P20-NIO-007EE</t>
  </si>
  <si>
    <t>ตรวจเช็คสภาพท่อร้อยสายไฟ ของ Slicer Feeder Auger</t>
  </si>
  <si>
    <t>P20-NIO-008EE</t>
  </si>
  <si>
    <t>P20-NIO-009EE</t>
  </si>
  <si>
    <t>P20-NIS-011EE</t>
  </si>
  <si>
    <t>P20-NI-EE2</t>
  </si>
  <si>
    <t>ตรวจเช็คสภาพ Terminal box ของ Cross Conveyor</t>
  </si>
  <si>
    <t>P20-NIS-012EE</t>
  </si>
  <si>
    <t>ตรวจเช็คสภาพ Terminal box ของ Incline Conveyor No.1</t>
  </si>
  <si>
    <t>P20-NIS-013EE</t>
  </si>
  <si>
    <t>ตรวจเช็คสภาพ Terminal box ของ Surge Hopper Elevator</t>
  </si>
  <si>
    <t>P20-NIS-014EE</t>
  </si>
  <si>
    <t>ตรวจเช็คสภาพ Terminal box ของ High Level Conveyor No.1</t>
  </si>
  <si>
    <t>P20-NIS-015EE</t>
  </si>
  <si>
    <t>ตรวจเช็คสภาพ Terminal box ของ High Level Conveyor No.2</t>
  </si>
  <si>
    <t>P20-NIS-016EE</t>
  </si>
  <si>
    <t>ตรวจเช็คสภาพ Terminal box ของ High Level Conveyor No.3</t>
  </si>
  <si>
    <t>P20-NIS-017EE</t>
  </si>
  <si>
    <t>P20-NIS-018EE</t>
  </si>
  <si>
    <t>ตรวจเช็คสภาพ Terminal box ของ Slicer Feeder Auger</t>
  </si>
  <si>
    <t>P20-NIS-019EE</t>
  </si>
  <si>
    <t>P20-NIS-020EE</t>
  </si>
  <si>
    <t>P20-NTO-001EE</t>
  </si>
  <si>
    <t>P20-NT-EE</t>
  </si>
  <si>
    <t>วัดอุณภูมิพื้นผิวมอเตอร์ ของ Cross Conveyor</t>
  </si>
  <si>
    <t>P20-NTO-002EE</t>
  </si>
  <si>
    <t>วัดอุณภูมิพื้นผิวมอเตอร์ ของ Incline Conveyor No.1</t>
  </si>
  <si>
    <t>P20-NTO-003EE</t>
  </si>
  <si>
    <t>วัดอุณภูมิพื้นผิวมอเตอร์ ของ Surge Hopper Elevator</t>
  </si>
  <si>
    <t>P20-NTO-004EE</t>
  </si>
  <si>
    <t>วัดอุณภูมิพื้นผิวมอเตอร์ ของ High Level Conveyor No.1</t>
  </si>
  <si>
    <t>P20-NTO-005EE</t>
  </si>
  <si>
    <t>วัดอุณภูมิพื้นผิวมอเตอร์ ของ High Level Conveyor No.2</t>
  </si>
  <si>
    <t>P20-NTO-006EE</t>
  </si>
  <si>
    <t>วัดอุณภูมิพื้นผิวมอเตอร์ ของ High Level Conveyor No.3</t>
  </si>
  <si>
    <t>P20-NTO-007EE</t>
  </si>
  <si>
    <t>วัดอุณภูมิพื้นผิวมอเตอร์ ของ Slicer Incline Conveyor</t>
  </si>
  <si>
    <t>P20-NTO-008EE</t>
  </si>
  <si>
    <t>วัดอุณภูมิพื้นผิวมอเตอร์ ของ Slicer Feeder Auger</t>
  </si>
  <si>
    <t>P20-NTO-009EE</t>
  </si>
  <si>
    <t>วัดอุณภูมิพื้นผิวมอเตอร์ ของ Slicer No.1</t>
  </si>
  <si>
    <t>P20-NTO-010EE</t>
  </si>
  <si>
    <t>วัดอุณภูมิพื้นผิวมอเตอร์ ของ Slicer No.2</t>
  </si>
  <si>
    <t>P20-QCS-021EE</t>
  </si>
  <si>
    <t>P20-QC-EE</t>
  </si>
  <si>
    <t>P20-QCS-022EE</t>
  </si>
  <si>
    <t>ทำความสะอาดครีบ พัดลม และฝาครอบมอเตอร์ ของ Incline Conveyor No.1</t>
  </si>
  <si>
    <t>P20-QCS-023EE</t>
  </si>
  <si>
    <t>ทำความสะอาดครีบ พัดลม และฝาครอบมอเตอร์ ของ Surge Hopper Elevator</t>
  </si>
  <si>
    <t>P20-QCS-024EE</t>
  </si>
  <si>
    <t>ทำความสะอาดครีบ พัดลม และฝาครอบมอเตอร์ ของ High Level Conveyor No.1</t>
  </si>
  <si>
    <t>P20-QCS-025EE</t>
  </si>
  <si>
    <t>ทำความสะอาดครีบ พัดลม และฝาครอบมอเตอร์ ของ High Level Conveyor No.2</t>
  </si>
  <si>
    <t>P20-QCS-026EE</t>
  </si>
  <si>
    <t>ทำความสะอาดครีบ พัดลม และฝาครอบมอเตอร์ ของ High Level Conveyor No.3</t>
  </si>
  <si>
    <t>P20-QCS-027EE</t>
  </si>
  <si>
    <t>P20-QCS-028EE</t>
  </si>
  <si>
    <t>ทำความสะอาดครีบ พัดลม และฝาครอบมอเตอร์ ของ Slicer Feeder Auger</t>
  </si>
  <si>
    <t>P20-QCS-029EE</t>
  </si>
  <si>
    <t>ทำความสะอาดครีบ พัดลม และฝาครอบมอเตอร์ ของ Slicer No.1</t>
  </si>
  <si>
    <t>P20-QCS-030EE</t>
  </si>
  <si>
    <t>ทำความสะอาดครีบ พัดลม และฝาครอบมอเตอร์ ของ Slicer No.2</t>
  </si>
  <si>
    <t>P20-QIS-001EE</t>
  </si>
  <si>
    <t>P20-QI-EE</t>
  </si>
  <si>
    <t>ตรวจเช็คค่าความเป็นฉนวนของขดลวดของ Cross Conveyor</t>
  </si>
  <si>
    <t>P20-QIS-002EE</t>
  </si>
  <si>
    <t>Incline Conveyor #1</t>
  </si>
  <si>
    <t>ตรวจเช็คค่าความเป็นฉนวนของขดลวดของ Incline Conveyor #1</t>
  </si>
  <si>
    <t>P20-QIS-003EE</t>
  </si>
  <si>
    <t>ตรวจเช็คค่าความเป็นฉนวนของขดลวดของ Surge Hopper Elevator</t>
  </si>
  <si>
    <t>P20-QIS-004EE</t>
  </si>
  <si>
    <t>ตรวจเช็คค่าความเป็นฉนวนของขดลวดของ High Level Conveyor #1</t>
  </si>
  <si>
    <t>P20-QIS-005EE</t>
  </si>
  <si>
    <t>ตรวจเช็คค่าความเป็นฉนวนของขดลวดของ High Level Conveyor #2</t>
  </si>
  <si>
    <t>P20-QIS-006EE</t>
  </si>
  <si>
    <t>ตรวจเช็คค่าความเป็นฉนวนของขดลวดของ High Level Conveyor #3</t>
  </si>
  <si>
    <t>P20-QIS-007EE</t>
  </si>
  <si>
    <t>ตรวจเช็คค่าความเป็นฉนวนของขดลวดของ Slicer Incline Conveyor</t>
  </si>
  <si>
    <t>P20-QIS-008EE</t>
  </si>
  <si>
    <t>ตรวจเช็คค่าความเป็นฉนวนของขดลวดของ Slicer Feeder Auger</t>
  </si>
  <si>
    <t>P20-QIS-009EE</t>
  </si>
  <si>
    <t>ตรวจเช็คค่าความเป็นฉนวนของขดลวดของ Slicer #1</t>
  </si>
  <si>
    <t>P20-QIS-010EE</t>
  </si>
  <si>
    <t>ตรวจเช็คค่าความเป็นฉนวนของขดลวดของ Slicer #2</t>
  </si>
  <si>
    <t>P20-HRS-001EE</t>
  </si>
  <si>
    <t>P20-HR-EE</t>
  </si>
  <si>
    <t>เปลี่ยน Bindicator ทั้ง 2 ตัว ของ Surge Hopper Elevator</t>
  </si>
  <si>
    <t>P21</t>
  </si>
  <si>
    <t>P21-FIO-001EE</t>
  </si>
  <si>
    <t>P21-FI-EE</t>
  </si>
  <si>
    <t>P21-FIO-002EE</t>
  </si>
  <si>
    <t>P21-FIO-003EE</t>
  </si>
  <si>
    <t>ตรวจเช็คกระแสไฟฟ้าทั้ง 3 เฟส ของ PSSW Conveyor</t>
  </si>
  <si>
    <t>P21-FIO-004EE</t>
  </si>
  <si>
    <t>PSSW Fine Conveyor</t>
  </si>
  <si>
    <t>ตรวจเช็คกระแสไฟฟ้าทั้ง 3 เฟส ของ PSSW Fine Conveyor</t>
  </si>
  <si>
    <t>PSSW Fine Blower</t>
  </si>
  <si>
    <t>P21-FIO-005EE</t>
  </si>
  <si>
    <t>ตรวจเช็คกระแสไฟฟ้าทั้ง 3 เฟส ของ PSSW Fine Blower</t>
  </si>
  <si>
    <t>P21-FIO-006EE</t>
  </si>
  <si>
    <t>P21-NIO-001EE</t>
  </si>
  <si>
    <t>P21-NI-EE</t>
  </si>
  <si>
    <t>P21-NIO-002EE</t>
  </si>
  <si>
    <t>P21-NIO-003EE</t>
  </si>
  <si>
    <t>P21-NIO-004EE</t>
  </si>
  <si>
    <t>ตรวจเช็คสภาพท่อร้อยสายไฟ ของ PSSW Fine Conveyor</t>
  </si>
  <si>
    <t>P21-NIO-005EE</t>
  </si>
  <si>
    <t>ตรวจเช็คสภาพท่อร้อยสายไฟ ของ PSSW Fine Blower</t>
  </si>
  <si>
    <t>P21-NIO-006EE</t>
  </si>
  <si>
    <t>P21-NIS-006EE</t>
  </si>
  <si>
    <t>P21-NI-EE2</t>
  </si>
  <si>
    <t>ตรวจเช็คความเป็นฉนวนของสายไฟ ของ PSSW Water Pump</t>
  </si>
  <si>
    <t>P21-NIS-007EE</t>
  </si>
  <si>
    <t>P21-NIS-008EE</t>
  </si>
  <si>
    <t>P21-NIS-009EE</t>
  </si>
  <si>
    <t>P21-NIS-010EE</t>
  </si>
  <si>
    <t>ตรวจเช็คสภาพ Terminal box ของ PSSW Fine Conveyor</t>
  </si>
  <si>
    <t>P21-NIS-011EE</t>
  </si>
  <si>
    <t>ตรวจเช็คสภาพ Terminal box ของ PSSW Fine Blower</t>
  </si>
  <si>
    <t>P21-NIS-012EE</t>
  </si>
  <si>
    <t>P21-NTO-001EE</t>
  </si>
  <si>
    <t>P21-NT-EE</t>
  </si>
  <si>
    <t>วัดอุณภูมิพื้นผิวมอเตอร์ ของ Air Knife</t>
  </si>
  <si>
    <t>P21-NTO-002EE</t>
  </si>
  <si>
    <t>วัดอุณภูมิพื้นผิวมอเตอร์ ของ Air Sweep</t>
  </si>
  <si>
    <t>P21-NTO-003EE</t>
  </si>
  <si>
    <t>วัดอุณภูมิพื้นผิวมอเตอร์ ของ PSSW Conveyor</t>
  </si>
  <si>
    <t>P21-NTO-004EE</t>
  </si>
  <si>
    <t>วัดอุณภูมิพื้นผิวมอเตอร์ ของ PSSW Fine Conveyor</t>
  </si>
  <si>
    <t>P21-NTO-005EE</t>
  </si>
  <si>
    <t>วัดอุณภูมิพื้นผิวมอเตอร์ ของ PSSW Fine Blower</t>
  </si>
  <si>
    <t>P21-NTO-006EE</t>
  </si>
  <si>
    <t>วัดอุณภูมิพื้นผิวมอเตอร์ ของ PSSW Water Pump</t>
  </si>
  <si>
    <t>P21-QCS-013EE</t>
  </si>
  <si>
    <t>P21-QC-EE</t>
  </si>
  <si>
    <t>P21-QCS-014EE</t>
  </si>
  <si>
    <t>P21-QCS-015EE</t>
  </si>
  <si>
    <t>P21-QCS-016EE</t>
  </si>
  <si>
    <t>ทำความสะอาดครีบ พัดลม และฝาครอบมอเตอร์ ของ PSSW Fine Conveyor</t>
  </si>
  <si>
    <t>P21-QCS-017EE</t>
  </si>
  <si>
    <t>ทำความสะอาดครีบ พัดลม และฝาครอบมอเตอร์ ของ PSSW Fine Blower</t>
  </si>
  <si>
    <t>P21-QCS-018EE</t>
  </si>
  <si>
    <t>P21-QIO-001EE</t>
  </si>
  <si>
    <t>P21-QI-EE</t>
  </si>
  <si>
    <t>ตรวจเช็คพารามิเตอร์ของ VFD ของ Air Knife</t>
  </si>
  <si>
    <t>P21-QIO-002EE</t>
  </si>
  <si>
    <t>ตรวจเช็คพารามิเตอร์ของ VFD ของ Air Sweep</t>
  </si>
  <si>
    <t>P21-QIO-003EE</t>
  </si>
  <si>
    <t>ตรวจเช็คพารามิเตอร์ของ VFD ของ PSSW Conveyor</t>
  </si>
  <si>
    <t>P21-QIO-004EE</t>
  </si>
  <si>
    <t>ตรวจเช็คพารามิเตอร์ของ VFD ของ PSSW Fine Conveyor</t>
  </si>
  <si>
    <t>P21-QIS-001EE</t>
  </si>
  <si>
    <t>ตรวจเช็คความต้านทานของมอเตอร์ ของ Air Knife</t>
  </si>
  <si>
    <t>P21-QIS-002EE</t>
  </si>
  <si>
    <t>ตรวจเช็คความต้านทานของมอเตอร์ ของ Air Sweep</t>
  </si>
  <si>
    <t>P21-QIS-003EE</t>
  </si>
  <si>
    <t>ตรวจเช็คความต้านทานของมอเตอร์ ของ PSSW Conveyor</t>
  </si>
  <si>
    <t>P21-QIS-004EE</t>
  </si>
  <si>
    <t>ตรวจเช็คความต้านทานของมอเตอร์ ของ PSSW Fine Conveyor</t>
  </si>
  <si>
    <t>P21-QIS-005EE</t>
  </si>
  <si>
    <t>ตรวจเช็คความต้านทานของมอเตอร์ ของ PSSW Fine Blower</t>
  </si>
  <si>
    <t>P21-QIS-006EE</t>
  </si>
  <si>
    <t>ตรวจเช็คความต้านทานของมอเตอร์ ของ PSSW Water Pump</t>
  </si>
  <si>
    <t>P21-QIS-007EE</t>
  </si>
  <si>
    <t>ตรวจเช็คค่าความเป็นฉนวนของขดลวด ของ Air Knife</t>
  </si>
  <si>
    <t>P21-QIS-008EE</t>
  </si>
  <si>
    <t>ตรวจเช็คค่าความเป็นฉนวนของขดลวด ของ Air Sweep</t>
  </si>
  <si>
    <t>P21-QIS-009EE</t>
  </si>
  <si>
    <t>ตรวจเช็คค่าความเป็นฉนวนของขดลวด ของ PSSW Conveyor</t>
  </si>
  <si>
    <t>P21-QIS-010EE</t>
  </si>
  <si>
    <t>ตรวจเช็คค่าความเป็นฉนวนของขดลวด ของ PSSW Fine Conveyor</t>
  </si>
  <si>
    <t>P21-QIS-011EE</t>
  </si>
  <si>
    <t>ตรวจเช็คค่าความเป็นฉนวนของขดลวด ของ PSSW Fine Blower</t>
  </si>
  <si>
    <t>P21-QIS-012EE</t>
  </si>
  <si>
    <t>ตรวจเช็คค่าความเป็นฉนวนของขดลวด ของ PSSW Water Pump</t>
  </si>
  <si>
    <t>P22</t>
  </si>
  <si>
    <t>P22-WCS-001EE</t>
  </si>
  <si>
    <t>P22-FC-EE</t>
  </si>
  <si>
    <t>Fresh &amp; Used Oil Pump</t>
  </si>
  <si>
    <t>P22-FIO-001EE</t>
  </si>
  <si>
    <t>P22-FI-EE</t>
  </si>
  <si>
    <t>ตรวจเช็คกระแสไฟฟ้าทั้ง 3 เฟส ของ Fines Blower</t>
  </si>
  <si>
    <t>P22-FIO-002EE</t>
  </si>
  <si>
    <t>ตรวจเช็คกระแสไฟฟ้าทั้ง 3 เฟส ของ Fresh &amp; Used Oil Pump</t>
  </si>
  <si>
    <t>P22-FIO-003EE</t>
  </si>
  <si>
    <t>P22-FIO-004EE</t>
  </si>
  <si>
    <t>ตรวจเช็คกระแสไฟฟ้าทั้ง 3 เฟส ของ Catch Box Conveyor</t>
  </si>
  <si>
    <t>P22-FIO-005EE</t>
  </si>
  <si>
    <t>Oil Burner</t>
  </si>
  <si>
    <t>ตรวจเช็คกระแสไฟฟ้าทั้ง 3 เฟส ของ Oil Burner</t>
  </si>
  <si>
    <t>P22-FIO-006EE</t>
  </si>
  <si>
    <t>ตรวจเช็คกระแสไฟฟ้าทั้ง 3 เฟส ของ Oil Transfer Pump</t>
  </si>
  <si>
    <t>P22-FIO-007EE</t>
  </si>
  <si>
    <t>ตรวจเช็คกระแสไฟฟ้าทั้ง 3 เฟส ของ Burner</t>
  </si>
  <si>
    <t>P22-MIO-001EE</t>
  </si>
  <si>
    <t>P22-MI-EE</t>
  </si>
  <si>
    <t>P22-NIO-001EE</t>
  </si>
  <si>
    <t>P22-NI-EE</t>
  </si>
  <si>
    <t>P22-NIO-002EE</t>
  </si>
  <si>
    <t>ตรวจเช็คสภาพท่อร้อยสายไฟ ของ Fresh &amp; Used Oil Pump</t>
  </si>
  <si>
    <t>P22-NIO-003EE</t>
  </si>
  <si>
    <t>P22-NIO-004EE</t>
  </si>
  <si>
    <t>P22-NIO-005EE</t>
  </si>
  <si>
    <t>ตรวจเช็คสภาพท่อร้อยสายไฟ ของ Oil Burner</t>
  </si>
  <si>
    <t>P22-NIO-006EE</t>
  </si>
  <si>
    <t>P22-NIO-007EE</t>
  </si>
  <si>
    <t>P22-NIS-008EE</t>
  </si>
  <si>
    <t>P22-NI-EE2</t>
  </si>
  <si>
    <t>P22-NIS-009EE</t>
  </si>
  <si>
    <t>ตรวจเช็คสภาพ Terminal box ของ Fresh &amp; Used Oil Pump</t>
  </si>
  <si>
    <t>P22-NIS-010EE</t>
  </si>
  <si>
    <t>P22-NIS-011EE</t>
  </si>
  <si>
    <t>P22-NIS-012EE</t>
  </si>
  <si>
    <t>ตรวจเช็คสภาพ Terminal box ของ Oil Burner</t>
  </si>
  <si>
    <t>P22-NIS-013EE</t>
  </si>
  <si>
    <t>P22-NIS-014EE</t>
  </si>
  <si>
    <t>P22-NTO-001EE</t>
  </si>
  <si>
    <t>P22-NT-EE</t>
  </si>
  <si>
    <t>วัดอุณภูมิพื้นผิวมอเตอร์ ของ Fines Blower</t>
  </si>
  <si>
    <t>P22-NTO-002EE</t>
  </si>
  <si>
    <t>วัดอุณภูมิพื้นผิวมอเตอร์ ของ Fresh &amp; Used Oil Pump</t>
  </si>
  <si>
    <t>P22-NTO-003EE</t>
  </si>
  <si>
    <t>วัดอุณภูมิพื้นผิวมอเตอร์ ของ Main Oil Pump</t>
  </si>
  <si>
    <t>P22-NTO-004EE</t>
  </si>
  <si>
    <t>วัดอุณภูมิพื้นผิวมอเตอร์ ของ Catch Box Conveyor</t>
  </si>
  <si>
    <t>P22-NTO-005EE</t>
  </si>
  <si>
    <t>วัดอุณภูมิพื้นผิวมอเตอร์ ของ Oil Burner</t>
  </si>
  <si>
    <t>P22-NTO-006EE</t>
  </si>
  <si>
    <t>วัดอุณภูมิพื้นผิวมอเตอร์ ของ Oil Transfer Pump</t>
  </si>
  <si>
    <t>P22-NTO-007EE</t>
  </si>
  <si>
    <t>วัดอุณภูมิพื้นผิวมอเตอร์ ของ Burner</t>
  </si>
  <si>
    <t>P22-QCS-015EE</t>
  </si>
  <si>
    <t>P22-QC-EE</t>
  </si>
  <si>
    <t>P22-QCS-016EE</t>
  </si>
  <si>
    <t>ทำความสะอาดครีบ พัดลม และฝาครอบมอเตอร์ ของ Fresh &amp; Used Oil Pump</t>
  </si>
  <si>
    <t>P22-QCS-017EE</t>
  </si>
  <si>
    <t>P22-QCS-018EE</t>
  </si>
  <si>
    <t>P22-QCS-019EE</t>
  </si>
  <si>
    <t>ทำความสะอาดครีบ พัดลม และฝาครอบมอเตอร์ ของ Oil Burner</t>
  </si>
  <si>
    <t>P22-QCS-020EE</t>
  </si>
  <si>
    <t>P22-QCS-021EE</t>
  </si>
  <si>
    <t>P22-QIO-001EE</t>
  </si>
  <si>
    <t>P22-QI-EE</t>
  </si>
  <si>
    <t>ตรวจเช็คพารามิเตอร์ของ VFD ของ Main Oil Pump</t>
  </si>
  <si>
    <t>P22-QIS-001EE</t>
  </si>
  <si>
    <t>ตรวจเช็คความต้านทานของมอเตอร์ ของ Fines Blower</t>
  </si>
  <si>
    <t>P22-QIS-002EE</t>
  </si>
  <si>
    <t>ตรวจเช็คความต้านทานของมอเตอร์ ของ Fresh &amp; Used Oil Pump</t>
  </si>
  <si>
    <t>P22-QIS-003EE</t>
  </si>
  <si>
    <t>ตรวจเช็คความต้านทานของมอเตอร์ ของ Main Oil Pump</t>
  </si>
  <si>
    <t>P22-QIS-004EE</t>
  </si>
  <si>
    <t>ตรวจเช็คความต้านทานของมอเตอร์ ของ Catch Box Conveyor</t>
  </si>
  <si>
    <t>P22-QIS-005EE</t>
  </si>
  <si>
    <t>ตรวจเช็คความต้านทานของมอเตอร์ ของ Oil Burner</t>
  </si>
  <si>
    <t>P22-QIS-006EE</t>
  </si>
  <si>
    <t>ตรวจเช็คความต้านทานของมอเตอร์ ของ Oil Transfer Pump</t>
  </si>
  <si>
    <t>P22-QIS-007EE</t>
  </si>
  <si>
    <t>ตรวจเช็คความต้านทานของมอเตอร์ ของ Burner</t>
  </si>
  <si>
    <t>P22-QIS-008EE</t>
  </si>
  <si>
    <t>ตรวจเช็คค่าความเป็นฉนวนของขดลวด ของ Fines Blower</t>
  </si>
  <si>
    <t>P22-QIS-009EE</t>
  </si>
  <si>
    <t>ตรวจเช็คค่าความเป็นฉนวนของขดลวด ของ Fresh &amp; Used Oil Pump</t>
  </si>
  <si>
    <t>P22-QIS-010EE</t>
  </si>
  <si>
    <t>ตรวจเช็คค่าความเป็นฉนวนของขดลวด ของ Main Oil Pump</t>
  </si>
  <si>
    <t>P22-QIS-011EE</t>
  </si>
  <si>
    <t>ตรวจเช็คค่าความเป็นฉนวนของขดลวด ของ Catch Box Conveyor</t>
  </si>
  <si>
    <t>P22-QIS-012EE</t>
  </si>
  <si>
    <t>ตรวจเช็คค่าความเป็นฉนวนของขดลวด ของ Oil Burner</t>
  </si>
  <si>
    <t>P22-QIS-013EE</t>
  </si>
  <si>
    <t>ตรวจเช็คค่าความเป็นฉนวนของขดลวด ของ Oil Transfer Pump</t>
  </si>
  <si>
    <t>P22-QIS-014EE</t>
  </si>
  <si>
    <t>ตรวจเช็คค่าความเป็นฉนวนของขดลวด ของ Burner</t>
  </si>
  <si>
    <t>P22-HI-001EE</t>
  </si>
  <si>
    <t>P22-HI-EE</t>
  </si>
  <si>
    <t>ตรวจสอบสภาพผนังเตาและตรวจสอบรอยรั่วของท่อไฟภายใน Heat Exchanger Burner</t>
  </si>
  <si>
    <t>P22-YBS-001EE</t>
  </si>
  <si>
    <t>P22-YCB-EE</t>
  </si>
  <si>
    <t>P23</t>
  </si>
  <si>
    <t>P23-FIO-001EE</t>
  </si>
  <si>
    <t>P23-FI-EE</t>
  </si>
  <si>
    <t>ตรวจเช็คกระแสไฟฟ้าทั้ง 3 เฟส ของ OME Exhaust Fan</t>
  </si>
  <si>
    <t>Hood and Lifter</t>
  </si>
  <si>
    <t>P23-FIO-002EE</t>
  </si>
  <si>
    <t>ตรวจเช็คกระแสไฟฟ้าทั้ง 3 เฟส ของ Hood and Lifter</t>
  </si>
  <si>
    <t>Paddle Conveyor</t>
  </si>
  <si>
    <t>P23-FIO-003EE</t>
  </si>
  <si>
    <t>ตรวจเช็คกระแสไฟฟ้าทั้ง 3 เฟส ของ Paddle Conveyor</t>
  </si>
  <si>
    <t>Submerger Conveyor</t>
  </si>
  <si>
    <t>P23-FIO-004EE</t>
  </si>
  <si>
    <t>ตรวจเช็คกระแสไฟฟ้าทั้ง 3 เฟส ของ Submerger Conveyor</t>
  </si>
  <si>
    <t>P23-FIO-005EE</t>
  </si>
  <si>
    <t>ตรวจเช็คกระแสไฟฟ้าทั้ง 3 เฟส ของ Fryer Take-Out Conveyor</t>
  </si>
  <si>
    <t>P23-NIO-001EE</t>
  </si>
  <si>
    <t>P23-NI-EE</t>
  </si>
  <si>
    <t>P23-NIO-002EE</t>
  </si>
  <si>
    <t>ตรวจเช็คสภาพท่อร้อยสายไฟ ของ Hood and Lifter</t>
  </si>
  <si>
    <t>P23-NIO-003EE</t>
  </si>
  <si>
    <t>ตรวจเช็คสภาพท่อร้อยสายไฟ ของ Paddle Conveyor</t>
  </si>
  <si>
    <t>P23-NIO-004EE</t>
  </si>
  <si>
    <t>ตรวจเช็คสภาพท่อร้อยสายไฟ ของ Submerger Conveyor</t>
  </si>
  <si>
    <t>P23-NIO-005EE</t>
  </si>
  <si>
    <t>P23-NIS-006EE</t>
  </si>
  <si>
    <t>P23-NI-EE2</t>
  </si>
  <si>
    <t>P23-NIS-007EE</t>
  </si>
  <si>
    <t>ตรวจเช็คสภาพ Terminal box ของ Hood and Lifter</t>
  </si>
  <si>
    <t>P23-NIS-008EE</t>
  </si>
  <si>
    <t>ตรวจเช็คสภาพ Terminal box ของ Paddle Conveyor</t>
  </si>
  <si>
    <t>P23-NIS-009EE</t>
  </si>
  <si>
    <t>ตรวจเช็คสภาพ Terminal box ของ Submerger Conveyor</t>
  </si>
  <si>
    <t>P23-NIS-010EE</t>
  </si>
  <si>
    <t>P23-NTO-001EE</t>
  </si>
  <si>
    <t>P23-NT-EE</t>
  </si>
  <si>
    <t>วัดอุณภูมิพื้นผิวมอเตอร์ ของ OME Exhaust Fan</t>
  </si>
  <si>
    <t>P23-NTO-002EE</t>
  </si>
  <si>
    <t>วัดอุณภูมิพื้นผิวมอเตอร์ ของ Hood and Lifter</t>
  </si>
  <si>
    <t>P23-NTO-003EE</t>
  </si>
  <si>
    <t>วัดอุณภูมิพื้นผิวมอเตอร์ ของ Paddle Conveyor</t>
  </si>
  <si>
    <t>P23-NTO-004EE</t>
  </si>
  <si>
    <t>วัดอุณภูมิพื้นผิวมอเตอร์ ของ Submerger Conveyor</t>
  </si>
  <si>
    <t>P23-NTO-005EE</t>
  </si>
  <si>
    <t>วัดอุณภูมิพื้นผิวมอเตอร์ ของ Fryer Take-Out Conveyor</t>
  </si>
  <si>
    <t>P23-QCS-001EE</t>
  </si>
  <si>
    <t>P23-QC-EE</t>
  </si>
  <si>
    <t>P23-QCS-002EE</t>
  </si>
  <si>
    <t>ทำความสะอาดครีบ พัดลม และฝาครอบมอเตอร์ ของ Hood and Lifter</t>
  </si>
  <si>
    <t>P23-QCS-003EE</t>
  </si>
  <si>
    <t>ทำความสะอาดครีบ พัดลม และฝาครอบมอเตอร์ ของ Paddle Conveyor</t>
  </si>
  <si>
    <t>P23-QCS-004EE</t>
  </si>
  <si>
    <t>ทำความสะอาดครีบ พัดลม และฝาครอบมอเตอร์ ของ Submerger Conveyor</t>
  </si>
  <si>
    <t>P23-QCS-005EE</t>
  </si>
  <si>
    <t>P23-QIO-001EE</t>
  </si>
  <si>
    <t>P23-QI-EE</t>
  </si>
  <si>
    <t>ตรวจเช็คพารามิเตอร์ของ VFD ของ OME Exhaust Fan</t>
  </si>
  <si>
    <t>P23-QIO-002EE</t>
  </si>
  <si>
    <t>ตรวจเช็คพารามิเตอร์ของ VFD ของ Submerger Conveyor</t>
  </si>
  <si>
    <t>P23-QIO-003EE</t>
  </si>
  <si>
    <t>ตรวจเช็คพารามิเตอร์ของ VFD ของ Fryer Take-Out Conveyor</t>
  </si>
  <si>
    <t>P23-QIS-001EE</t>
  </si>
  <si>
    <t>ตรวจเช็คความต้านทานของมอเตอร์ ของ OME Exhaust Fan</t>
  </si>
  <si>
    <t>P23-QIS-002EE</t>
  </si>
  <si>
    <t>ตรวจเช็คความต้านทานของมอเตอร์ ของ Hood and Lifter</t>
  </si>
  <si>
    <t>P23-QIS-003EE</t>
  </si>
  <si>
    <t>ตรวจเช็คความต้านทานของมอเตอร์ ของ Paddle Conveyor</t>
  </si>
  <si>
    <t>P23-QIS-004EE</t>
  </si>
  <si>
    <t>ตรวจเช็คความต้านทานของมอเตอร์ ของ Submerger Conveyor</t>
  </si>
  <si>
    <t>P23-QIS-005EE</t>
  </si>
  <si>
    <t>ตรวจเช็คความต้านทานของมอเตอร์ ของ Fryer Take-Out Conveyor</t>
  </si>
  <si>
    <t>P23-QIS-006EE</t>
  </si>
  <si>
    <t>ตรวจเช็คค่าความเป็นฉนวนของขดลวด ของ OME Exhaust Fan</t>
  </si>
  <si>
    <t>P23-QIS-007EE</t>
  </si>
  <si>
    <t>ตรวจเช็คค่าความเป็นฉนวนของขดลวด ของ Hood and Lifter</t>
  </si>
  <si>
    <t>P23-QIS-008EE</t>
  </si>
  <si>
    <t>ตรวจเช็คค่าความเป็นฉนวนของขดลวด ของ Paddle Conveyor</t>
  </si>
  <si>
    <t>P23-QIS-009EE</t>
  </si>
  <si>
    <t>ตรวจเช็คค่าความเป็นฉนวนของขดลวด ของ Submerger Conveyor</t>
  </si>
  <si>
    <t>P23-QIS-010EE</t>
  </si>
  <si>
    <t>ตรวจเช็คค่าความเป็นฉนวนของขดลวด ของ Fryer Take-Out Conveyor</t>
  </si>
  <si>
    <t>P24</t>
  </si>
  <si>
    <t>Moisture Monitor Conveyor</t>
  </si>
  <si>
    <t>P24-FIO-001EE</t>
  </si>
  <si>
    <t>P24-FI-EE</t>
  </si>
  <si>
    <t>ตรวจเช็คกระแสไฟฟ้าทั้ง 3 เฟส ของ Moisture Monitor Conveyor</t>
  </si>
  <si>
    <t>P24-FIO-002EE</t>
  </si>
  <si>
    <t>ตรวจเช็คกระแสไฟฟ้าทั้ง 3 เฟส ของ FL710</t>
  </si>
  <si>
    <t>Flowright Vibrating Conveyor #1 (OPTYX infeed)</t>
  </si>
  <si>
    <t>P24-FIO-003EE</t>
  </si>
  <si>
    <t>OPTYX Infeed Vibrating Conveyor</t>
  </si>
  <si>
    <t>ตรวจเช็คกระแสไฟฟ้าทั้ง 3 เฟส ของ OPTYX Infeed Vibrating Conveyor</t>
  </si>
  <si>
    <t>P24-FIO-004EE</t>
  </si>
  <si>
    <t>OPTYX Main Conveyor</t>
  </si>
  <si>
    <t>ตรวจเช็คกระแสไฟฟ้าทั้ง 3 เฟส ของ OPTYX Main Conveyor</t>
  </si>
  <si>
    <t>P24-FIO-005EE</t>
  </si>
  <si>
    <t>OPTYX Chiller Unit</t>
  </si>
  <si>
    <t>ตรวจเช็คกระแสไฟฟ้าทั้ง 3 เฟส ของ OPTYX Chiller Unit</t>
  </si>
  <si>
    <t>OPTYX Main Brush Roller</t>
  </si>
  <si>
    <t>P24-FIO-006EE</t>
  </si>
  <si>
    <t>Elevating Conveyor PC14</t>
  </si>
  <si>
    <t>ตรวจเช็คกระแสไฟฟ้าทั้ง 3 เฟส ของ Elevating Conveyor PC14</t>
  </si>
  <si>
    <t>P24-FCS-001EE</t>
  </si>
  <si>
    <t>P24-FC-EE</t>
  </si>
  <si>
    <t>ทำความสะอาด Air Filter ของ Air Filter Unit ที่เข้าหัววัด FL710</t>
  </si>
  <si>
    <t>OPTYX Defect Conveyor</t>
  </si>
  <si>
    <t>P24-FCS-002EE</t>
  </si>
  <si>
    <t>ทำความสะอาด Water Filter น้ำเย็นที่เข้า Lamp Module</t>
  </si>
  <si>
    <t>Flowright Vibrating Conveyor#2 (OPTYX outfeed)</t>
  </si>
  <si>
    <t>P24-MCS-001EE</t>
  </si>
  <si>
    <t>P24-MC-EE</t>
  </si>
  <si>
    <t xml:space="preserve"> OPTYX Chiller Unit</t>
  </si>
  <si>
    <t>เปลี่ยนน้ำ Chilled Water เครื่องทำน้ำเย็นใหม่</t>
  </si>
  <si>
    <t>P24-MCS-002EE</t>
  </si>
  <si>
    <t>ทำความสะอาด coil น้ำร้อนด้วยน้ำยา Totaline</t>
  </si>
  <si>
    <t>P24-NIO-001EE</t>
  </si>
  <si>
    <t>P24-NI-EE</t>
  </si>
  <si>
    <t>ตรวจเช็คสภาพท่อร้อยสายไฟ ของ Moisture Monitor Conveyor</t>
  </si>
  <si>
    <t>P24-NIO-002EE</t>
  </si>
  <si>
    <t>ตรวจเช็คสภาพท่อร้อยสายไฟ ของ FL710</t>
  </si>
  <si>
    <t>P24-NIO-003EE</t>
  </si>
  <si>
    <t>ตรวจเช็คสภาพท่อร้อยสายไฟ ของ OPTYX Infeed Vibrating Conveyor</t>
  </si>
  <si>
    <t>P24-NIO-004EE</t>
  </si>
  <si>
    <t>ตรวจเช็คสภาพท่อร้อยสายไฟ ของ OPTYX Main Conveyor</t>
  </si>
  <si>
    <t>P24-NIO-005EE</t>
  </si>
  <si>
    <t>ตรวจเช็คสภาพท่อร้อยสายไฟ ของ OPTYX Chiller Unit</t>
  </si>
  <si>
    <t>P24-NIO-006EE</t>
  </si>
  <si>
    <t>ตรวจเช็คสภาพท่อร้อยสายไฟ ของ Elevating Conveyor PC14</t>
  </si>
  <si>
    <t>P24-NIS-019EE</t>
  </si>
  <si>
    <t>P24-NI-EE2</t>
  </si>
  <si>
    <t>ตรวจเช็คสภาพ Terminal box ของ Moisture Monitor Conveyor</t>
  </si>
  <si>
    <t>P24-NIS-020EE</t>
  </si>
  <si>
    <t>ตรวจเช็คสภาพ Terminal box ของ FL710</t>
  </si>
  <si>
    <t>P24-NIS-021EE</t>
  </si>
  <si>
    <t>ตรวจเช็คสภาพ Terminal box ของ OPTYX Infeed Vibrating Conveyor</t>
  </si>
  <si>
    <t>P24-NIS-022EE</t>
  </si>
  <si>
    <t>ตรวจเช็คสภาพ Terminal box ของ OPTYX Main Conveyor</t>
  </si>
  <si>
    <t>P24-NIS-023EE</t>
  </si>
  <si>
    <t>ตรวจเช็คสภาพ Terminal box ของ OPTYX Chiller Unit</t>
  </si>
  <si>
    <t>P24-NIS-024EE</t>
  </si>
  <si>
    <t>ตรวจเช็คสภาพ Terminal box ของ Elevating Conveyor PC14</t>
  </si>
  <si>
    <t>P24-NTO-001EE</t>
  </si>
  <si>
    <t>P24-NT-EE</t>
  </si>
  <si>
    <t>วัดอุณภูมิพื้นผิวมอเตอร์ ของ Moisture Monitor Conveyor</t>
  </si>
  <si>
    <t>P24-NTO-002EE</t>
  </si>
  <si>
    <t>วัดอุณภูมิพื้นผิวมอเตอร์ ของ FL710</t>
  </si>
  <si>
    <t>P24-NTO-003EE</t>
  </si>
  <si>
    <t>วัดอุณภูมิพื้นผิวมอเตอร์ ของ OPTYX Infeed Vibrating Conveyor</t>
  </si>
  <si>
    <t>P24-NTO-004EE</t>
  </si>
  <si>
    <t>วัดอุณภูมิพื้นผิวมอเตอร์ ของ OPTYX Main Conveyor</t>
  </si>
  <si>
    <t>P24-NTO-005EE</t>
  </si>
  <si>
    <t>วัดอุณภูมิพื้นผิวมอเตอร์ ของ OPTYX Chiller Unit</t>
  </si>
  <si>
    <t>P24-NTO-006EE</t>
  </si>
  <si>
    <t>วัดอุณภูมิพื้นผิวมอเตอร์ ของ Elevating Conveyor PC14</t>
  </si>
  <si>
    <t>P24-QCS-013EE</t>
  </si>
  <si>
    <t>P24-QC-EE</t>
  </si>
  <si>
    <t>Moisture Monitor Conveyo</t>
  </si>
  <si>
    <t>ทำความสะอาดครีบ พัดลม และฝาครอบมอเตอร์ ของ Moisture Monitor Conveyo</t>
  </si>
  <si>
    <t>P24-QCS-014EE</t>
  </si>
  <si>
    <t>ทำความสะอาดครีบ พัดลม และฝาครอบมอเตอร์ ของ FL710</t>
  </si>
  <si>
    <t>P24-QCS-015EE</t>
  </si>
  <si>
    <t>ทำความสะอาดครีบ พัดลม และฝาครอบมอเตอร์ ของ OPTYX Infeed Vibrating Conveyor</t>
  </si>
  <si>
    <t>P24-QCS-016EE</t>
  </si>
  <si>
    <t>ทำความสะอาดครีบ พัดลม และฝาครอบมอเตอร์ ของ OPTYX Main Conveyor</t>
  </si>
  <si>
    <t>P24-QCS-017EE</t>
  </si>
  <si>
    <t>ทำความสะอาดครีบ พัดลม และฝาครอบมอเตอร์ ของ OPTYX Chiller Unit</t>
  </si>
  <si>
    <t>P24-QCS-018EE</t>
  </si>
  <si>
    <t>ทำความสะอาดครีบ พัดลม และฝาครอบมอเตอร์ ของ Elevating Conveyor PC14</t>
  </si>
  <si>
    <t>SE0</t>
  </si>
  <si>
    <t>SE0-FI-EE</t>
  </si>
  <si>
    <t>ตรวจเช็คกระแสไฟฟ้าทั้ง 3 เฟส ของ Batch Mixer</t>
  </si>
  <si>
    <t>SE0-MI-EE</t>
  </si>
  <si>
    <t>Vertical Screw Conveyor</t>
  </si>
  <si>
    <t>ตรวจเช็คสภาพท่อร้อยสายไฟ ของ Vertical Screw Conveyor</t>
  </si>
  <si>
    <t>Dosing #1</t>
  </si>
  <si>
    <t>Dosing #2</t>
  </si>
  <si>
    <t>ตรวจเช็คสภาพท่อร้อยสายไฟ ของ Dosing #1</t>
  </si>
  <si>
    <t>ตรวจเช็คสภาพท่อร้อยสายไฟ ของ Dosing #2</t>
  </si>
  <si>
    <t>ตรวจเช็คสภาพ Terminal box ของ Vertical Screw Conveyor</t>
  </si>
  <si>
    <t>ตรวจเช็คสภาพ Terminal box ของ Dosing #1</t>
  </si>
  <si>
    <t>ตรวจเช็คสภาพ Terminal box ของ Dosing #2</t>
  </si>
  <si>
    <t>SE0-NC-EE</t>
  </si>
  <si>
    <t>ทำความสะอาดครีบ พัดลม และฝาครอบมอเตอร์ ของ Vertical Screw Conveyor</t>
  </si>
  <si>
    <t>ทำความสะอาดครีบ พัดลม และฝาครอบมอเตอร์ ของ Stirrer</t>
  </si>
  <si>
    <t>ทำความสะอาดครีบ พัดลม และฝาครอบมอเตอร์ ของ Dosing #1</t>
  </si>
  <si>
    <t>ทำความสะอาดครีบ พัดลม และฝาครอบมอเตอร์ ของ Dosing #2</t>
  </si>
  <si>
    <t>SE1</t>
  </si>
  <si>
    <t>SE1-FI-EE</t>
  </si>
  <si>
    <t>Chilled Water Unit</t>
  </si>
  <si>
    <t>SE1-MC-EE</t>
  </si>
  <si>
    <t>SE1-MI-EE</t>
  </si>
  <si>
    <t>Slurry Pump #1</t>
  </si>
  <si>
    <t>Slurry Pump #2</t>
  </si>
  <si>
    <t>Slurry Pump #3</t>
  </si>
  <si>
    <t>Slurry Pump #4</t>
  </si>
  <si>
    <t>ตรวจเช็คสภาพท่อร้อยสายไฟ ของ Slurry Pump #1</t>
  </si>
  <si>
    <t>Slurry Pump #5</t>
  </si>
  <si>
    <t>ตรวจเช็คสภาพท่อร้อยสายไฟ ของ Slurry Pump #2</t>
  </si>
  <si>
    <t>Slurry Pump #6</t>
  </si>
  <si>
    <t>ตรวจเช็คสภาพท่อร้อยสายไฟ ของ Slurry Pump #3</t>
  </si>
  <si>
    <t>ตรวจเช็คสภาพท่อร้อยสายไฟ ของ Slurry Pump #4</t>
  </si>
  <si>
    <t>ตรวจเช็คสภาพท่อร้อยสายไฟ ของ Slurry Pump #5</t>
  </si>
  <si>
    <t>ตรวจเช็คสภาพท่อร้อยสายไฟ ของ Slurry Pump #6</t>
  </si>
  <si>
    <t>ตรวจเช็คสภาพท่อร้อยสายไฟ ของ Chilled Water Unit</t>
  </si>
  <si>
    <t>ตรวจเช็คสภาพ Terminal box ของ Slurry Pump #1</t>
  </si>
  <si>
    <t>ตรวจเช็คสภาพ Terminal box ของ Slurry Pump #2</t>
  </si>
  <si>
    <t>ตรวจเช็คสภาพ Terminal box ของ Slurry Pump #3</t>
  </si>
  <si>
    <t>ตรวจเช็คสภาพ Terminal box ของ Slurry Pump #4</t>
  </si>
  <si>
    <t>ตรวจเช็คสภาพ Terminal box ของ Slurry Pump #5</t>
  </si>
  <si>
    <t>ตรวจเช็คสภาพ Terminal box ของ Slurry Pump #6</t>
  </si>
  <si>
    <t>ตรวจเช็คสภาพ Terminal box ของ Chilled Water Unit</t>
  </si>
  <si>
    <t>SE1-NI-EE</t>
  </si>
  <si>
    <t>ตรวจเช็คปริมาณสารทำความเย็นในระบบด้วย Manifold gauge</t>
  </si>
  <si>
    <t>SE1-NC-EE</t>
  </si>
  <si>
    <t>ทำความสะอาดครีบ พัดลม และฝาครอบมอเตอร์ ของ Slurry Pump #1</t>
  </si>
  <si>
    <t>ทำความสะอาดครีบ พัดลม และฝาครอบมอเตอร์ ของ Slurry Pump #2</t>
  </si>
  <si>
    <t>ทำความสะอาดครีบ พัดลม และฝาครอบมอเตอร์ ของ Slurry Pump #3</t>
  </si>
  <si>
    <t>ทำความสะอาดครีบ พัดลม และฝาครอบมอเตอร์ ของ Slurry Pump #4</t>
  </si>
  <si>
    <t>ทำความสะอาดครีบ พัดลม และฝาครอบมอเตอร์ ของ Slurry Pump #5</t>
  </si>
  <si>
    <t>ทำความสะอาดครีบ พัดลม และฝาครอบมอเตอร์ ของ Slurry Pump #6</t>
  </si>
  <si>
    <t>ทำความสะอาดครีบ พัดลม และฝาครอบมอเตอร์ ของ Chilled Water Unit</t>
  </si>
  <si>
    <t>SE2</t>
  </si>
  <si>
    <t>SE2-FI-EE</t>
  </si>
  <si>
    <t>ตรวจเช็คกระแสไฟฟ้าทั้ง 3 เฟส ของ Extruder</t>
  </si>
  <si>
    <t>SE2-MC-EE</t>
  </si>
  <si>
    <t xml:space="preserve">Control Cabinet Air Conditioner </t>
  </si>
  <si>
    <t>ทำความสะอาด Condensing unit ด้วยน้ำเปล่า (ทุกๆ 1 เดือน)</t>
  </si>
  <si>
    <t>SE2-MI-EE</t>
  </si>
  <si>
    <t>SE2-NI-EE</t>
  </si>
  <si>
    <t>ตรวจเช็คปริมาณสารทำความเย็นในระบบด้วย Manifold gauge (ทุกๆ 2 เดือน)</t>
  </si>
  <si>
    <t>SE2-NC-EE</t>
  </si>
  <si>
    <t>SE2-HCB-EE</t>
  </si>
  <si>
    <t>SE2-HC-EE</t>
  </si>
  <si>
    <t>SE2-YI-EE</t>
  </si>
  <si>
    <t>SE3</t>
  </si>
  <si>
    <t>SE3-MI-EE</t>
  </si>
  <si>
    <t>ตรวจเช็คสภาพท่อร้อยสายไฟ ของ Shaper Cutter</t>
  </si>
  <si>
    <t>Cutter Blower</t>
  </si>
  <si>
    <t>ตรวจเช็คสภาพท่อร้อยสายไฟ ของ Cutter Blower</t>
  </si>
  <si>
    <t>ตรวจเช็คสภาพท่อร้อยสายไฟ ของ Incline Conveyor #1(Blue)</t>
  </si>
  <si>
    <t>ตรวจเช็คสภาพท่อร้อยสายไฟ ของ Incline Conveyor #2 (Blue)</t>
  </si>
  <si>
    <t>ตรวจเช็คสภาพท่อร้อยสายไฟ ของ Mobile Conveyor</t>
  </si>
  <si>
    <t>Infeed Oven Vibrating conveyor</t>
  </si>
  <si>
    <t>ตรวจเช็คสภาพท่อร้อยสายไฟ ของ Infeed Oven Vibrating conveyor</t>
  </si>
  <si>
    <t>ตรวจเช็คสภาพ Terminal box ของ Cutter Blower</t>
  </si>
  <si>
    <t>ตรวจเช็คสภาพ Terminal box ของ Incline Conveyor #1(Blue)</t>
  </si>
  <si>
    <t>ตรวจเช็คสภาพ Terminal box ของ Incline Conveyor #2 (Blue)</t>
  </si>
  <si>
    <t>ตรวจเช็คสภาพ Terminal box ของ Mobile Conveyor</t>
  </si>
  <si>
    <t>ตรวจเช็คสภาพ Terminal box ของ Oven Infeed Incline ConveyorOven Infeed Incline Conveyor</t>
  </si>
  <si>
    <t>ตรวจเช็คสภาพ Terminal box ของ Infeed Oven Vibrating conveyor</t>
  </si>
  <si>
    <t>SE3-NC-EE</t>
  </si>
  <si>
    <t>ทำความสะอาดครีบ พัดลม และฝาครอบมอเตอร์ ของ Cutter Blower</t>
  </si>
  <si>
    <t>ทำความสะอาดครีบ พัดลม และฝาครอบมอเตอร์ ของ Incline Conveyor #1(Blue)</t>
  </si>
  <si>
    <t>ทำความสะอาดครีบ พัดลม และฝาครอบมอเตอร์ ของ Incline Conveyor #2 (Blue)</t>
  </si>
  <si>
    <t>ทำความสะอาดครีบ พัดลม และฝาครอบมอเตอร์ ของ Mobile Conveyor</t>
  </si>
  <si>
    <t>ทำความสะอาดครีบ พัดลม และฝาครอบมอเตอร์ ของ Infeed Oven Vibrating conveyor</t>
  </si>
  <si>
    <t>SE4</t>
  </si>
  <si>
    <t>SE4-WC-EE2</t>
  </si>
  <si>
    <t>งานทำความสะอาด Filter ของ Air ตู้ไฟฟ้า Oven</t>
  </si>
  <si>
    <t>SE4-FC-EE2</t>
  </si>
  <si>
    <t>ทำความสะอาดหัว Burner และใบพัดลมของ Blower และ Burner</t>
  </si>
  <si>
    <t>Oven Circulation Fan #1</t>
  </si>
  <si>
    <t>SE4-FI-EE</t>
  </si>
  <si>
    <t>ตรวจเช็คกระแสไฟฟ้าทั้ง 3 เฟส ของ Oven Circulation Fan #1</t>
  </si>
  <si>
    <t>Oven Circulation Fan #2</t>
  </si>
  <si>
    <t>ตรวจเช็คกระแสไฟฟ้าทั้ง 3 เฟส ของ Oven Circulation Fan #2</t>
  </si>
  <si>
    <t>SE4-MI-EE</t>
  </si>
  <si>
    <t>ตรวจเช็คสภาพท่อร้อยสายไฟ ของ Oven Circulation Fan #1</t>
  </si>
  <si>
    <t>Oven Outfeed Cross Conveyor</t>
  </si>
  <si>
    <t>ตรวจเช็คสภาพท่อร้อยสายไฟ ของ Oven Circulation Fan #2</t>
  </si>
  <si>
    <t>ตรวจเช็คสภาพท่อร้อยสายไฟ ของ Oven Outfeed Cross Conveyor</t>
  </si>
  <si>
    <t>ตรวจเช็คสภาพ Terminal box ของ Oven Circulation Fan #1</t>
  </si>
  <si>
    <t>ตรวจเช็คสภาพ Terminal box ของ Oven Circulation Fan #2</t>
  </si>
  <si>
    <t>ตรวจเช็คสภาพ Terminal box ของ Oven Outfeed Cross Conveyor</t>
  </si>
  <si>
    <t>SE4-MI-EE2</t>
  </si>
  <si>
    <t>SE4-NC-EE</t>
  </si>
  <si>
    <t>ทำความสะอาดครีบ พัดลม และฝาครอบมอเตอร์ ของ Oven Circulation Fan #1</t>
  </si>
  <si>
    <t>ทำความสะอาดครีบ พัดลม และฝาครอบมอเตอร์ ของ Oven Circulation Fan #2</t>
  </si>
  <si>
    <t>ทำความสะอาดครีบ พัดลม และฝาครอบมอเตอร์ ของ Oven Outfeed Cross Conveyor</t>
  </si>
  <si>
    <t>SE4-HCB-EE</t>
  </si>
  <si>
    <t>SE4-HC-EE</t>
  </si>
  <si>
    <t>ทำความสะอาดครีบ Blower ของ Oven Exhaust Fan</t>
  </si>
  <si>
    <t>SE5</t>
  </si>
  <si>
    <t>SE5-MI-EE</t>
  </si>
  <si>
    <t>Hot water recircuration pump</t>
  </si>
  <si>
    <t>ตรวจเช็คสภาพท่อร้อยสายไฟ ของ Hot water recircuration pump</t>
  </si>
  <si>
    <t>Slurry Transfer Pump #1</t>
  </si>
  <si>
    <t>ตรวจเช็คสภาพท่อร้อยสายไฟ ของ Slurry Transfer Pump #1</t>
  </si>
  <si>
    <t>Slurry Transfer Pump #2</t>
  </si>
  <si>
    <t>ตรวจเช็คสภาพท่อร้อยสายไฟ ของ Slurry Transfer Pump #2</t>
  </si>
  <si>
    <t>ตรวจเช็คสภาพ Terminal box ของ Slurry Spray Pump</t>
  </si>
  <si>
    <t>ตรวจเช็คสภาพ Terminal box ของ Slurry Mixer #1</t>
  </si>
  <si>
    <t>ตรวจเช็คสภาพ Terminal box ของ Slurry Mixer #2</t>
  </si>
  <si>
    <t>ตรวจเช็คสภาพ Terminal box ของ Hot Water Tank</t>
  </si>
  <si>
    <t>ตรวจเช็คสภาพ Terminal box ของ Hot water recircuration pump</t>
  </si>
  <si>
    <t>ตรวจเช็คสภาพ Terminal box ของ Slurry Transfer Pump #1</t>
  </si>
  <si>
    <t>ตรวจเช็คสภาพ Terminal box ของ Slurry Transfer Pump #2</t>
  </si>
  <si>
    <t>SE5-NC-EE</t>
  </si>
  <si>
    <t>ทำความสะอาดครีบ พัดลม และฝาครอบมอเตอร์ ของ Hot water recircuration pump</t>
  </si>
  <si>
    <t>ทำความสะอาดครีบ พัดลม และฝาครอบมอเตอร์ ของ Slurry Transfer Pump #1</t>
  </si>
  <si>
    <t>ทำความสะอาดครีบ พัดลม และฝาครอบมอเตอร์ ของ Slurry Transfer Pump #2</t>
  </si>
  <si>
    <t>SE5-YCB-EE</t>
  </si>
  <si>
    <t>SE6</t>
  </si>
  <si>
    <t>Mobile Incline Conveyor (White)</t>
  </si>
  <si>
    <t>SE6-MI-EE</t>
  </si>
  <si>
    <t>ตรวจเช็คสภาพท่อร้อยสายไฟ ของ Mobile Incline Conveyor (White)</t>
  </si>
  <si>
    <t>Exhaust Fan</t>
  </si>
  <si>
    <t>ตรวจเช็คสภาพท่อร้อยสายไฟ ของ Exhaust Fan</t>
  </si>
  <si>
    <t>Elevating conveyor</t>
  </si>
  <si>
    <t>ตรวจเช็คสภาพท่อร้อยสายไฟ ของ Elevating conveyor</t>
  </si>
  <si>
    <t>ตรวจเช็คสภาพ Terminal box ของ Mobile Incline Conveyor (White)</t>
  </si>
  <si>
    <t>ตรวจเช็คสภาพ Terminal box ของ Sieve Conveyor</t>
  </si>
  <si>
    <t>ตรวจเช็คสภาพ Terminal box ของ Exhaust Fan</t>
  </si>
  <si>
    <t>ตรวจเช็คสภาพ Terminal box ของ Elevating conveyor</t>
  </si>
  <si>
    <t>SE6-NC-EE</t>
  </si>
  <si>
    <t>ทำความสะอาดครีบ พัดลม และฝาครอบมอเตอร์ ของ Mobile Incline Conveyor (White)</t>
  </si>
  <si>
    <t>ทำความสะอาดครีบ พัดลม และฝาครอบมอเตอร์ ของ Exhaust Fan</t>
  </si>
  <si>
    <t>ทำความสะอาดครีบ พัดลม และฝาครอบมอเตอร์ ของ Elevating conveyor</t>
  </si>
  <si>
    <t>BC0-WC-ME</t>
  </si>
  <si>
    <t>ทำความสะอาดถังกรองคาร์บอนด้วยการ Back Flush พร้อมจดค่า Meter น้ำ ก่อนทำ และหลังทำ</t>
  </si>
  <si>
    <t>BC0-FC-ME</t>
  </si>
  <si>
    <t>ทำความสะอาด Water Filter ขนาด 5 ไมครอน ให้สะอาด</t>
  </si>
  <si>
    <t>BC0-FI-ME</t>
  </si>
  <si>
    <t>ตรวจเช็คการรั่วของน้ำมันเกียร์ขับ Bucket Elevator#2</t>
  </si>
  <si>
    <t>ตรวจเช็คสภาพสายพานขับ V-Belt ของ Vertical Blender#2</t>
  </si>
  <si>
    <t>ตรวจเช็คสภาพทั่วไปของสายพานพาแป้งของ Bucket Elevator#1</t>
  </si>
  <si>
    <t>ตรวจเช็คสภาพทั่วไปของสายพานพาแป้งของ Bucket Elevator#2</t>
  </si>
  <si>
    <t>Sack Tips</t>
  </si>
  <si>
    <t>BC0-FL-ME</t>
  </si>
  <si>
    <t>อัดจาระบี Bearing Bucket Elevater#2 ทั้ง 5 จุด</t>
  </si>
  <si>
    <t>LUBRIPLATE Synxtreme FG-2</t>
  </si>
  <si>
    <t>003</t>
  </si>
  <si>
    <t>Floveyor#1</t>
  </si>
  <si>
    <t>อัดจาระบี Bearing บน-ล่างของ Vertical Blender#2 ทั้ง 2 จุด</t>
  </si>
  <si>
    <t>Floveyor#2</t>
  </si>
  <si>
    <t>BC0-FI-ME2</t>
  </si>
  <si>
    <t>ตรวจเช็คการรั่วของลมชุด Supply  Sack Tips</t>
  </si>
  <si>
    <t>Mixer</t>
  </si>
  <si>
    <t>Floveyor#1,2</t>
  </si>
  <si>
    <t>ตรวจเช็คการรั่วของลมชุด Supply  Floveyor #1,2</t>
  </si>
  <si>
    <t>ตรวจเช็คการรั่วของลมชุด Supply  Mixer</t>
  </si>
  <si>
    <t>Feed Screw</t>
  </si>
  <si>
    <t>ตรวจเช็คการรั่วของลมชุด  Supply Feed Screw</t>
  </si>
  <si>
    <t>BC0-FL-ME2</t>
  </si>
  <si>
    <t>อัดจาระบี Bearing Mixer</t>
  </si>
  <si>
    <t>033</t>
  </si>
  <si>
    <t>BC0-MI-ME2</t>
  </si>
  <si>
    <t>ตรวจเช็คสภาพทั่วไปพร้อมปรับตั้งปรับตั้งสายพาน Floveyor#1</t>
  </si>
  <si>
    <t>ตรวจเช็คสภาพทั่วไปพร้อมปรับตั้งปรับตั้งสายพาน Floveyor#2</t>
  </si>
  <si>
    <t>BC0-MI-ME</t>
  </si>
  <si>
    <t>ตรวจเช็คน็อตยึด Bucket ทุกตัวของ Bucket Elevator #2 (TW)</t>
  </si>
  <si>
    <t>BC0-MC-ME</t>
  </si>
  <si>
    <t xml:space="preserve">Dust Collector </t>
  </si>
  <si>
    <t xml:space="preserve">ตรวจเช็คสภาพ Filter พร้อมทำความสะอาด RotoClone </t>
  </si>
  <si>
    <t>BC0-QR-ME</t>
  </si>
  <si>
    <t>เปลี่ยน Water Filter ขนาด 5 ไมครอน</t>
  </si>
  <si>
    <t>DBT5-10"</t>
  </si>
  <si>
    <t>1 pcs</t>
  </si>
  <si>
    <t>BC0-HC-ME</t>
  </si>
  <si>
    <t>ล้างทำความสะอาดเมมเบรนด้วยสารเคมี</t>
  </si>
  <si>
    <t>BC0-HI-ME</t>
  </si>
  <si>
    <t>ส่งน้ำ RO ไปตรวจสอบคุณภาพที่ Lab</t>
  </si>
  <si>
    <t>013</t>
  </si>
  <si>
    <t>BC0-HL-ME</t>
  </si>
  <si>
    <t xml:space="preserve">เปลี่ยนน้ำมันเกียร์  Mixer </t>
  </si>
  <si>
    <t>เปลี่ยนน้ำมันเกียร์  Feed Screw</t>
  </si>
  <si>
    <t>BC1-FC-ME</t>
  </si>
  <si>
    <t>XO Extruder #1</t>
  </si>
  <si>
    <t>ทำความสะอาด Air Filter Air Condition ตู้ Inverter ขับมอเตอร์ Feed Screw MX-650 #1</t>
  </si>
  <si>
    <t>XO Extruder #2</t>
  </si>
  <si>
    <t>ทำความสะอาด Air Filter Air Condition ตู้ Inverter ขับมอเตอร์ Feed Screw MX-650 #2</t>
  </si>
  <si>
    <t>BC1-MA-ME</t>
  </si>
  <si>
    <t>ปรับตั้งความตึงหย่อนของสายพาน Take Out Conveyor#1</t>
  </si>
  <si>
    <t>ปรับตั้งความตึงหย่อนของสายพาน Take Out Conveyor#2</t>
  </si>
  <si>
    <t>ปรับตั้งความตึงหย่อนของสายพาน Take Out Conveyor#3</t>
  </si>
  <si>
    <t>BC1-MI-ME</t>
  </si>
  <si>
    <t>ตรวจเช็คระดับน้ำมันหล่อลื่น Bearing Feed Screw Shaft ที่ Sightglass MX-650 #1</t>
  </si>
  <si>
    <t>ตรวจเช็คการรั่วของน้ำมันหล่อลื่น Bearing Feed Screw MX-650 #1</t>
  </si>
  <si>
    <t>ตรวจเช็คสภาพและความตึงหย่อนของสายพานขับ Feed Screw MX-650 #2</t>
  </si>
  <si>
    <t>ตรวจเช็คระดับน้ำมันหล่อลื่น Bearing Feed Screw Shaft ที่ Sightglass MX-650 #2</t>
  </si>
  <si>
    <t>ตรวจเช็คการรั่วของน้ำมันหล่อลื่น Bearing Feed Screw MX-650 #2</t>
  </si>
  <si>
    <t>ตรวจเช็คสภาพสายพาน Take Out Conveyor Belt#1</t>
  </si>
  <si>
    <t>ตรวจเช็คความสึกหรอของเฟืองขับโซ่สายพาน Take Out Conveyor#1</t>
  </si>
  <si>
    <t>ตรวจเช็คสภาพสายพาน V-belt ขับด้าน Rotor ของ Extruder#1 ทั้ง 8 เส้น</t>
  </si>
  <si>
    <t>ตรวจเช็คสภาพสายพาน V-belt ขับด้าน Feed Screw ของ Extruder#1</t>
  </si>
  <si>
    <t>ตรวจเช็คสภาพสายพาน Take Out Conveyor Belt#2</t>
  </si>
  <si>
    <t>ตรวจเช็คความสึกหรอของเฟืองขับโซ่สายพาน Take Out Conveyor#2</t>
  </si>
  <si>
    <t>ตรวจเช็คสภาพสายพาน V-belt ขับด้าน Rotor ของ Extruder#2 ทั้ง 8 เส้น</t>
  </si>
  <si>
    <t>ตรวจเช็คสภาพสายพาน V-belt ขับด้าน Feed Screw ของ Extruder#2</t>
  </si>
  <si>
    <t>ตรวจเช็คสภาพสายพาน Take Out Conveyor Belt#3</t>
  </si>
  <si>
    <t>ตรวจเช็คความสึกหรอของเฟืองขับโซ่สายพาน Take Out Conveyor#3</t>
  </si>
  <si>
    <t>ตรวจเช็คสภาพสายพาน V-belt ขับด้าน Rotor ของ Extruder#3 ทั้ง 8 เส้น</t>
  </si>
  <si>
    <t>ตรวจเช็คสภาพสายพาน V-belt ขับด้าน Feed Screw ของ Extruder#3</t>
  </si>
  <si>
    <t>BC1-ML-ME</t>
  </si>
  <si>
    <t>อัดจาระบี Bearing Motor ขับ Feed Screw หน้า-หลัง ทั้ง 2 จุด MX-650 #1</t>
  </si>
  <si>
    <t>อัดจาระบี Bearing Motor ขับ Feed Screw หน้า-หลัง ทั้ง 2 จุด MX-650 #2</t>
  </si>
  <si>
    <t>อัดจาระบีหน้า-หลังของมอเตอร์ Main Drive Extruder#1</t>
  </si>
  <si>
    <t>อัดจาระบีมอเตอร์ขับ Feed Screw หน้า-หลัง ของ Extruder#1</t>
  </si>
  <si>
    <t>อัดจาระบีหน้า-หลังของมอเตอร์ Main Drive Extruder#2</t>
  </si>
  <si>
    <t>อัดจาระบีมอเตอร์ขับ Feed Screw หน้า-หลัง ของ Extruder#2</t>
  </si>
  <si>
    <t>อัดจาระบีหน้า-หลังของมอเตอร์ Main Drive Extruder#3</t>
  </si>
  <si>
    <t>อัดจาระบีมอเตอร์ขับ Feed Screw หน้า-หลัง ของ Extruder#3</t>
  </si>
  <si>
    <t>อัดจาระบี Bearing ของ Take-Out Conveyor #1 ทั้ง 4 ตัว</t>
  </si>
  <si>
    <t>อัดจาระบี Bearing ของ Take-Out Conveyor #2 ทั้ง 4 ตัว</t>
  </si>
  <si>
    <t>ฉีดสเปรย์หล่อลื่นโซ่ขับ Take Out Conveyor#1</t>
  </si>
  <si>
    <t>อัดจาระบี Bearing Take Out Conveyor#1 ทั้ง 6 จุด</t>
  </si>
  <si>
    <t>อัดจาระบี Bearing Frame ของชุดขับ Rotor Extruder#1 จำนวน 3 จุด</t>
  </si>
  <si>
    <t>ฉีดสเปรย์หล่อลื่นโซ่ขับ Take Out Conveyor#2</t>
  </si>
  <si>
    <t>อัดจาระบี Bearing Take Out Conveyor#2 ทั้ง 6 จุด</t>
  </si>
  <si>
    <t>อัดจาระบี Bearing Frame ของชุดขับ Rotor Extruder#2 จำนวน 3 จุด</t>
  </si>
  <si>
    <t>ฉีดสเปรย์หล่อลื่นโซ่ขับ Take Out Conveyor#3</t>
  </si>
  <si>
    <t>อัดจาระบี Bearing Take Out Conveyor#3 ทั้ง 6 จุด</t>
  </si>
  <si>
    <t>อัดจาระบี Bearing Frame ของชุดขับ Rotor Extruder#3 จำนวน 3 จุด</t>
  </si>
  <si>
    <t>BC1-MV-ME</t>
  </si>
  <si>
    <t>ตรวจวัดค่า Vibration Extruder #1 (TW)</t>
  </si>
  <si>
    <t>ตรวจวัดค่า Vibration Extruder #2 (TW)</t>
  </si>
  <si>
    <t>ตรวจวัดค่า Vibration Extruder #3 (TW)</t>
  </si>
  <si>
    <t>ตั้ง Alignment ของ Screw auger ของ TWT Extruder #1</t>
  </si>
  <si>
    <t>ตั้ง Alignment ของ Screw auger ของ TWT Extruder #2</t>
  </si>
  <si>
    <t>ตั้ง Alignment ของ Screw auger ของ TWT Extruder #3</t>
  </si>
  <si>
    <t>BC1-HL-ME</t>
  </si>
  <si>
    <t>เปลี่ยนน้ำมันเกียร์ Take Out Conveyor#1</t>
  </si>
  <si>
    <t>OMALA 220</t>
  </si>
  <si>
    <t>เปลี่ยนน้ำมันเกียร์ Take Out Conveyor#3</t>
  </si>
  <si>
    <t>เปลี่ยนน้ำมันหล่อลื่น Bearing Frame Feed Screw Ext#3</t>
  </si>
  <si>
    <t>OMALA 680</t>
  </si>
  <si>
    <t>BC2-FI-ME</t>
  </si>
  <si>
    <t>ตรวจเช็คการรั่วของน้ำมันที่เกียร์ Box ของรางสั่น</t>
  </si>
  <si>
    <t>BC2-FL-ME</t>
  </si>
  <si>
    <t xml:space="preserve">Accumulating Conveyor </t>
  </si>
  <si>
    <t>อัดจาระบี Bearing Accumulation Conveyor หน้า Extruder #1 ทั้ง 4 จุด</t>
  </si>
  <si>
    <t>อัดจาระบี Bearing Oven Infeed Incline Conveyor ทั้ง 4 จุด</t>
  </si>
  <si>
    <t>BC2-MI-ME</t>
  </si>
  <si>
    <t>ตรวจเช็คสภาพและความตึงหย่อนสายพาน Accumulation Conveyor #1</t>
  </si>
  <si>
    <t>ตรวจเช็คสภาพและความตึงหย่อนสายพาน Incline Conveyor</t>
  </si>
  <si>
    <t>ตรวจเช็คความตึงหย่อนและสภาพของสายพานขับ Gear Box รางสั่น</t>
  </si>
  <si>
    <t>BC2-HL-ME</t>
  </si>
  <si>
    <t>เปลี่ยนน้ำมันเกียร์ของมอเตอร์เกียร์ขับ Accumulation Conveyor #1</t>
  </si>
  <si>
    <t>เปลี่ยนน้ำมันเกียร์ของมอเตอร์เกียร์ขับ Incline Conveyor</t>
  </si>
  <si>
    <t>เปลี่ยนน้ำมันเกียร์ Box ของรางสั่นก่อนเข้า Oven</t>
  </si>
  <si>
    <t>DELVAC1 SAE5W-40</t>
  </si>
  <si>
    <t>BC2-HR-ME</t>
  </si>
  <si>
    <t>เปลี่ยน V- belt Oven Infeed Vibrating Conveyor</t>
  </si>
  <si>
    <t>XPA1030</t>
  </si>
  <si>
    <t>BC2-YR-ME</t>
  </si>
  <si>
    <t>เปลี่ยน Fiber spring ของ Oven Infeed Vibrating Conveyor</t>
  </si>
  <si>
    <t>BC3-FI-ME</t>
  </si>
  <si>
    <t>ตรวจเช็คสภาพสายพานขับเพลา Exhaust Fan Oven</t>
  </si>
  <si>
    <t>BC3-QC-ME</t>
  </si>
  <si>
    <t>ทำความสะอาด Air Filter ของ Burner Oven ทั้ง 2 ชุด</t>
  </si>
  <si>
    <t>BC3-ML-ME</t>
  </si>
  <si>
    <t>อัดจาระบี Bearing Fan Circulation ทั้ง 4 ตัว</t>
  </si>
  <si>
    <t>Gadus #2</t>
  </si>
  <si>
    <t>อัดจาระบี Bearing Main Conveyor Belt Oven ทั้ง 4 จุด</t>
  </si>
  <si>
    <t>อัดจาระบี Bearing Idler Roller ของสายพาน Main Belt Oven</t>
  </si>
  <si>
    <t>อัดจาระบี Bearing Drive Shaft ของ Exhaust Fan Blower</t>
  </si>
  <si>
    <t>BC3-HL-ME</t>
  </si>
  <si>
    <t>เปลี่ยนน้ำมันเกียร์มอเตอร์ Main Drive Oven</t>
  </si>
  <si>
    <t>BC4-FA-ME</t>
  </si>
  <si>
    <t>ปรับตั้งความตึงหย่อนของโซ่ขับ Tumbler Drum</t>
  </si>
  <si>
    <t>BC4-FI-ME</t>
  </si>
  <si>
    <t>ตรวจเช็คการสึกหรอของเฟืองขับ Tumbler Drum</t>
  </si>
  <si>
    <t>BC4-FL-ME</t>
  </si>
  <si>
    <t>อัดจาระบี Bearing ล้อของ Tumbler drum ทั้ง 4 จุด</t>
  </si>
  <si>
    <t>Slurry mixer #1</t>
  </si>
  <si>
    <t>ตรวจเช็คการรั่วของน้ำมันเกียร์ขับ Slurry mixer #1</t>
  </si>
  <si>
    <t>Slurry mixer #2</t>
  </si>
  <si>
    <t>ตรวจเช็คการรั่วของน้ำมันเกียร์ขับ Slurry mixer #2</t>
  </si>
  <si>
    <t>Hot water recirculation pump</t>
  </si>
  <si>
    <t>ตรวจเช็คการรั่วของ Mechanical seal</t>
  </si>
  <si>
    <t>BC4-QR-ME</t>
  </si>
  <si>
    <t>เปลี่ยนโซ่ขับของ SSN Tumbler Drum</t>
  </si>
  <si>
    <t>เปลี่ยนน้ำมันเกียร์ขับ Slurry mixer #1</t>
  </si>
  <si>
    <t>เปลี่ยนน้ำมันเกียร์ขับ Slurry mixer #2</t>
  </si>
  <si>
    <t>เปลี่ยนน้ำมันเกียร์ขับ Slurry spray pump</t>
  </si>
  <si>
    <t>BC4-HL-ME</t>
  </si>
  <si>
    <t>เปลี่ยนน้ำมันเกียร์ขับ Tumbler Drum  (Omala 680)</t>
  </si>
  <si>
    <t>BC5-FL-ME</t>
  </si>
  <si>
    <t>อัดจาระบี Bearing สายพาน Residence Conveyor ทั้ง 3 จุด</t>
  </si>
  <si>
    <t>อัดจาระบี Bearing สายพาน Elevating Conveyor ทั้ง 6 จุด</t>
  </si>
  <si>
    <t>Mobile Cross Conveyor</t>
  </si>
  <si>
    <t>อัดจาระบี Bearing สายพาน Mobile Cross Conveyor ทั้ง 4 จุด</t>
  </si>
  <si>
    <t>BC5-HL-ME</t>
  </si>
  <si>
    <t>เปลี่ยนน้ำมันเกียร์ขับสายพาน Residence Conveyor</t>
  </si>
  <si>
    <t>เปลี่ยนน้ำมันเกียร์ขับสายพาน Elevating Conveyor</t>
  </si>
  <si>
    <t>เปลี่ยนน้ำมันเกียร์ขับสายพาน Mobile Cross Conveyor</t>
  </si>
  <si>
    <t>SX4-FI-ME</t>
  </si>
  <si>
    <t>ตรวจเช็คสภาพทั่วไปของ seive conveyor</t>
  </si>
  <si>
    <t>ME</t>
  </si>
  <si>
    <t>FR0-FI-ME</t>
  </si>
  <si>
    <t>ตรวจเช็คความสึกหรอของ Timing Belt Product Spreader</t>
  </si>
  <si>
    <t>ตรวจเช็คความสึกหรอของสายพาน Weightbelt</t>
  </si>
  <si>
    <t>FR0-FL-ME</t>
  </si>
  <si>
    <t>อัดจาระบี Bearing Bulk Feeder Conveyor ทั้ง 6 จุด</t>
  </si>
  <si>
    <t>อัดจาระบี Bearing Incline Conveyor ทั้ง 6 จุด</t>
  </si>
  <si>
    <t>FR0-MI-ME</t>
  </si>
  <si>
    <t>ตรวจเช็คความสึกหรอของโซ่ และรางของ Bulk Handling Gantry Crane</t>
  </si>
  <si>
    <t>ตรวจเช็คความสึกหรอกและสภาพ bearing ของล้อรางเลื่อน</t>
  </si>
  <si>
    <t>ตรวจเช็คน๊อตยึดตัว Crane ทั้งหมด</t>
  </si>
  <si>
    <t>ตรวจเช็คสภาพสายไฟทั้งหมดของเครน</t>
  </si>
  <si>
    <t>ฉีดสเปรย์หล่อลื่นฟันเฟืองขับ Crane</t>
  </si>
  <si>
    <t>Foodmax Spray H1</t>
  </si>
  <si>
    <t>FR0-RR-ME</t>
  </si>
  <si>
    <t>เปลี่ยนชุดเกียร์ของ Pellet Agitator</t>
  </si>
  <si>
    <t>FR0-HL-ME</t>
  </si>
  <si>
    <t>เปลี่ยนน้ำมันเกียร์ Bulk Feeder Conveyor</t>
  </si>
  <si>
    <t>เปลี่ยนน้ำมันเกียร์ Incline Conveyor</t>
  </si>
  <si>
    <t>เปลี่ยนน้ำมันเกียร์ Pellet Agitator</t>
  </si>
  <si>
    <t>เปลี่ยนน้ำมันเกียร์ Pellet Spreader</t>
  </si>
  <si>
    <t>เปลี่ยนน้ำมันเกียร์ Weight belt Feeder Conveyor</t>
  </si>
  <si>
    <t>FR0-HR-ME</t>
  </si>
  <si>
    <t>เปลี่ยน Bearing Product Spreader ทั้ง 2 ตัว</t>
  </si>
  <si>
    <t>UC204 (SKF YAR 204-2F)</t>
  </si>
  <si>
    <t>2 pcs</t>
  </si>
  <si>
    <t>FR0-YR-ME</t>
  </si>
  <si>
    <t>เปลี่ยน Timing Belt ของ Product Speader</t>
  </si>
  <si>
    <t>022</t>
  </si>
  <si>
    <t>FR1-FL-ME</t>
  </si>
  <si>
    <t>อัดจาระบี Bearing Circulation Fan</t>
  </si>
  <si>
    <t>อัดจาระบี Bearing Oven Conveyor ทั้ง 14 จุด</t>
  </si>
  <si>
    <t>อัดจาระบี Bearing เพลาขับพัดลม Exhaust Fan</t>
  </si>
  <si>
    <t>FR1-MI-ME</t>
  </si>
  <si>
    <t>ตรวจเช็คความสึกหรอของสายพานขับ Fan Circulation</t>
  </si>
  <si>
    <t xml:space="preserve">ตรวจเช็คความสึกหรอของสายพานขับ Exhaust Fan </t>
  </si>
  <si>
    <t>FR1-HL-ME</t>
  </si>
  <si>
    <t>เปลี่ยนน้ำมันเกียร์ขับสายพาน Main Belt Conveyor</t>
  </si>
  <si>
    <t>FR2-WL-ME</t>
  </si>
  <si>
    <t>อัดจาระบี Bearing Submerger Conveyor ทุกตัว</t>
  </si>
  <si>
    <t>อัดจาระบี Bearing Take-Out Conveyor</t>
  </si>
  <si>
    <t>FR2-FI-ME</t>
  </si>
  <si>
    <t>ตรวจเช็คสภาพสายพานขับ OME Exhaust Fan ทั้ง 2 เส้น</t>
  </si>
  <si>
    <t>XPZ1120</t>
  </si>
  <si>
    <t>ตรวจเช็คสภาพสายพานขับ Air Cooling Fan ทั้ง 2 เส้น</t>
  </si>
  <si>
    <t>ตรวจเช็คความตึงหย่อนของโซ่ขับใน Fryer ทั้งหมด</t>
  </si>
  <si>
    <t>FR2-FL-ME</t>
  </si>
  <si>
    <t xml:space="preserve">อัดจาระบี Bearing OME Exhaust Fan </t>
  </si>
  <si>
    <t>อัดจาระบี Bearing Air Cooling Exhaust Fan</t>
  </si>
  <si>
    <t>อัดจาระบี Bearing Air Cooling Conveyor</t>
  </si>
  <si>
    <t>อัดจาระบี Bearing Reject Conveyor</t>
  </si>
  <si>
    <t>FR2-ML-ME</t>
  </si>
  <si>
    <t>อัดจาระบี bearing ชุดเพลาขับ Fryer Hood Lifter ทั้ง 9 จุด</t>
  </si>
  <si>
    <t>อัดจาระบี bearing หัวเสาชุด Fryer Hood Lifter ทั้ง 4 จุด</t>
  </si>
  <si>
    <t>ตรวจเช็คระดับน้ำมันเกียร์ Reject Conveyor</t>
  </si>
  <si>
    <t>ตรวจเช็คระดับน้ำมันเกียร์ Submerger Conveyor</t>
  </si>
  <si>
    <t>ตรวจเช็คระดับน้ำมันเกียร์ Air Cooling Conveyor</t>
  </si>
  <si>
    <t>ตรวจเช็คระดับน้ำมันเกียร์ Take Out Conveyor</t>
  </si>
  <si>
    <t>หยอดน้ำมัน Tellus 46 ที่เสา Fryer Hood Lifter</t>
  </si>
  <si>
    <t>TELLUS 46</t>
  </si>
  <si>
    <t>FR2-HR-ME2</t>
  </si>
  <si>
    <t>เปลี่ยน Bearing ของ Fryer Submerger ทั้งชุด</t>
  </si>
  <si>
    <t>เปลี่ยน Bearing ของ Fryer Take-Out Conveyor ทั้งชุด</t>
  </si>
  <si>
    <t>FR2-HL-ME</t>
  </si>
  <si>
    <t>เปลี่ยนน้ำมันเกียร์ Reject Conveyor</t>
  </si>
  <si>
    <t>เปลี่ยนน้ำมันเกียร์ Submerger Conveyor</t>
  </si>
  <si>
    <t>เปลี่ยนน้ำมันเกียร์ Air Cooling Conveyor</t>
  </si>
  <si>
    <t>เปลี่ยนน้ำมันเกียร์ Take Out Conveyor</t>
  </si>
  <si>
    <t>FR2-HR-ME</t>
  </si>
  <si>
    <t xml:space="preserve">เปลี่ยน Bearing OME Exhaust Fan </t>
  </si>
  <si>
    <t>เปลี่ยน Bearing Air Cooling Exhaust Fan</t>
  </si>
  <si>
    <t>FR2-YR-ME</t>
  </si>
  <si>
    <t>เปลี่ยน Bush Fryer Take Out Conveyor</t>
  </si>
  <si>
    <t>FR3-FI-ME</t>
  </si>
  <si>
    <t>ตรวจเช็คระดับน้ำมันหล่อลื่นห้อง Bearing MOP</t>
  </si>
  <si>
    <t>FR3-FL-ME</t>
  </si>
  <si>
    <t>อัดจาระบี Bearing Lip Seal MOP ทั้ง 2 จุด</t>
  </si>
  <si>
    <t>อัดจาระบี Bearing Catchbox ทั้ง 6 จุด</t>
  </si>
  <si>
    <t>FR3-MV-ME</t>
  </si>
  <si>
    <t>ตรวจวัดค่า Vibration Main Oil Pump</t>
  </si>
  <si>
    <t>FR3-QC-ME</t>
  </si>
  <si>
    <t>เปลี่ยน Inlet Air Filter ของ Fines Blower</t>
  </si>
  <si>
    <t>FR3-QL-ME</t>
  </si>
  <si>
    <t>เปลี่ยนน้ำมันหล่อลื่นห้อง Bearing MOP</t>
  </si>
  <si>
    <t>Mobil DTE heavy medium 68</t>
  </si>
  <si>
    <t>FR3-HL-ME</t>
  </si>
  <si>
    <t>เปลี่ยนน้ำมันเกียร์ Catchbox Conveyor</t>
  </si>
  <si>
    <t>FR3-HR-ME</t>
  </si>
  <si>
    <t>เปลี่ยน Bush ด้านล่าง และตัดต่อสายพานของ Fryer Catch Box Conveyor</t>
  </si>
  <si>
    <t>FR4-FC-ME</t>
  </si>
  <si>
    <t>ทำความสะอาด Air Filter ก่อนเข้าหัว FL710</t>
  </si>
  <si>
    <t>FR4-FI-ME</t>
  </si>
  <si>
    <t>ตรวจเช็ค Stroke ของรางสั่น</t>
  </si>
  <si>
    <t>ตรวจเช็คความสึกหรอของสปริงที่ฐานทั้ง 4 ตัว</t>
  </si>
  <si>
    <t>ตรวจเช็คสภาพสายพาน timing belt รางสั้น inspection conveyor</t>
  </si>
  <si>
    <t>FR4-FL-ME</t>
  </si>
  <si>
    <t>อัดจาระบี Bearing เพลาขับ Inspection Conveyor ทั้ง 4 ตัว</t>
  </si>
  <si>
    <t>FR4-YR-ME</t>
  </si>
  <si>
    <t xml:space="preserve">เปลี่ยน Drive Spring และ Vibratory Spring </t>
  </si>
  <si>
    <t>FR5-FI-ME</t>
  </si>
  <si>
    <t>Flavour Applicator</t>
  </si>
  <si>
    <t>ตรวจเช็ค Stroke การสั่นของ Scarf feeder</t>
  </si>
  <si>
    <t>FR5-FL-ME</t>
  </si>
  <si>
    <t>อัดจาระบี Bearing Tumbler Drum ทั้ง 4 จุด</t>
  </si>
  <si>
    <t>FR5-MI-ME</t>
  </si>
  <si>
    <t>ตรวจเช็คการรั่วที่เพลา Screw SSN Applicator</t>
  </si>
  <si>
    <t>Flavour Applicator#1</t>
  </si>
  <si>
    <t>FR5-MR-ME</t>
  </si>
  <si>
    <t>เปลี่ยนปะเก็นเชือก SSN Auger #1</t>
  </si>
  <si>
    <t>เปลี่ยนปะเก็นเชือก SSN Agitator #1</t>
  </si>
  <si>
    <t>FR5-HR-ME</t>
  </si>
  <si>
    <t>เปลี่ยนเกียร์ SSN Auger#1</t>
  </si>
  <si>
    <t>FR5-HR-ME2</t>
  </si>
  <si>
    <t xml:space="preserve">เปลี่ยน Bearing  ล้อเลื่อนแท่น scarf feeder                  </t>
  </si>
  <si>
    <t>FR5-YR-ME</t>
  </si>
  <si>
    <t>เปลี่ยนล้อประคอง Bearing SSN Tumbler Drum</t>
  </si>
  <si>
    <t>FR6-FI-ME</t>
  </si>
  <si>
    <t>ตรวจเช็คความตึงหย่อนของสายพาน Residence Conveyor</t>
  </si>
  <si>
    <t>ตรวจเช็คความตึงหย่อนของสายพาน Elevating Conveyor</t>
  </si>
  <si>
    <t>FR6-FL-ME</t>
  </si>
  <si>
    <t>อัดจาระบี Bearing สายพาน Residence Conveyor ทั้ง 4 จุด</t>
  </si>
  <si>
    <t>อัดจาระบี Bearing สายพาน Elevating Conveyor ทั้ง 4 จุด</t>
  </si>
  <si>
    <t>FR6-HL-ME</t>
  </si>
  <si>
    <t>MOBIL SHC630</t>
  </si>
  <si>
    <t>Grease / Lube / SP</t>
  </si>
  <si>
    <t>ment</t>
  </si>
  <si>
    <t>BCP Run Hr.</t>
  </si>
  <si>
    <t>Maintenance plan</t>
  </si>
  <si>
    <t>freq Hour</t>
  </si>
  <si>
    <t>SX0-FI-ME</t>
  </si>
  <si>
    <t>ตรวจเช็คการรั่วของแป้งจาก Raw Material Unloading Hopper</t>
  </si>
  <si>
    <t>ตรวจสอบการรั่วของแป้งที่ Flexible rubber gasket</t>
  </si>
  <si>
    <t>ตรวจสอบความดันของลมที่เข้า Air purge valve</t>
  </si>
  <si>
    <t>ตรวจเช็คการอุดตันของลมเป่าเพลาใบกวนใน Batch Mixer</t>
  </si>
  <si>
    <t>Horizontal Screw Conveyor</t>
  </si>
  <si>
    <t>ตรวจเช็คการรั่วของระบบลมและ Fitting/Valve ต่างๆ</t>
  </si>
  <si>
    <t>Metal Detector</t>
  </si>
  <si>
    <t>ตรวจเช็คการรั่วของแป้งจาก Vertical Screw Conveyor</t>
  </si>
  <si>
    <t>ตรวจเช็คการรั่วของแป้งจาก Mixed Ingredient Hopper</t>
  </si>
  <si>
    <t>ตรวจเช็คการรั่วของแป้งจาก Vertical Mixed Ingredient Hopper</t>
  </si>
  <si>
    <t>ตรวจเช็คการรั่วของน้ำมันเกียร์ขับ Stirrer</t>
  </si>
  <si>
    <t>ตรวจเช็คการรั่วของแป้งจาก Horizontal Screw Conveyor</t>
  </si>
  <si>
    <t>SX0-FL-ME</t>
  </si>
  <si>
    <t>อัดจาระบี Bearing Motor ขับ Batch Mixer 2 จุด</t>
  </si>
  <si>
    <t>อัดจาระบี Bearing 1 จุดที่เพลาขับ Stirrer</t>
  </si>
  <si>
    <t>อัดจาระบี Bearing ที่เพลาขับ Pipe Mixer</t>
  </si>
  <si>
    <t>SX0-MI-ME</t>
  </si>
  <si>
    <t>ตรวจสอบการทำงานของ Air purge valve</t>
  </si>
  <si>
    <t>ตรวจสอบสภาพและซีลยางของ Dust collector air filter</t>
  </si>
  <si>
    <t>SX0-NI-ME</t>
  </si>
  <si>
    <t>ตรวจเช็คการรั่วของน้ำมันเกียร์ dosing 1 โดยดูจาก sight glass</t>
  </si>
  <si>
    <t>ตรวจเช็คการรั่วของน้ำมันเกียร์ dosing 2 โดยดูจาก sight glass</t>
  </si>
  <si>
    <t>ตรวจเช็คสภาพใบกวนของ Batch Mixer</t>
  </si>
  <si>
    <t>SX0-HL-ME</t>
  </si>
  <si>
    <t>เปลี่ยนน้ำมันเกียร์ขับ Stirrer</t>
  </si>
  <si>
    <t>2.2 l</t>
  </si>
  <si>
    <t>เปลี่ยนน้ำมัน Gear ขับ Batch Mixer</t>
  </si>
  <si>
    <t>11.0 l</t>
  </si>
  <si>
    <t>SX0-HL-ME2</t>
  </si>
  <si>
    <t>เปลี่ยนน้ำมันเกียร์ขับของ Doser #1</t>
  </si>
  <si>
    <t>Bel-Ray No-Tox HD Oil 150 H1</t>
  </si>
  <si>
    <t>0.37 l</t>
  </si>
  <si>
    <t>เปลี่ยนน้ำมันเกียร์ขับของ Doser #2</t>
  </si>
  <si>
    <t>0.12 l</t>
  </si>
  <si>
    <t>SX1-FI-ME</t>
  </si>
  <si>
    <t>ตรวจเช็คการรั่วของ Water Dosing Pump</t>
  </si>
  <si>
    <t>ตรวจเช็ค Pressure Water Injection #1</t>
  </si>
  <si>
    <t>ตรวจเช็ค Pressure Water Injection #2</t>
  </si>
  <si>
    <t>ตรวจเช็คการรั่วของ seal ที่ชุดลูกสูบของ pump #1</t>
  </si>
  <si>
    <t>Slurry Pump #1-6</t>
  </si>
  <si>
    <t>ตรวจเช็คการรั่วของ seal ที่ชุดลูกสูบของ pump #2</t>
  </si>
  <si>
    <t>ตรวจเช็คระดับน้ำมันเกียร์ชุดเกียร์ต้องท่วม sight glass pump #1</t>
  </si>
  <si>
    <t>ตรวจเช็คระดับน้ำมันเกียร์ชุดเกียร์ต้องท่วม sight glass pump #2</t>
  </si>
  <si>
    <t>SX1-FI-ME2</t>
  </si>
  <si>
    <t>ตรวจเช็คการรั่วของ Slurry Pump #1</t>
  </si>
  <si>
    <t>ตรวจเช็คการรั่วของ Slurry Pump #2</t>
  </si>
  <si>
    <t>ตรวจเช็คการรั่วของ Slurry Pump #3</t>
  </si>
  <si>
    <t>ตรวจเช็คการรั่วของ Slurry Pump #4</t>
  </si>
  <si>
    <t>ตรวจเช็คการรั่วของ Slurry Pump #5</t>
  </si>
  <si>
    <t>ตรวจเช็คการรั่วของ Slurry Pump #6</t>
  </si>
  <si>
    <t>SX1-MC-ME</t>
  </si>
  <si>
    <t>Drain น้ำในถังพักของชุด Water dosing pump ทิ้ง</t>
  </si>
  <si>
    <t>SX1-HL-ME</t>
  </si>
  <si>
    <t>เปลี่ยนน้ำมันเกียร์ของ Water injection pump 1</t>
  </si>
  <si>
    <t>[LG000805] MOBIL Glygoyle 460 H1</t>
  </si>
  <si>
    <t>1.0 l</t>
  </si>
  <si>
    <t>เปลี่ยนน้ำมันเกียร์ของ Water injection pump 2</t>
  </si>
  <si>
    <t>SX1-YL-ME</t>
  </si>
  <si>
    <t>เปลี่ยนน้ำมันเกียร์ของ Slurry Pump #1</t>
  </si>
  <si>
    <t>เปลี่ยนน้ำมันเกียร์ของ Slurry Pump #2</t>
  </si>
  <si>
    <t>เปลี่ยนน้ำมันเกียร์ของ Slurry Pump #3</t>
  </si>
  <si>
    <t>เปลี่ยนน้ำมันเกียร์ของ Slurry Pump #4</t>
  </si>
  <si>
    <t>เปลี่ยนน้ำมันเกียร์ของ Slurry Pump #5</t>
  </si>
  <si>
    <t>เปลี่ยนน้ำมันเกียร์ของ Slurry Pump #6</t>
  </si>
  <si>
    <t xml:space="preserve">เปลี่ยนน้ำมันเกียร์ของ Agitator Slurry Mixer unit </t>
  </si>
  <si>
    <t>OMALA S4 WE 320</t>
  </si>
  <si>
    <t>เปลี่ยนน้ำมันเกียร์ของ Transfer pump Slurry Mixer unit</t>
  </si>
  <si>
    <t>SX2-FC-ME</t>
  </si>
  <si>
    <t>ทำความสะอาด หรือเปลี่ยน Inlet air filter</t>
  </si>
  <si>
    <t>SX2-FI-ME</t>
  </si>
  <si>
    <t>ตรวจเช็คสายพานขับพัดลมทั้ง 2 เส้น</t>
  </si>
  <si>
    <t>ตรวจเช็คการรั่วของน้ำมัน Lubrication Oil Pump</t>
  </si>
  <si>
    <t>ครึ่ง sight glass</t>
  </si>
  <si>
    <t>SX2-MI-ME</t>
  </si>
  <si>
    <t>ตรวจเช็ค ความตึง Belt ขับ Extruder 10 เส้น XPB 2650</t>
  </si>
  <si>
    <t>XPB 2650</t>
  </si>
  <si>
    <t>10 pcs</t>
  </si>
  <si>
    <t>SX2-MV-ME</t>
  </si>
  <si>
    <t>ตรวจวัดค่า Vibration Extruder</t>
  </si>
  <si>
    <t>SX2-ML-ME</t>
  </si>
  <si>
    <t>อัดจาระบี Servo Motor ของ Main Drive</t>
  </si>
  <si>
    <t>SX2-HL-ME</t>
  </si>
  <si>
    <t>เปลี่ยนน้ำมัน Lubrication Oil Pump</t>
  </si>
  <si>
    <t>Kluber 4UH1-220N</t>
  </si>
  <si>
    <t>16 l (เติม 13 ลิตร แล้วเปิด main switch หลังจากนั้น 30 นาที เมื่อน้ำมันเต็ม bearing housing เติมอีกประมาณ 3.8 ลิตร ปริมาณน้ำมันเมื่อเดินเครื่อง=1/2 ของ sight glass, ขณะหยุดเครื่อง=3/4 ของ sight glass)</t>
  </si>
  <si>
    <t>SX3-FI-ME</t>
  </si>
  <si>
    <t>ตรวจเช็คความตึงหย่อนของโซ่ขับและสภาพ Sprocket ขับ Cutter</t>
  </si>
  <si>
    <t>ตรวจเช็คสภาพสายพาน Mobile Conveyor #3</t>
  </si>
  <si>
    <t>Calibrating belt</t>
  </si>
  <si>
    <t>ตรวจเช็คสภาพของสายพานโดยเฉพาะบริเวณรอยต่อ</t>
  </si>
  <si>
    <t>SX3-FI-ME2</t>
  </si>
  <si>
    <t>ตรวจเช็คสภาพสายพาน Mobile Conveyor #1</t>
  </si>
  <si>
    <t>ตรวจเช็คสภาพสายพาน Mobile Conveyor #2</t>
  </si>
  <si>
    <t>SX3-FI-ME3</t>
  </si>
  <si>
    <t>ตรวจเช็คสภาพสายพาน Mobile Conveyor #4</t>
  </si>
  <si>
    <t>ตรวจเช็ค การรั่วของลมเข้า Regulator</t>
  </si>
  <si>
    <t>SX3-FL-ME</t>
  </si>
  <si>
    <t>อัดจาระบี Bearing Mobile Conveyor #1 ทั้ง 4 จุด</t>
  </si>
  <si>
    <t>อัดจาระบี Bearing Mobile Conveyor #2 ทั้ง 4 จุด</t>
  </si>
  <si>
    <t>SX3-FL-ME2</t>
  </si>
  <si>
    <t>อัดจาระบี Bearing Mobile Conveyor #3 ทั้ง 4 จุด</t>
  </si>
  <si>
    <t>SX3-FL-ME3</t>
  </si>
  <si>
    <t>อัดจาระบี Bearing Mobile Conveyor #4 ทั้ง 4 จุด</t>
  </si>
  <si>
    <t>SX3-MI-ME</t>
  </si>
  <si>
    <t>ตรวจเช็คระดับและการรั่วของน้ำมันเกียร์ขับ Mobile Conveyor#1</t>
  </si>
  <si>
    <t>ตรวจเช็คระดับและการรั่วของน้ำมันเกียร์ขับ Mobile Conveyor#2</t>
  </si>
  <si>
    <t>SX3-MI-ME3</t>
  </si>
  <si>
    <t>ตรวจเช็คระดับและการรั่วของน้ำมันเกียร์ขับ Mobile Conveyor#4</t>
  </si>
  <si>
    <t>ตรวจเช็คสภาพตัวตรึงโซ่ขับ cutter</t>
  </si>
  <si>
    <t>ตรวจเช็คระดับและการรั่วของน้ำมันเกียร์ขับชุด cutter</t>
  </si>
  <si>
    <t>SX3-MI-ME2</t>
  </si>
  <si>
    <t>Cutting machine</t>
  </si>
  <si>
    <t>ตรวจเช็คสภาพตัวตรึงโซ่ขับ Pulling roller</t>
  </si>
  <si>
    <t>ตรวจเช็คสภาพตัวตรึงสายพานขับใบมีด Cutting Machine</t>
  </si>
  <si>
    <t>ตรวจเช็คระดับน้ำมันเกียร์ขับชุด Pulling roller</t>
  </si>
  <si>
    <t>ตรวจเช็คระดับน้ำมันเกียร์ขับใบมีด Cutting Machine</t>
  </si>
  <si>
    <t>ฉีดสเปรย์หล่อลื่นโซ่ขับ Pulling roller</t>
  </si>
  <si>
    <t>ตรวจเช็คสายพานขับเพลาขับใบมีด Cutting Machine</t>
  </si>
  <si>
    <t>ตรวจเช็คระดับและการรั่วของน้ำมันเกียร์ขับ Mobile Conv.#3</t>
  </si>
  <si>
    <t>ตรวจเช็คการรั่วของน้ำมันเกียร์ (คลาย Terminal box ออก)</t>
  </si>
  <si>
    <t>SX3-NL-ME2</t>
  </si>
  <si>
    <t>ทาจาระบีที่ฟันเฟืองของ Pinion ชุด Cutting Roller</t>
  </si>
  <si>
    <t>อัดจาระบีที่ Bearing Cutting Roller ทั้ง 2 Roller จำนวน 4 จุด</t>
  </si>
  <si>
    <t>ฉีดสเปรย์หล่อลื่นโซ่ขับ Cutter</t>
  </si>
  <si>
    <t>SX3-NL-ME</t>
  </si>
  <si>
    <t>ทาจาระบีฟันเฟืองของของ Pinion ชุด Cutting Roller</t>
  </si>
  <si>
    <t>อัดจาระบี Bearing ทั้ง 4  จุดของ Cutting Roller ทั้ง 2 Roller</t>
  </si>
  <si>
    <t>ฉีดสเปรย์หล่อลืนโซ่ขับ Cutter</t>
  </si>
  <si>
    <t>SX3-HL-ME</t>
  </si>
  <si>
    <t>เปลี่ยนน้ำมันเกียร์ขับชุด Pulling roller</t>
  </si>
  <si>
    <t>เปลี่ยนน้ำมันเกียร์ขับใบมีด Cutting Machine</t>
  </si>
  <si>
    <t>เปลี่ยนน้ำมันเกียร์ขับสายพาน Calibrating belt</t>
  </si>
  <si>
    <t>เปลี่ยนน้ำมันเกียร์ขับสายพาน Mobile Conveyor#3</t>
  </si>
  <si>
    <t>SX3-HL-ME2</t>
  </si>
  <si>
    <t>เปลี่ยนน้ำมันเกียร์ขับสายพาน Mobile Conveyor#1</t>
  </si>
  <si>
    <t>OMALA 460</t>
  </si>
  <si>
    <t>เปลี่ยนน้ำมันเกียร์ขับสายพาน Mobile Conveyor#2</t>
  </si>
  <si>
    <t>SX3-HL-ME3</t>
  </si>
  <si>
    <t>เปลี่ยนน้ำมันเกียร์ขับสายพาน Mobile Conveyor#4</t>
  </si>
  <si>
    <t>เปลี่ยนน้ำมันเกียร์ขับ Shaper Cutter</t>
  </si>
  <si>
    <t>SX3-HL-ME4</t>
  </si>
  <si>
    <t>เปลี่ยน Bearing ชุด Cutter Machine ทั้งหมด 4 ตัว</t>
  </si>
  <si>
    <t>ตรวจเช๊คและปรับตั้งระยะระหว่าง roller ทั้ง 2 ตัว (0.05 มม.)</t>
  </si>
  <si>
    <t>SX3-HR-ME</t>
  </si>
  <si>
    <t xml:space="preserve">เปลี่ยน Bearing ชุด Cutter Machine </t>
  </si>
  <si>
    <t>ST0-FI-ME</t>
  </si>
  <si>
    <t>ตรวจเช็คการรั่วของแป้งจาก Flour Storage Hopper</t>
  </si>
  <si>
    <t>ตรวจเช็คการรั่วของแป้งจาก Flour Mixer</t>
  </si>
  <si>
    <t>ตรวจเช็คการรั่วของลมข้อต่อ Cylinder เปิด-ปิด Flour Mixer</t>
  </si>
  <si>
    <t>ตรวจเช็คการอุดตันของลมเป่าเพลาใบกวนใน Flour Mixer</t>
  </si>
  <si>
    <t>ตรวจเช็คการรั่วของแป้งจาก Storage Tank</t>
  </si>
  <si>
    <t>ตรวจเช็คการทำงานของ Vacuum Pump</t>
  </si>
  <si>
    <t>ตรวจเช็คการรั่วของลมข้อต่อ Vacuum Pump</t>
  </si>
  <si>
    <t>ตรวจเช็คการรั่วของแป้งจาก Rotary Sieve</t>
  </si>
  <si>
    <t>ตรวจเช็คการรั่วของแป้งจาก Pneumatic Conveyor</t>
  </si>
  <si>
    <t>ST0-FC-ME</t>
  </si>
  <si>
    <t>ทำความสะอาด Filter Vacuum Pump</t>
  </si>
  <si>
    <t>ST0-FL-ME</t>
  </si>
  <si>
    <t>อัดจาระบี Bearing Screw Charge #1 1 จุด</t>
  </si>
  <si>
    <t>อัดจาระบี Bearing Screw Charge #2 1 จุด</t>
  </si>
  <si>
    <t>อัดจาระบี Bearing Screw Charge #3 1 จุด</t>
  </si>
  <si>
    <t>อัดจาระบี Bearing Flour Mixer 4 จุด</t>
  </si>
  <si>
    <t>อัดจาระบี Bearing Motor ขับ Flour Mixer 2 จุด</t>
  </si>
  <si>
    <t>อัดจาระบี Storage Tank Discharge Horizontal Screw 1 จุด</t>
  </si>
  <si>
    <t>อัดจาระบี Storage Tank Discharge Vertical Screw 1 จุด</t>
  </si>
  <si>
    <t>อัดจาระบี Rotary Sieve 2 จุด</t>
  </si>
  <si>
    <t>อัดจาระบี Bearing ใต้ Rotary Sieve 2 จุด</t>
  </si>
  <si>
    <t>ST0-MV-ME</t>
  </si>
  <si>
    <t>ตรวจวัดค่า Vibration Flour Mixer</t>
  </si>
  <si>
    <t>ST0-HL-ME</t>
  </si>
  <si>
    <t>เติมจาระบี Gear Screw Charge #1</t>
  </si>
  <si>
    <t>เติมจาระบี Gear Screw Charge #2</t>
  </si>
  <si>
    <t>เติมจาระบี Gear Screw Charge #3</t>
  </si>
  <si>
    <t>ST0-HR-ME</t>
  </si>
  <si>
    <t xml:space="preserve">เปลี่ยนปะเก็นเชือกและ oil seal ของชุด Agitator </t>
  </si>
  <si>
    <t>ST0-HL-ME2</t>
  </si>
  <si>
    <t>เปลี่ยนน้ำมันเกียร์ Flour Mixer</t>
  </si>
  <si>
    <t>ST1-WC-ME</t>
  </si>
  <si>
    <t>ST1-WI-ME</t>
  </si>
  <si>
    <t>ตรวจเช็คค่า Conductivity ไมโครซีเมนส์ต่อเซนติเมตร (µs/cm)</t>
  </si>
  <si>
    <t>ST1-FC-ME</t>
  </si>
  <si>
    <t>ทำความสะอาด Water Filter ขนาด 5 ไมครอน ทั้ง 2 ชุดให้สะอาด</t>
  </si>
  <si>
    <t>ST1-MI-ME</t>
  </si>
  <si>
    <t>ตรวจเช็คการรั่วซึมของ ข้อต่อ Valve ต่างของ Liquid Storage Tank #1</t>
  </si>
  <si>
    <t>ตรวจเช็คการรั่วซึมของ ข้อต่อ Valve ต่างของ Liquid Storage Tank #2</t>
  </si>
  <si>
    <t>Liquid Storage Tank #1-2</t>
  </si>
  <si>
    <t>ตรวจเช็คการทำงาน Motor Liquid Storage Tank #1-2</t>
  </si>
  <si>
    <t>ตรวจเช็คการทำงานCool Fan Water Cooling Unit (GREEN BOX)</t>
  </si>
  <si>
    <t>ST1-MR-ME</t>
  </si>
  <si>
    <t>เปลี่ยน Water Filter ขนาด 5 ไมครอนทั้ง 1 ชุด</t>
  </si>
  <si>
    <t>1 pc</t>
  </si>
  <si>
    <t>ST1-HC-ME</t>
  </si>
  <si>
    <t>ST1-HI-ME</t>
  </si>
  <si>
    <t>ST1-HL-ME</t>
  </si>
  <si>
    <t>เปลี่ยนน้ำมันเกียร์ขับ Liquid Storage Tank#1</t>
  </si>
  <si>
    <t>MOBIL SHC 630</t>
  </si>
  <si>
    <t>เปลี่ยนน้ำมันเกียร์ขับ Liquid Storage Tank#2</t>
  </si>
  <si>
    <t>MOBIL SHC 631</t>
  </si>
  <si>
    <t>ST2-ML-ME</t>
  </si>
  <si>
    <t>อัดจาระบี Bearing Metal Detector Belt 4 จุด</t>
  </si>
  <si>
    <t>อัดจาระบี Bearing Wet Mixer 2 จุด</t>
  </si>
  <si>
    <t>อัดจาระบี Bearing Laminating Roll Infeed Belt 2 จุด</t>
  </si>
  <si>
    <t>อัดจาระบี Bearing Reversible Transport Belt 2 จุด</t>
  </si>
  <si>
    <t>อัดจาระบี Bearing Widening Drum 2 จุด</t>
  </si>
  <si>
    <t>ST2-FI-ME</t>
  </si>
  <si>
    <t>ตรวจเช็ค ปรับตั้ง ความตึงของ Metal Detector Belt</t>
  </si>
  <si>
    <t>ตรวจสอบสภาพสายพานและแผ่นรองสายพาน metal detector</t>
  </si>
  <si>
    <t>ตรวจเช็ค การรั่วของแป้งจาก Flour Storage Tank</t>
  </si>
  <si>
    <t>ตรวจเช็คการรั่วของลมข้อต่อ Supply Flour Doser</t>
  </si>
  <si>
    <t>ตรวจเช็ค ปรับตั้ง ความตึงของ Reversible Transport Belt</t>
  </si>
  <si>
    <t>ตรวจเช็คการทำงานพร้อมจดบันทึกค่า feed rate Max-Min ที่เบี่ยงเบนจากค่า set point ใน 1 นาที ของ Flour Doser (K-TRON)</t>
  </si>
  <si>
    <t>ตรวจเช็ค ปรับตั้ง ความตึงของ Widening Drum</t>
  </si>
  <si>
    <t>ตรวจเช็คการรั่วของแป้งจาก Wet Mixer</t>
  </si>
  <si>
    <t>ตรวจเช็ค ปรับตั้ง ความตึงของสายพานขับ Wet Mixer</t>
  </si>
  <si>
    <t>ตรวจเช็คสภาพสายพานและปรับตั้ง Laminating Roll Infeed Belt</t>
  </si>
  <si>
    <t>ตรวจเช็คการรั่วซึมของ Mixer jacket cooling unit</t>
  </si>
  <si>
    <t>ST2-MV-ME</t>
  </si>
  <si>
    <t>ตรวจวัดค่า Vibration Wet Mixer Motor</t>
  </si>
  <si>
    <t>ตรวจวัดค่า Vibration Bearing ขับเพลา Paddle ทั้ง ซ้ายและขวา</t>
  </si>
  <si>
    <t>ST2-MI-ME</t>
  </si>
  <si>
    <t>ตรวจเช็คสภาพทั่วไปของ Gear Box  K-Tron</t>
  </si>
  <si>
    <t>ST2-HL-ME</t>
  </si>
  <si>
    <t>เปลี่ยนน้ำมัน Gear Flour Storage Tank</t>
  </si>
  <si>
    <t>เปลี่ยนน้ำมัน Gear Metal Detector Belt</t>
  </si>
  <si>
    <t>ST2-YR-ME</t>
  </si>
  <si>
    <t>เปลี่ยนสายพาน Laminating Roll Infeed Belt</t>
  </si>
  <si>
    <t>เปลี่ยนน้ำมัน Gear Reversible Transport Belt</t>
  </si>
  <si>
    <t>[LG000302] OMALA S4 WE320</t>
  </si>
  <si>
    <t>เปลี่ยนน้ำมัน Gear Laminating Roll Infeed Belt</t>
  </si>
  <si>
    <t>เปลี่ยนน้ำมัน Gear Widening Drum</t>
  </si>
  <si>
    <t>ST3-ML-ME</t>
  </si>
  <si>
    <t>อัดจาระบี Bearing Laminating Rolls (Rear - Front) 8 จุด</t>
  </si>
  <si>
    <t>Laminating Rolls (Rear- Front)</t>
  </si>
  <si>
    <t>อัดจาระบี Water Rotary union</t>
  </si>
  <si>
    <t>อัดจาระบี Bearing Cutter Conveyor 4 จุด</t>
  </si>
  <si>
    <t>อัดจาระบี Bearing Cutter Roller 2 จุด</t>
  </si>
  <si>
    <t>อัดจาระบี Bearing Slitter Infeed 2 จุด</t>
  </si>
  <si>
    <t>อัดจาระบี Bearing Slitter 4 จุด</t>
  </si>
  <si>
    <t>ST3-MI-ME</t>
  </si>
  <si>
    <t>ตรวจเช็คการรั่วซึมของน้ำ Cooling Laminating Rolls (Rear - Front)</t>
  </si>
  <si>
    <t>ตรวจเช็คการรั่วซึมของลม Laminating Rolls (Rear - Front)</t>
  </si>
  <si>
    <t>ตรวจเช็ค ปรับตั้ง ความตึงของ Cutter Conveyor</t>
  </si>
  <si>
    <t>ตรวจเช็ค ความสึกหรอ ของ Cutter Roller</t>
  </si>
  <si>
    <t>ตรวจเช็คการรั่วซึมของลม Cutter Roller</t>
  </si>
  <si>
    <t>ตรวจเช็ค ปรับตั้ง ความตึงของ Slitter Infeed</t>
  </si>
  <si>
    <t>ตรวจเช็ค ปรับตั้ง ความตึงของ Slitter Take Out Conveyor</t>
  </si>
  <si>
    <t>ตรวจเช็คการรั่ว Blower Scrap Grinder</t>
  </si>
  <si>
    <t>ตรวจเช็คการรั่ว Scrap Pneumatic Conveyor</t>
  </si>
  <si>
    <t>ST3-MV-ME</t>
  </si>
  <si>
    <t>ตรวจวัดค่า Vibration Laminating Rolls (Rear)</t>
  </si>
  <si>
    <t>ตรวจวัดค่า Vibration Laminating Rolls (Front)</t>
  </si>
  <si>
    <t>ST-MC-ME</t>
  </si>
  <si>
    <t>Laminating Rolls</t>
  </si>
  <si>
    <t>ถอดล้างทำความสะอาด Y-strainer ของท่อน้ำเย็นเข้า Sheet laminating roll</t>
  </si>
  <si>
    <t>ST3-HL-ME</t>
  </si>
  <si>
    <t>เปลี่ยนน้ำมัน Gear Laminating Rolls (Rear)</t>
  </si>
  <si>
    <t>Mobil SHC 630</t>
  </si>
  <si>
    <t>6 l</t>
  </si>
  <si>
    <t>เปลี่ยนน้ำมัน Gear Laminating Rolls (Front)</t>
  </si>
  <si>
    <t>ST3-QR-ME</t>
  </si>
  <si>
    <t>เปลี่ยนสายพาน Cutter Conveyor</t>
  </si>
  <si>
    <t>ST3-HI-ME</t>
  </si>
  <si>
    <t xml:space="preserve">ถอดออกเพื่อตรวจสอบสภาพใบมีด </t>
  </si>
  <si>
    <t>เปลี่ยนน้ำมัน Gear Cutter Conveyor</t>
  </si>
  <si>
    <t>เปลี่ยนน้ำมัน Gear Cutter Roller</t>
  </si>
  <si>
    <t>เปลี่ยนน้ำมัน Gear Slitter Infeed</t>
  </si>
  <si>
    <t>เปลี่ยนน้ำมัน Gear Slitter</t>
  </si>
  <si>
    <t>ST4-WL-ME</t>
  </si>
  <si>
    <t>อัดจาระบี Bearing Product Conveyor ทุกตัว</t>
  </si>
  <si>
    <t>อัดจาระบี Bearing Mold Conveyor</t>
  </si>
  <si>
    <t>อัดจาระบี BearingAir Cooling Conveyor</t>
  </si>
  <si>
    <t>ST4-FI-ME</t>
  </si>
  <si>
    <t>ตรวจเช็คสภาพสายพาน Fryer Product Conveyorพร้อมปรับตั้ง</t>
  </si>
  <si>
    <t>ตรวจเช็คสภาพสายพาน Fryer Mold Conveyerพร้อมปรับตั้ง</t>
  </si>
  <si>
    <t>ตรวจเช็คสภาพสายพาน Hold Down Conveyorพร้อมปรับตั้ง</t>
  </si>
  <si>
    <t>ST4-FL-ME</t>
  </si>
  <si>
    <t>อัดจาระบี Bearing OME Exhaust Fan Infeed Side</t>
  </si>
  <si>
    <t>อัดจาระบี Bearing OME Exhaust Fan Discharge Side</t>
  </si>
  <si>
    <t>ST4-MI-ME</t>
  </si>
  <si>
    <t>ตรวจเช็คสภาพสายพานขับ OME Exhaust Fan Discharge Side ทั้ง 2 เส้น</t>
  </si>
  <si>
    <t>XPZ 1012</t>
  </si>
  <si>
    <t>ตรวจเช็คสภาพสายพานขับ OME Exhaust Fan Infeed Side ทั้ง 2 เส้น</t>
  </si>
  <si>
    <t>ST4-HL-ME</t>
  </si>
  <si>
    <t>เปลี่ยนน้ำมัน Gear Fryer Product Conveyor</t>
  </si>
  <si>
    <t>เปลี่ยนน้ำมัน Gear Fryer Mold Conveyor</t>
  </si>
  <si>
    <t>เปลี่ยนน้ำมัน Gear Fryer Hood &amp; Lifter</t>
  </si>
  <si>
    <t>เปลี่ยนน้ำมัน Gear Ambient Air Cooling Conveyor</t>
  </si>
  <si>
    <t>ST4-RR-ME</t>
  </si>
  <si>
    <t>เปลี่ยน Bearing Hold Down Conveyor</t>
  </si>
  <si>
    <t>ST4-HR-ME</t>
  </si>
  <si>
    <t>เปลี่ยน Bearing OME Exhaust Fan Infeed Side</t>
  </si>
  <si>
    <t>ST4-HR-ME2</t>
  </si>
  <si>
    <t>เปลี่ยน Bearing OME Exhaust Fan Discharge Side</t>
  </si>
  <si>
    <t>ST4-HR-ME3</t>
  </si>
  <si>
    <t>ST4-HR-ME4</t>
  </si>
  <si>
    <t xml:space="preserve">เปลี่ยน Bearing  Fryer Mold Conveyor </t>
  </si>
  <si>
    <t>Asahi Hi -Temp FL210- 4 PC/FL204 4- PC</t>
  </si>
  <si>
    <t>เปลี่ยน Bearing  Fryer Product Conveyor</t>
  </si>
  <si>
    <t>Asahi Hi -Temp UCFA 210- 2 PC/UCPA210 -2 PC/UCP 206- 2 PC</t>
  </si>
  <si>
    <t>ST4-HR-ME5</t>
  </si>
  <si>
    <t xml:space="preserve">เปลี่ยน Hood lift brass screw </t>
  </si>
  <si>
    <t>ST5-FL-ME</t>
  </si>
  <si>
    <t>อัดจาระบี Bearing Fryer Catchbox Conveyor ทั้ง 4 จุด</t>
  </si>
  <si>
    <t>Bel-Ray No-Tox grease#2 H1</t>
  </si>
  <si>
    <t>อัดจาระบีที่ Lip Seal ห้อง Bearing MOP 2 จุด</t>
  </si>
  <si>
    <t>ST5-MI-ME</t>
  </si>
  <si>
    <t>ตรวจเช็คการรั่วของน้ำมันเกียร์ Fryer Catchbox Conveyor</t>
  </si>
  <si>
    <t>ตรวจเช็คการรั่วของลมที่ชุดปาดเศษ Scrap ของ Catchbox Conveyor</t>
  </si>
  <si>
    <t>ตรวจเช็คระดับน้ำมันหล่อลื่นห้อง Bearing ของ MOP (ท่วม Sightglass)</t>
  </si>
  <si>
    <t>ตรวจเช็คการรั่วของลมที่ชุด Air Preparation Unit Oil Management</t>
  </si>
  <si>
    <t>ST5-MV-ME</t>
  </si>
  <si>
    <t>ตรวจวัดค่า Vibration  Main Oil Pump</t>
  </si>
  <si>
    <t>ST5-QL-ME</t>
  </si>
  <si>
    <t>เปลี่ยนน้ำมัน Gear Main Oil Pump</t>
  </si>
  <si>
    <t>ST5-QL-ME2</t>
  </si>
  <si>
    <t>เปลี่ยนน้ำมัน Gear Catch Box Conveyor</t>
  </si>
  <si>
    <t>ST5-HR-ME</t>
  </si>
  <si>
    <t>ST6-FI-ME</t>
  </si>
  <si>
    <t>ตรวจเช็คความสึกหรอและสภาพทั่วไปของท่อ Spiroflow SSN Reclaim Bulk Feeder Screw</t>
  </si>
  <si>
    <t xml:space="preserve">ตรวจเช็คความสึกหรอและสภาพทั่วไปของท่อ Spiroflow SSN Bulk Feeder Screw </t>
  </si>
  <si>
    <t>ตรวจเช็คและปรับตั้งสายพาน Flipping Belt</t>
  </si>
  <si>
    <t>ตรวจเช็ค Stroke การสั่นของ Scraf Feeder</t>
  </si>
  <si>
    <t>ST6-FL-ME</t>
  </si>
  <si>
    <t>อัดจาระบี Bearing เพลา Agitator Spiroflow ทั้ง 2 จุด</t>
  </si>
  <si>
    <t>อัดจาระบี Bearing Flavour Conveyor ทั้ง 12 จุด</t>
  </si>
  <si>
    <t>อัดจาระบี Bearing Flipping Belt ทั้ง 8 จุด</t>
  </si>
  <si>
    <t>ST6-MR-ME</t>
  </si>
  <si>
    <t>เปลี่ยนปะเก็นเชือก SSN Applicator</t>
  </si>
  <si>
    <t>เปลี่ยนปะเก็นเชือก SSN Agitator</t>
  </si>
  <si>
    <t>ST6-NR-ME</t>
  </si>
  <si>
    <t>เปลี่ยน Gear SSN Agitator และ Auger ของชุด SSN Applicator</t>
  </si>
  <si>
    <t>ST6-QR-ME</t>
  </si>
  <si>
    <t>เปลี่ยนสายพาน Flavouring Rope Conveyor ทั้งหมด</t>
  </si>
  <si>
    <t>เปลี่ยนสายพาน Flipping Belt</t>
  </si>
  <si>
    <t>ST6-QR-ME2</t>
  </si>
  <si>
    <t xml:space="preserve">เปลี่ยน Bearing และ Oil seal  roller flipping conveyor </t>
  </si>
  <si>
    <t>ST6-HL-ME</t>
  </si>
  <si>
    <t>เปลี่ยนน้ำมัน Gear Agitator Spiroflow Agitator</t>
  </si>
  <si>
    <t>เปลี่ยนน้ำมัน Gear Flavour Conveyor</t>
  </si>
  <si>
    <t>เปลี่ยนน้ำมัน Gear Flipping Belt</t>
  </si>
  <si>
    <t>เปลี่ยนน้ำมัน Gear SSN Bulk Feeder Screw</t>
  </si>
  <si>
    <t>ST6-HR-ME2</t>
  </si>
  <si>
    <t>ST6-HR-ME</t>
  </si>
  <si>
    <t xml:space="preserve">เปลี่ยน Gear SSN Reclaim Agitator </t>
  </si>
  <si>
    <t>ST7-FL-ME</t>
  </si>
  <si>
    <t>Infeed Conveyor #1-2</t>
  </si>
  <si>
    <t>อัดจาระบี Bearing Infeed Conveyor #1,2 ทุกจุด</t>
  </si>
  <si>
    <t>Infeed Lowrator #1-2</t>
  </si>
  <si>
    <t>อัดจาระบี Bearing Infeed Lowrator #1,2 ทุกจุด</t>
  </si>
  <si>
    <t>Lowrator &amp; Rinser #1-4</t>
  </si>
  <si>
    <t>อัดจาระบี Bearing Lowrator &amp; Rinser #1-4 ทุกจุด</t>
  </si>
  <si>
    <t>Infeed Divider #1-2</t>
  </si>
  <si>
    <t>อัดจาระบี Bearing Infeed Divider #1,2 ทุกจุด</t>
  </si>
  <si>
    <t>Outfeed Divider #1-2</t>
  </si>
  <si>
    <t>อัดจาระบี Bearing Outfeed Divider #1,2 ทุกจุด</t>
  </si>
  <si>
    <t>ST7-MI-ME</t>
  </si>
  <si>
    <t>Lowrator &amp; Rinser #1,2</t>
  </si>
  <si>
    <t>ตรวจเช็คสภาพการใช้งานและปรับตั้งความตึงหย่อน Lowrator &amp; Rinser #1,2</t>
  </si>
  <si>
    <t>ตรวจเช็คสภาพ Sprocket ชุดขับ และ ชุดตาม ทุกตัว</t>
  </si>
  <si>
    <t>ST7-QI-ME</t>
  </si>
  <si>
    <t>ตรวจเช็คสภาพ Air Rinser และ เปลี่ยน filter air rinser พร้อมถอดทำความสะอาด</t>
  </si>
  <si>
    <t>ST7-HL-ME</t>
  </si>
  <si>
    <t>เปลี่ยนน้ำมัน Gear Infeed Conveyor #1,2</t>
  </si>
  <si>
    <t>เปลี่ยนน้ำมัน Gear Infeed Lowrator #1,2</t>
  </si>
  <si>
    <t>เปลี่ยนน้ำมัน Gear Lowrator &amp; Rinser #1-4</t>
  </si>
  <si>
    <t>เปลี่ยนน้ำมัน Gear Infeed Divider #1,2</t>
  </si>
  <si>
    <t>เปลี่ยนน้ำมัน Gear Outfeed Divider #1,2</t>
  </si>
  <si>
    <t>ST8-FL-ME</t>
  </si>
  <si>
    <t>Filler Table Conveyor #1-2</t>
  </si>
  <si>
    <t>อัดจาระบี Bearing Filler Table Conveyor #1,2</t>
  </si>
  <si>
    <t>Outfeed Filler Table Conveyor #1-4</t>
  </si>
  <si>
    <t>อัดจาระบี Bearing Outfeed Filler Table Conveyor #1-4</t>
  </si>
  <si>
    <t>ST8-MI-ME</t>
  </si>
  <si>
    <t>ตรวจเช็คสภาพจานหมุนชุดเข้าโค้ง ชุดขับ และ ชุดตาม ทุกตัว</t>
  </si>
  <si>
    <t>Filler Table Conveyor #1,2</t>
  </si>
  <si>
    <t>ตรวจเช็คสภาพการใช้งานและตรวจเช็คความตึงหย่อน  Conveyor ทุกตัว</t>
  </si>
  <si>
    <t>ST8-HL-ME</t>
  </si>
  <si>
    <t>เปลี่ยนน้ำมัน Gear Filler Table Conveyor ทั้งหมด</t>
  </si>
  <si>
    <t>เปลี่ยนน้ำมัน Gear Outfeed Filler Table Conveyor ทั้งหมด</t>
  </si>
  <si>
    <t>ST9-FI-ME</t>
  </si>
  <si>
    <t>ตรวจเช็ค Speed Belt Check-Weighter Conveyor #1 (Size S)</t>
  </si>
  <si>
    <t>ตรวจเช็ค Speed Belt Check-Weighter Conveyor #2 (Size L)</t>
  </si>
  <si>
    <t>ตรวจเช็ค สายพานขาว #1 Check-Weighter Conveyor #1 (Size S)</t>
  </si>
  <si>
    <t>ตรวจเช็ค สายพานขาว #2 Check-Weighter Conveyor #1 (Size S)</t>
  </si>
  <si>
    <t>ตรวจเช็ค สายพานขาว #3 Check-Weighter Conveyor #1 (Size S)</t>
  </si>
  <si>
    <t>ตรวจเช็ค สายพานขาว #1 Check-Weighter Conveyor #2 (Size L)</t>
  </si>
  <si>
    <t>ตรวจเช็คสภาพจานหมุนชุดเข้าโค้ง ชุดขับ และ ชุดตาม Alpine Conveyor #2 (Size L) ทุกตัว</t>
  </si>
  <si>
    <t>ตรวจเช็คความตึงหย่อน Alpine Cooling Conveyor #2 (Size L) ทุกตัว</t>
  </si>
  <si>
    <t>Flexi Vibrating Conveyor #1-7</t>
  </si>
  <si>
    <t>ตรวจเช็ค Fiber Spring และลูกยางรองฐานของสายพาน Flexi Vibrating Conveyor#1-7</t>
  </si>
  <si>
    <t>ST9-FL-ME</t>
  </si>
  <si>
    <t>อัดจาระบี Bearing Check-Weighter Conveyor #1 (Size S) ทุกตัว</t>
  </si>
  <si>
    <t>อัดจาระบี Bearing Check-Weighter Conveyor #2 (Size L) ทุกตัว</t>
  </si>
  <si>
    <t>อัดจาระบี Bearing Alpine Conveyor #1 (Size S) ทุกตัว</t>
  </si>
  <si>
    <t>อัดจาระบี Bearing Alpine Conveyor #2 (Size L) ทุกตัว</t>
  </si>
  <si>
    <t>Infeed Weigher Conveyor #1-2</t>
  </si>
  <si>
    <t>อัดจาระบี Bearing Infeed Weigher Conveyor #1-2</t>
  </si>
  <si>
    <t>ST9-HL-ME</t>
  </si>
  <si>
    <t>เปลี่ยนน้ำมัน Gear Check-Weighter Conveyor #1 (Size S) ทุกตัว</t>
  </si>
  <si>
    <t>เปลี่ยนน้ำมัน Gear Check-Weighter Conveyor #2 (Size L) ทุกตัว</t>
  </si>
  <si>
    <t>เปลี่ยนน้ำมัน Gear Alpine Conveyor #1 (Size S) ทุกตัว</t>
  </si>
  <si>
    <t>เปลี่ยนน้ำมัน Gear Alpine Conveyor #2 (Size L ) ทุกตัว</t>
  </si>
  <si>
    <t>เปลี่ยนน้ำมัน Gear Infeed Weigher Conveyor #1-2</t>
  </si>
  <si>
    <t>P10-MI-ME</t>
  </si>
  <si>
    <t>ตรวจเช็คระดับน้ำมันไฮดรอลิก Crate Dumper #1</t>
  </si>
  <si>
    <t>ตรวจเช็คเสียงผิดปกติของการยกของ Dumper #1</t>
  </si>
  <si>
    <t>ตรวจเช็คเสียงผิดปกติของการยกของ Dumper #2</t>
  </si>
  <si>
    <t>ตรวจเช็คระดับน้ำมันไฮดรอลิก Crate Dumper #2</t>
  </si>
  <si>
    <t>P10-ML-ME</t>
  </si>
  <si>
    <t>Crate Dumper #1,2</t>
  </si>
  <si>
    <t>อัดจาระบี Bearing หู Dumper #1,2 ทั้ง 2 จุด</t>
  </si>
  <si>
    <t>Hopper Feeder #1,2</t>
  </si>
  <si>
    <t>อัดจาระบี Bearing Hopper Feeder #1,2 ทั้ง 4 จุด</t>
  </si>
  <si>
    <t>อัดจาระบี Bearing Potato Transfer Conv #1,2 ทั้ง 4 จุด</t>
  </si>
  <si>
    <t>อัดจาระบี Bearing Scrap Auger #1,2 ทั้ง 2 จุด</t>
  </si>
  <si>
    <t>P10-HR-ME</t>
  </si>
  <si>
    <t>เปลี่ยนสายพาน Potato Transfer conveyor</t>
  </si>
  <si>
    <t>[P1050000]</t>
  </si>
  <si>
    <t>P10-HL-ME</t>
  </si>
  <si>
    <t>เปลี่ยนน้ำมันเกียร์ Hopper Feeder #1,2</t>
  </si>
  <si>
    <t>2.9 l</t>
  </si>
  <si>
    <t>เปลี่ยนน้ำมันไฮดรอลิกของ Crate Dumper #1,2</t>
  </si>
  <si>
    <t>TELLUS 68</t>
  </si>
  <si>
    <t>เปลี่ยนน้ำมันเกียร์ Scrap Auger Feeder #1,2</t>
  </si>
  <si>
    <t>เปลี่ยนน้ำมันเกียร์ Potato Transfer Conveyor #1,2</t>
  </si>
  <si>
    <t>1.1 l</t>
  </si>
  <si>
    <t>เปลี่ยนกรองไฮดรอลิก Crate Dumper ทั้ง 2 ชุด</t>
  </si>
  <si>
    <t>P11-ML-ME</t>
  </si>
  <si>
    <t>อัดจาระบี Bearing Frame Potato Pump หน้า-หลัง</t>
  </si>
  <si>
    <t>อัดจาระบี Bearing ของ Dewatering Conveyor ทั้ง 2 จุด</t>
  </si>
  <si>
    <t>P11-MI-ME</t>
  </si>
  <si>
    <t>ตรวจเช็คสภาพสายพานขับของ Potato Pump</t>
  </si>
  <si>
    <t>XPZ 1700</t>
  </si>
  <si>
    <t>3 pcs</t>
  </si>
  <si>
    <t>ตรวจเช็คการทำงานของ Floating Debris Removal</t>
  </si>
  <si>
    <t>ตรวจเช็คการทำงานของ Rock Removal Conv.</t>
  </si>
  <si>
    <t>ตรวจเช็คสภาพสายพานขับของ Return Pump</t>
  </si>
  <si>
    <t>A71</t>
  </si>
  <si>
    <t>ตรวจเช็คความตึงหย่อนของสายพาน Dewatering พร้อมปรับตั้ง</t>
  </si>
  <si>
    <t>ตรวจเช็คการทำงานของ Rotary Screen</t>
  </si>
  <si>
    <t>ตรวจเช็คการทำงานของ Sand Removal Pump</t>
  </si>
  <si>
    <t>คลายรู Drain เพื่อเช็คการรั่วของ Mechanical seal</t>
  </si>
  <si>
    <t>เปลี่ยนน้ำมันในห้อง Mechanical Seal ของ Return Pump</t>
  </si>
  <si>
    <t>P11-MV-ME</t>
  </si>
  <si>
    <t>ตรวจวัดค่า Vibration Potato Pump</t>
  </si>
  <si>
    <t>ตรวจวัดค่า Vibration Return Pump</t>
  </si>
  <si>
    <t>P11-HL-ME</t>
  </si>
  <si>
    <t>เปลี่ยนน้ำมันหล่อลื่นห้อง Bearing Frame Potato Pump</t>
  </si>
  <si>
    <t>เปลี่ยนน้ำมันเกียร์ของ Dewatering conveyor</t>
  </si>
  <si>
    <t>เปลี่ยนน้ำมันเกียร์ของ Floating Debris conveyor</t>
  </si>
  <si>
    <t>0.3 l</t>
  </si>
  <si>
    <t>เปลี่ยนน้ำมันเกียร์ของ Rock Removal conveyor</t>
  </si>
  <si>
    <t>P11-YR-ME</t>
  </si>
  <si>
    <t>เปลี่ยนสายพาน Dewatering Conveyor</t>
  </si>
  <si>
    <t>[P1170001]</t>
  </si>
  <si>
    <t>P11-HR-ME</t>
  </si>
  <si>
    <t>ตัดต่อพร้อมปรับตั้งสายพาน Dewatering Conveyor</t>
  </si>
  <si>
    <t>P12-WL-ME</t>
  </si>
  <si>
    <t>ทาจารบีหล่อลื่น guide barภายใน drum ของ batch peeler #1-6</t>
  </si>
  <si>
    <t>P12-FI-ME2</t>
  </si>
  <si>
    <t>ตวรจเช็คความตึงหย่อนสายพาน ความสึกหรอของสานพาน Feed Conveyor from Dewaterer</t>
  </si>
  <si>
    <t>ตวรจเช็คความตึงหย่อนสายพาน ความสึกหรอของสานพาน Peeler Feed Elevator</t>
  </si>
  <si>
    <t>ตรวจเช็คสภาพ wear strips และ sprocket ของสายพาน Feed Conveyor from Dewaterer</t>
  </si>
  <si>
    <t>ตรวจเช็คสภาพ wear strips และ sprocket ของสายพาน Peeler Feed Elevator</t>
  </si>
  <si>
    <t>ตรวจเช็คสภาพทั่วไปของ Rubber mount และ stroke การทำงานของสายพาน Peeler feed Vibrator</t>
  </si>
  <si>
    <t>ตรวจเช็คสภาพทั่วไปของ Rubber mount และ stroke การทำงานของสายพาน Peeler Discharge Vibrator</t>
  </si>
  <si>
    <t>ตรวจเช็คการทำงานของ Feed gate เปิด-ปิด และ การรั่วของกระบอกสูบทั้ง 3 ชุด</t>
  </si>
  <si>
    <t>ตรวจเช็คสภาพของ Mantle และ Disc ทั้งหมด</t>
  </si>
  <si>
    <t>ตรวจเช็คการอุดตันของหัว nozzle</t>
  </si>
  <si>
    <t>ตรวจเช็คลมรั่วที่กระบอก Cylinderของ Liner lift ทั้ง 6 ตัว</t>
  </si>
  <si>
    <t>ตรวจเช็คลมรั่วในตู้ระบบลมทั้ง 7 ตู้ (Peeler pneumatic panel(1)/Peeler zone panel (6))</t>
  </si>
  <si>
    <t>Twin Weigh Hoppers #1-3</t>
  </si>
  <si>
    <t>ตรวจเช็คลมรั่วที่กระบอก Cylinderของ Twin Weigh Hoppers #1-3 ทั้ง 6 ตัว</t>
  </si>
  <si>
    <t>P12-FI-ME</t>
  </si>
  <si>
    <t>ตรวจเช็ค การชำรุด สึกหรอ ลูกยางคัดมัน Waste Elimination Roll</t>
  </si>
  <si>
    <t>ตรวจเช็คการชำรุด สึกหรอ ลูกยางคัดมัน Star Rubbers Pos</t>
  </si>
  <si>
    <t>ตรวจเช็คความสึกหรอของโซ่และเฟืองขับ Grader Conveyor ทั้ง 10 ชุด</t>
  </si>
  <si>
    <t>No.50</t>
  </si>
  <si>
    <t>ตรวจเช็คความสึกหรอของ Wear Strip โซ่ บน-ล่าง Grader Conveyor</t>
  </si>
  <si>
    <t>ตรวจเช็ค การชำรุด สึกหรอ Roller Shaft Cutter Conveyor</t>
  </si>
  <si>
    <t>ตรวจเช็คความสึกหรอตึง หย่อนของ โซ่ขับ Roller Cutter Conveyor</t>
  </si>
  <si>
    <t>ตรวจเช็ค การชำรุด สึกหรอ Star Rubber ของ Cutter Roller Conveyor</t>
  </si>
  <si>
    <t>ตรวจเช็ค สภาพการสึกหรอของใบ Cutter Blade</t>
  </si>
  <si>
    <t>ตรวจเช็คสภาพของ Spring Collection Vibrating Conveyor</t>
  </si>
  <si>
    <t>ตรวจเช็คสภาพของสายพานชุดขับ ของ Collection Vibrating Conveyor</t>
  </si>
  <si>
    <t>SPZ 1010</t>
  </si>
  <si>
    <t>ตรวจเช็ค Stroke การทำงานของรางสั่นCollection Vibrating Conveyor</t>
  </si>
  <si>
    <t>ตรวจเช็คสภาพและการสั่นสะเทือนและรอยแตกร้าว ของ Frame Collection Vibrating Conveyor</t>
  </si>
  <si>
    <t>ตรวจเช็คสภาพตึง หย่อน ของสายพาน Slicer Hopper Infeed Conveyor</t>
  </si>
  <si>
    <t>P12-ML-ME2</t>
  </si>
  <si>
    <t>อัดจาระบี หัว-ท้าย พร้อมตรวจเช็คสภาพ Roller Bearing Feed Conveyor from Dewaterer</t>
  </si>
  <si>
    <t>อัดจาระบี หัว-ท้าย พร้อมตรวจเช็คสภาพ Roller Bearing Peeler Feed Elevator</t>
  </si>
  <si>
    <t>อัดจาระบี Bearing Twin Weigh Hoppers #1-3</t>
  </si>
  <si>
    <t>อัดจาระบี Bearing Peeled Infeed Elevator ทั้ง 6 จุด</t>
  </si>
  <si>
    <t>อัดจาระบี Bearing Inspection Conveyor ทั้ง 4 จุด</t>
  </si>
  <si>
    <t>อัดจาระบี Bearing Slicer Incline Conveyor ทั้ง 8 จุด</t>
  </si>
  <si>
    <t>อัดจาระบี Bearing Grader Conveyor ทั้ง 40 จุด</t>
  </si>
  <si>
    <t>อัดจาระบี Bearing Roller Shaft Cutter Conveyor ทั้ง 6 จุด</t>
  </si>
  <si>
    <t>อัดจาระบี Bearing Slicer Hopper Infeed Conveyor ทั้ง 4จุด</t>
  </si>
  <si>
    <t>ฉีดสเปรย์หล่อลื่นโซ่ขับ Grader Conveyor</t>
  </si>
  <si>
    <t>Bel-Ray No-Tox Waterproof Chain Lube H1</t>
  </si>
  <si>
    <t>Slicer #1-5</t>
  </si>
  <si>
    <t>อัดจาระบี Bearing Slicer ทั้ง 5 จุด</t>
  </si>
  <si>
    <t>P12-MI-ME2</t>
  </si>
  <si>
    <t>ตรวจเช็คระดับน้ำมันเกียร์ Feed Conveyor from Dewaterer</t>
  </si>
  <si>
    <t>ตรวจเช็คระดับน้ำมันเกียร์ Peeler Feed Elevator</t>
  </si>
  <si>
    <t>ตรวจเช็คระดับน้ำมัน Gear Box รางสั่น Peeler feed Vibrator</t>
  </si>
  <si>
    <t>ตรวจเช็คระดับน้ำมัน Gear Box รางสั่น Peeler Discharge Vibrator</t>
  </si>
  <si>
    <t>ตรวจเช็คระดับน้ำมัน Gear Box ของ Batch Peeler #1-6</t>
  </si>
  <si>
    <t xml:space="preserve">ตรวจเช็คตำแหน่ง clearance guiding bar ของ peeler </t>
  </si>
  <si>
    <t>P12-MI-ME</t>
  </si>
  <si>
    <t>ตรวจเช็คสภาพ V- belt Peeler feed Vibrator</t>
  </si>
  <si>
    <t>ตรวจเช็คสภาพ V- belt Peeler Discharge Vibrator</t>
  </si>
  <si>
    <t>ตรวจเช็คสภาพ V- belt Collection Vibrating Conveyor</t>
  </si>
  <si>
    <t>ตัดต่อ/ปรับตั้งความตึงหย่อนของสายพาน Peeled Infeed Elevator</t>
  </si>
  <si>
    <t>ตัดต่อ/ปรับตั้งความตึงหย่อนของสายพาน Inspection Conveyor</t>
  </si>
  <si>
    <t>ตรวจเช็คสภาพสายพานขับของ Slicer Gear Box Slicer#1-5</t>
  </si>
  <si>
    <t>[P1260100] Goodyear Y-896</t>
  </si>
  <si>
    <t>5 pcs</t>
  </si>
  <si>
    <t>ตรวจเช็คความตึงหย่อนและการสะดุดของสายพาน Peeled Infeed Elevator</t>
  </si>
  <si>
    <t>ตรวจเช็คการรั่วของน้ำมันเกียร์ Peeled Infeed Elevator</t>
  </si>
  <si>
    <t>ตรวจเช็คความตึงหย่อนและการสะดุดของสายพาน Inspection Conveyor</t>
  </si>
  <si>
    <t>ตรวจเช็คการรั่วของน้ำมันเกียร์ Inspection Conveyor</t>
  </si>
  <si>
    <t>ตรวจเช็คความตึงหย่อนและการสะดุดของสายพาน Slicer Incline Conveyor</t>
  </si>
  <si>
    <t>ตรวจเช็คการรั่วของน้ำมันเกียร์ Slicer Incline Conveyor</t>
  </si>
  <si>
    <t>ตัดต่อ/ปรับตั้งความตึงหย่อนของสายพาน Slicer Incline Conveyor</t>
  </si>
  <si>
    <t>ตรวจเช็คการรั่วของน้ำมัน Gear Box รางสั่น Slicer Laning Conveyor</t>
  </si>
  <si>
    <t>ตรวจเช็คสายพานขับของ Gear Box รางสั่น Slicer Laning Conveyor</t>
  </si>
  <si>
    <t>XPA 1120</t>
  </si>
  <si>
    <t>ตรวจเช็คสภาพของ Spring และ Stud Bolt ทั้ง 4 ชุดของรางสั่น Slicer Laning Conveyor</t>
  </si>
  <si>
    <t>P12-MC-ME2</t>
  </si>
  <si>
    <t xml:space="preserve">ถอดทำความสะอาด Y-strainer  เมนท่อน้ำที่เข้าเครื่อง Sizer &amp; Halver </t>
  </si>
  <si>
    <t>P12-HC-ME</t>
  </si>
  <si>
    <t>ล้างทำความสะอาด Water Flow Indicater ของ Slicer1-5</t>
  </si>
  <si>
    <t>P12-HL-ME2</t>
  </si>
  <si>
    <t>เปลี่ยนน้ำมันเกียร์ Feed Conveyor from Dewaterer</t>
  </si>
  <si>
    <t xml:space="preserve">Omala S4 GX 460  </t>
  </si>
  <si>
    <t>0.5 l</t>
  </si>
  <si>
    <t>เปลี่ยนน้ำมันเกียร์ Peeler Feed Elevator</t>
  </si>
  <si>
    <t>1 l</t>
  </si>
  <si>
    <t>เปลี่ยนน้ำมันเกียร์ ของ Gear box Peeler feed Vibrator</t>
  </si>
  <si>
    <t xml:space="preserve">MOBIL DELVAC1 SAE5W-40 </t>
  </si>
  <si>
    <t>เปลี่ยนน้ำมันเกียร์ Batch Peeler #1-6</t>
  </si>
  <si>
    <t>Omala S4 GX 220   </t>
  </si>
  <si>
    <t>3 l</t>
  </si>
  <si>
    <t>เปลี่ยนน้ำมันเกียร์ ของ Gear box Peeler Discharge Vibrator</t>
  </si>
  <si>
    <t>P12-HL-ME</t>
  </si>
  <si>
    <t>เปลี่ยนน้ำมันเกียร์ Peeled Infeed Elevator</t>
  </si>
  <si>
    <t>1.6 l</t>
  </si>
  <si>
    <t>เปลี่ยนน้ำมันเกียร์ Inspection Conveyor</t>
  </si>
  <si>
    <t>เปลี่ยนน้ำมันเกียร์ Slicer Incline Conveyor</t>
  </si>
  <si>
    <t>2.0 l</t>
  </si>
  <si>
    <t>เปลี่ยนน้ำมัน Gear Box ของ Slicer Head Slicer#1-5</t>
  </si>
  <si>
    <t>เปลี่ยนน้ำมันของ Gear Box ตัวปรับตั้ง Grader Conveyor</t>
  </si>
  <si>
    <t>เปลี่ยนน้ำมันของ Gear Box Motor Grader Conveyor</t>
  </si>
  <si>
    <t>เปลี่ยนน้ำมันของ Gear Box Collection Vibrating Conveyor</t>
  </si>
  <si>
    <t>DELVAC1, SAE5W-40</t>
  </si>
  <si>
    <t>เปลี่ยนน้ำมันของ Gear Box Slicer Hopper Infeed Conveyor</t>
  </si>
  <si>
    <t>0.45 l</t>
  </si>
  <si>
    <t>Peeler Infeed vibrating conveyor</t>
  </si>
  <si>
    <t>เปลี่ยนน้ำมันของ Gear Box Peeler Lanning Vibrating Conveyor</t>
  </si>
  <si>
    <t>เปลี่ยนน้ำมันของ Gear Box รางสั่น Slicer Laning Conveyor</t>
  </si>
  <si>
    <t>เปลี่ยนน้ำมันของ Gear Box Motor Cutter Roller Conveyor</t>
  </si>
  <si>
    <t>เปลี่ยนน้ำมันของ Gear Box Motor Cutter Blade</t>
  </si>
  <si>
    <t>P12-YR-ME</t>
  </si>
  <si>
    <t>เปลี่ยนสายพาน Slicer Incline Conveyor</t>
  </si>
  <si>
    <t>[P1240002]</t>
  </si>
  <si>
    <t>P12-YR-ME2</t>
  </si>
  <si>
    <t>เปลี่ยนสายพาน Peeled Infeed Elevator</t>
  </si>
  <si>
    <t>[P1220002]</t>
  </si>
  <si>
    <t>P12-HR-ME4</t>
  </si>
  <si>
    <t>เปลี่ยน V- belt Peeler feed Vibrator</t>
  </si>
  <si>
    <t>เปลี่ยน V- belt Peeler Discharge Vibrator</t>
  </si>
  <si>
    <t>เปลี่ยน V- belt Collection Vibrating Conveyor</t>
  </si>
  <si>
    <t>XPA1010</t>
  </si>
  <si>
    <t xml:space="preserve">เปลี่ยน V- belt Slicer Lanning Conveyor  </t>
  </si>
  <si>
    <t>XPA1120</t>
  </si>
  <si>
    <t>P12-YR-ME3</t>
  </si>
  <si>
    <t>เปลี่ยน Rod ของสายพาน Slicer Incline Conveyor</t>
  </si>
  <si>
    <t>P12-YR-ME4</t>
  </si>
  <si>
    <t>เปลี่ยน Rod ของสายพาน Peeled Infeed Elevator</t>
  </si>
  <si>
    <t>P13-FC-ME</t>
  </si>
  <si>
    <t>เป่าทำความสะอาด Air Filter ของ Air Knife พร้อมทั้งตรวจสอบสภาพของ Filter</t>
  </si>
  <si>
    <t>P13-FL-ME</t>
  </si>
  <si>
    <t>อัดจาระบี Bearing ของ FOB Conveyor ทั้ง 4 จุด</t>
  </si>
  <si>
    <t>อัดจาระบี Bearing ของ FOB Catchbox Conveyor ทั้ง 2 จุด</t>
  </si>
  <si>
    <t>อัดจาระบี Bearing ของ PSSW Conveyor ทั้ง 2 จุด</t>
  </si>
  <si>
    <t>อัดจาระบี Bearing ของ PSSW Catchbox Conveyor ทั้ง 2 จุด</t>
  </si>
  <si>
    <t>P13-MC-ME</t>
  </si>
  <si>
    <t>ทำความสะอาด Inlet Filter ของ FOB Fines Blower</t>
  </si>
  <si>
    <t>ทำความสะอาด Inlet Filter ของ PSSW Fine Blower</t>
  </si>
  <si>
    <t>P13-MI-ME</t>
  </si>
  <si>
    <t>ตรวจเช็คโซ่และเฟืองขับของสายพาน PSSW Conveyor</t>
  </si>
  <si>
    <t>ตรวจเช็คความสึกหรอของ Sprocket ขับและสายพาน FOB</t>
  </si>
  <si>
    <t>ตรวจเช็คการรั่วซึมที่ Mechanical Seal ของ FOB Water Pump</t>
  </si>
  <si>
    <t>ตรวจเช็คการรั่วของลมบริเวณ Air Regulator Unit</t>
  </si>
  <si>
    <t>ตรวจเช็คการรั่วซึมที่ Mechanical Seal ของ PSSW Water Pump</t>
  </si>
  <si>
    <t>ตรวจเช็คความตึงหย่อนของสายพาน FOB Conveyor</t>
  </si>
  <si>
    <t>Knife Peeler#1-2</t>
  </si>
  <si>
    <t>ตรวจเช็คสภาพทั่วไปและสภาพ สายพานขับ v-belt ของ knife peeler#1-2</t>
  </si>
  <si>
    <t>P13-MV-ME</t>
  </si>
  <si>
    <t>ตรวจวัดค่า Vibration Air Knife</t>
  </si>
  <si>
    <t>ตรวจวัดค่า Vibration Air Sweep</t>
  </si>
  <si>
    <t>ตรวจวัดค่า Vibration FOB Water Pump</t>
  </si>
  <si>
    <t>ตรวจวัดค่า Vibration PSSW Water Pump</t>
  </si>
  <si>
    <t>P13-QL-ME</t>
  </si>
  <si>
    <t>อัดจาระบี Bearing หน้า-หลัง Motor Air Sweep</t>
  </si>
  <si>
    <t>P13-QR-ME</t>
  </si>
  <si>
    <t>เปลี่ยน Air Filter Air Knife</t>
  </si>
  <si>
    <t>P13-HR-ME2</t>
  </si>
  <si>
    <t>เปลี่ยน Bush ด้านล่าง และตัดต่อสายพานของ FOB Catch Box</t>
  </si>
  <si>
    <t>P13-HR-ME</t>
  </si>
  <si>
    <t>เปลี่ยน Bush ด้านล่าง และตัดต่อสายพานของ PSSW Catch Box</t>
  </si>
  <si>
    <t>P13-HR-ME3</t>
  </si>
  <si>
    <t>เปลี่ยน Bearing ของ FOB Conveyor</t>
  </si>
  <si>
    <t>ASAHI Hi-Temp UC208</t>
  </si>
  <si>
    <t>เปลี่ยน Bearing ของ PSSW Conveyor</t>
  </si>
  <si>
    <t>P13-HL-ME</t>
  </si>
  <si>
    <t>เปลี่ยนน้ำมันเกียร์ขับสายพาน FOB Conveyor</t>
  </si>
  <si>
    <t>เปลี่ยนน้ำมันเกียร์ขับสายพาน FOB Catchbox Conveyor</t>
  </si>
  <si>
    <t>เปลี่ยนน้ำมันเกียร์ของชุดเกียร์ขับ PSSW Conveyor</t>
  </si>
  <si>
    <t>0.6 l</t>
  </si>
  <si>
    <t>เปลี่ยนน้ำมันเกียร์ขับสายพาน PSSW Catchbox Conveyor</t>
  </si>
  <si>
    <t>P14-MI-ME</t>
  </si>
  <si>
    <t>Thermal Oil Boiler &amp; Piping</t>
  </si>
  <si>
    <t>ตรวจเช็คการรั่ว ซึม น้ำมัน และ หน้าแปนThermal Oil Boiler &amp; Piping</t>
  </si>
  <si>
    <t>ตรวจเช็คเสียง และ การสั่นสะเทือนของ Thermal Oil Circulating Pump</t>
  </si>
  <si>
    <t>ตรวจเช็คการรั่วของน้ำมันเกียร์Thermal Oil Circulating Pump</t>
  </si>
  <si>
    <t>ตรวจเช็คเสียง และ การสั่นสะเทือนของ Combustion Fan</t>
  </si>
  <si>
    <t>ตรวจเช็คเสียง และ การสั่นสะเทือนของ Discharge Pump zone 1</t>
  </si>
  <si>
    <t>ตรวจเช็คการรั่วของน้ำมัน Discharge Pump zone 1</t>
  </si>
  <si>
    <t>ตรวจเช็คการรั่วของน้ำมันเกียร์ Discharge Pump zone 1</t>
  </si>
  <si>
    <t>ตรวจเช็คเสียง และ การสั่นสะเทือนของ Discharge Pump zone 2</t>
  </si>
  <si>
    <t>ตรวจเช็คการรั่วของน้ำมัน Discharge Pump zone 2</t>
  </si>
  <si>
    <t>ตรวจเช็คการรั่วของน้ำมันเกียร์ Discharge Pump zone 2</t>
  </si>
  <si>
    <t>Oil Heat exchanger</t>
  </si>
  <si>
    <t>ตรวจเช็คการรั่วของ oil heat exchanger</t>
  </si>
  <si>
    <t>P14-ML-ME</t>
  </si>
  <si>
    <t>อัดจาระบีหัว-ท้ายของมอเตอร์ MOP จุดละ 2 Stroke</t>
  </si>
  <si>
    <t>อัดจาระบีหัว-ท้ายของมอเตอร์ Thermal Oil Circulating Pump จุดละ 2 Stroke</t>
  </si>
  <si>
    <t>อัดจาระบีหัว-ท้ายของมอเตอร์ Combustion Fan จุดละ 2 Stroke</t>
  </si>
  <si>
    <t>อัดจาระบีที่ Lip Seal ห้อง Bearing MOP 1 จุด</t>
  </si>
  <si>
    <t>P14-ML-ME2</t>
  </si>
  <si>
    <t>อัดจาระบีห้อง Bearing และแกนเพลา 2 จุด อัดช้าๆ 1 Stroke</t>
  </si>
  <si>
    <t>P14-MV-ME</t>
  </si>
  <si>
    <t>ตรวจวัดค่า Vibration Thermal Oil Circulating Pump</t>
  </si>
  <si>
    <t>ตรวจวัดค่า Vibration Combustion Fan</t>
  </si>
  <si>
    <t>ตรวจวัดค่า Vibration Discharge Pump Zone 1</t>
  </si>
  <si>
    <t>ตรวจวัดค่า Vibration Discharge Pump Zone 2</t>
  </si>
  <si>
    <t>P14-MC-ME</t>
  </si>
  <si>
    <t>ทำความสะอาดบริเวณห้อง Thermal Oil ประจำสัปดาห์ (กะ AA)</t>
  </si>
  <si>
    <t>ทำความสะอาดบริเวณห้อง Thermal Oil ประจำสัปดาห์ (กะ BB)</t>
  </si>
  <si>
    <t>P14-MC-ME2</t>
  </si>
  <si>
    <t>Fine blower</t>
  </si>
  <si>
    <t>ทำความสะอาด Inlet air filter ของ Fine  blower</t>
  </si>
  <si>
    <t>P14-QI-ME</t>
  </si>
  <si>
    <t>ขันน๊อตยึดยาง Coupling ระหว่างมอเตอร์กับปั๊มของ MOP</t>
  </si>
  <si>
    <t>ขันน๊อตยึดยาง Coupling ระหว่างมอเตอร์กับปั๊มของThermal Oil Circulating Pump</t>
  </si>
  <si>
    <t>ขันน๊อตยึดยาง Coupling ระหว่างมอเตอร์กับปั๊มของ Discharge Pump Zone 1</t>
  </si>
  <si>
    <t>ขันน๊อตยึดยาง Coupling ระหว่างมอเตอร์กับปั๊มของ Discharge Pump Zone 2</t>
  </si>
  <si>
    <t>P14-HR-ME</t>
  </si>
  <si>
    <t>เปลี่ยน bearing  และตัดต่อสายพานของ Fryer Catch Box Conveyor</t>
  </si>
  <si>
    <t>ASAHI Hi-Temp UC205</t>
  </si>
  <si>
    <t>P14-HL-ME</t>
  </si>
  <si>
    <t>เปลี่ยนน้ำมันเกียร์ของ Fryer Catchbox Conveyor</t>
  </si>
  <si>
    <t>เปลี่ยนน้ำมันห้อง Bearing ของ MOP</t>
  </si>
  <si>
    <t>เปลี่ยนน้ำมันเกียร์ของ Discharge Pump Zone 1</t>
  </si>
  <si>
    <t>1.7 l</t>
  </si>
  <si>
    <t>เปลี่ยนน้ำมันเกียร์ของ Discharge Pump Zone 2</t>
  </si>
  <si>
    <t>P15-WL-ME</t>
  </si>
  <si>
    <t>อัดจาระบี Bearing UC206  Paddle Conveyor ทั้ง 22 จุด</t>
  </si>
  <si>
    <t>อัดจาระบี Bearing UC210 เพลาขับ Paddle Conveyor ทั้ง 2 จุด</t>
  </si>
  <si>
    <t>อัดจาระบี Bearing UC206 Submerger Conveyor ทั้ง 4 จุด</t>
  </si>
  <si>
    <t>อัดจาระบี Bearing UC210 เพลาขับ Submerger Conveyor ทั้ง 2 จุด</t>
  </si>
  <si>
    <t>อัดจาระบี Bearing Jogging ของ Paddle Conveyor ทั้ง 12 ตัว</t>
  </si>
  <si>
    <t>Fryer Seperator Drum</t>
  </si>
  <si>
    <t>P15-FI-ME</t>
  </si>
  <si>
    <t>ตรวจเช็คสภาพสายพานขับ OME Exhaust Fan Infeed Side ทั้ง 3 เส้น</t>
  </si>
  <si>
    <t>[GS114324] XPA 1700</t>
  </si>
  <si>
    <t>[GS114306] XPA 1500</t>
  </si>
  <si>
    <t>ตรวจเช็คสภาพและความตึงหย่อนของสายพานขับ Oil mist eliminate exhaust fan</t>
  </si>
  <si>
    <t>P15-FL-ME</t>
  </si>
  <si>
    <t>อัดจาระบี Bearing Take Out Conveyor ทั้ง 4 จุด</t>
  </si>
  <si>
    <t>อัดจาระบี Bearing Scrap Auger ทั้ง 2 จุด</t>
  </si>
  <si>
    <t>อัดจาระบี Bearing Oil mist eliminate exhaust fan</t>
  </si>
  <si>
    <t>P15-MI-ME</t>
  </si>
  <si>
    <t>ตรวจเช็คความสึกหรอของใบปาดสายพาน Take Out Conveyor</t>
  </si>
  <si>
    <t>ตรวจเช็คความตึงหย่อนของโซ่ขับ Seperator Drum ใน Fryer ทั้ง 2 จุด</t>
  </si>
  <si>
    <t>P15-MV-ME</t>
  </si>
  <si>
    <t>ตรวจวัดค่า Vibration Exhaust Fan Infeed</t>
  </si>
  <si>
    <t>ตรวจวัดค่า Vibration Exhaust Fan Discharge</t>
  </si>
  <si>
    <t>P15-ML-ME</t>
  </si>
  <si>
    <t>หยอดน้ำมันที่หัวเสาของชุด Fryer Hood Lifter ทั้ง 6 เสา</t>
  </si>
  <si>
    <t>P15-QL-ME</t>
  </si>
  <si>
    <t>OMALA 680 / OMALA 220</t>
  </si>
  <si>
    <t>5.9 l / 1.1 l</t>
  </si>
  <si>
    <t>เปลี่ยนน้ำมันเกียร์ Paddle Conveyor</t>
  </si>
  <si>
    <t>OMALA S4 GX220</t>
  </si>
  <si>
    <t>เปลี่ยนน้ำมันเกียร์ Scrap Auger Conveyor</t>
  </si>
  <si>
    <t>P15-HR-ME</t>
  </si>
  <si>
    <t>P15-YR-ME</t>
  </si>
  <si>
    <t>เปลี่ยน Bearing Paddle Conveyor ทั้งหมด</t>
  </si>
  <si>
    <t>ASAHI Hi-Temp UC206</t>
  </si>
  <si>
    <t>22 pcs</t>
  </si>
  <si>
    <t>เปลี่ยน Bearing Jogging ทั้งหมด</t>
  </si>
  <si>
    <t>[GS103407] NATR10PPA</t>
  </si>
  <si>
    <t>12 pcs</t>
  </si>
  <si>
    <t>เปลี่ยน Bearing Submerger Conveyor ทั้ง 4 ตัว</t>
  </si>
  <si>
    <t>4 pcs</t>
  </si>
  <si>
    <t>เปลี่ยน Bearing เพลาขับสายพาน Submerger Conveyor ทั้ง 2 ตัว</t>
  </si>
  <si>
    <t>ASAHI Hi-Temp UC210</t>
  </si>
  <si>
    <t>เปลี่ยน Bearing เพลาขับสายพาน Paddle Conveyor ทั้ง 2 ตัว</t>
  </si>
  <si>
    <t>P15-YR-ME2</t>
  </si>
  <si>
    <t>เปลี่ยน Bearing Fryer Scrap Auger ทั้ง 4 ตัว</t>
  </si>
  <si>
    <t>เปลี่ยน Bearing Take-Out Conveyor ทั้ง 4 ตัว</t>
  </si>
  <si>
    <t>P16-FL-ME</t>
  </si>
  <si>
    <t>อัดจาระบี Bearing สายพาน Main Belt Conveyor ด้านขับทั้ง 4 ตัว</t>
  </si>
  <si>
    <t>อัดจาระบี Bearing สายพาน Main Belt Conveyor ด้านตามทั้ง 2 ตัว</t>
  </si>
  <si>
    <t>อัดจาระบี Bearing Brush Roller ทั้ง 2 จุด</t>
  </si>
  <si>
    <t>อัดจาระบี Bearing Recirculation Conveyor ทั้ง 4 จุด</t>
  </si>
  <si>
    <t>อัดจาระบี Bearing สายพาน Kromasort Outfeed Incline Conveyor ทั้ง 4 จุด</t>
  </si>
  <si>
    <t>อัดจาระบี Bearing สายพาน Moisure Conveyor ทั้ง 4 จุด</t>
  </si>
  <si>
    <t>อัดจาระบี Bearing Idle Wheel สายพาน Kromasort Outfeed Incline Conveyor ทั้ง 6 จุด</t>
  </si>
  <si>
    <t>อัดจาระบี Bearing ของ Kromasort Waste Conveyor ทั้ง 4 จุด</t>
  </si>
  <si>
    <t>อัดจาระบี Bearing ของ Kromasort Recycle Conveyor ทั้งหมด 4 จุด</t>
  </si>
  <si>
    <t>อัดจาระบี Bearing ของ Kromasort X-Feed Conveyor  ทั้งหมด 4 จุด</t>
  </si>
  <si>
    <t>P16-MC-ME</t>
  </si>
  <si>
    <t>P16-MI-ME</t>
  </si>
  <si>
    <t>ตรวจเช็คการรั่วของน้ำมันเกียร์ Defect Conveyor</t>
  </si>
  <si>
    <t>ตรวจเช็คสภาพสายพาน Recirculation Conveyor</t>
  </si>
  <si>
    <t>ตรวจเช็คสภาพ Brush Roller และ สายพานขับของสายพาน Recirculation Conveyor</t>
  </si>
  <si>
    <t>ตรวจเช็คความสึกหรอของใบปาดข้างสายพาน Moisure Monitor Conveyor</t>
  </si>
  <si>
    <t>ตรวจเช็คสภาพสายพาน Main Conveyor Belt</t>
  </si>
  <si>
    <t>ตรวจเช็คสภาพของ Spring Kromasort Infeed Vibrating Conveyor</t>
  </si>
  <si>
    <t>ตรวจเช็ค Stroke การทำงานของรางสั่น Kromasort Infeed Vibrating Conveyor 8.5</t>
  </si>
  <si>
    <t>ตรวจเช็คสภาพการสั่นสะเทือนและรอยแตกร้าว ของ Frame Kromasort Infeed Vibrating Conveyor</t>
  </si>
  <si>
    <t>ตรวจเช็คสภาพตึง หย่อน ของสายพานขับ Kromasort Infeed Vibrating Conveyor</t>
  </si>
  <si>
    <t>ตรวจเช็คสภาพของ Spring Stud Bolt ทั้ง 4 ชุด Kromasort Infeed Vibrating Conveyor</t>
  </si>
  <si>
    <t>ตรวจเช็คสภาพของ Spring Kromasort Outfeed Vibrating Conveyor</t>
  </si>
  <si>
    <t>ตรวจเช็ค Stroke การทำงานของรางสั่น Kromasort Outfeed Vibrating Conveyor</t>
  </si>
  <si>
    <t>ตรวจเช็คสภาพการสั่นสะเทือนและรอยแตกร้าว ของ Frame Kromasort Outfeed Vibrating Conveyor</t>
  </si>
  <si>
    <t>ตรวจเช็คการรั่วของน้ำมันเกียร์ Kromasort Outfeed Incline Conveyor</t>
  </si>
  <si>
    <t>ตรวจเช็คการรั่วของน้ำมันเกียร์ของ Kromasort Waste Conveyor</t>
  </si>
  <si>
    <t>ตรวจเช็คสภาพสายพานและเช็คการตึงหย่อนพร้อมปรับตั้ง</t>
  </si>
  <si>
    <t>ตรวจเช็คการรั่วของน้ำมันเกียร์ของ Kromasort  Recycle Conveyor</t>
  </si>
  <si>
    <t>ตรวจเช็คการรั่วของน้ำมันเกียร์ของ Kromasort  X-Feed Conveyor</t>
  </si>
  <si>
    <t>P16-MV-ME</t>
  </si>
  <si>
    <t>ตรวจวัดค่า Vibration Kromasort Main Conveyor</t>
  </si>
  <si>
    <t>P16-MR-ME</t>
  </si>
  <si>
    <t>เปลี่ยน Water filter  เครื่องทำน้ำเย็นใหม่</t>
  </si>
  <si>
    <t>P16-QR-ME2</t>
  </si>
  <si>
    <t>เปลี่ยนสายพาน Kromasort Main Conveyor</t>
  </si>
  <si>
    <t>[P1610000]</t>
  </si>
  <si>
    <t>P16-HL-ME</t>
  </si>
  <si>
    <t>เปลี่ยนน้ำมันเกียร์ Moisture Conveyor</t>
  </si>
  <si>
    <t>เปลี่ยนน้ำมันเกียร์ Main Conveyor Belt Kromasort</t>
  </si>
  <si>
    <t>OMALA HD 460</t>
  </si>
  <si>
    <t>sight glass</t>
  </si>
  <si>
    <t>เปลี่ยนน้ำมันเกียร์ขับ สายพาน Kromasort Infeed Vibrating Conveyor</t>
  </si>
  <si>
    <t>MOBIL 1 SAE5W-30</t>
  </si>
  <si>
    <t>เปลี่ยนน้ำมันเกียร์ขับ สายพาน Kromasort Outfeed Incline Conveyor</t>
  </si>
  <si>
    <t>OMALA 320</t>
  </si>
  <si>
    <t>เปลี่ยนน้ำมันเกียร์ของ Kromasort Waste Conveyor</t>
  </si>
  <si>
    <t>เปลี่ยนน้ำมันเกียร์ของ Kromasort  Recycle Conveyor</t>
  </si>
  <si>
    <t>เปลี่ยนน้ำมันเกียร์ของ Kromasort  Kromasort X-Feed Conveyor</t>
  </si>
  <si>
    <t>P16-HR-ME</t>
  </si>
  <si>
    <t>เปลี่ยน Bearing  Kromasort Main Conveyor Infeed</t>
  </si>
  <si>
    <t>UCFL 209-26S, d=1-5/8"</t>
  </si>
  <si>
    <t>2 set</t>
  </si>
  <si>
    <t>เปลี่ยน Bearing  Kromasort Main Conveyor Outfeed</t>
  </si>
  <si>
    <t>FYH UKPA 207 / Sleeve H2307</t>
  </si>
  <si>
    <t>P16-HR-ME2</t>
  </si>
  <si>
    <t>เปลี่ยนV- belt สายพาน Kromasort Infeed Vibrating Conveyor</t>
  </si>
  <si>
    <t>BX50</t>
  </si>
  <si>
    <t>P17-WC-ME</t>
  </si>
  <si>
    <t>ทำความสะอาด Inlet air filterให้สะอาด</t>
  </si>
  <si>
    <t>P17-FL-ME</t>
  </si>
  <si>
    <t>Weigh Belt Loop #2-3</t>
  </si>
  <si>
    <t>อัดจาระบี Bearing Weight belt Loop #2-Loop #3</t>
  </si>
  <si>
    <t>อัดจาระบี Bearing Tumbler Drum #1 ทั้ง 4 จุด</t>
  </si>
  <si>
    <t>อัดจาระบี Bearing Tumbler Drum #2 ทั้ง 4 จุด</t>
  </si>
  <si>
    <t>อัดจาระบี Bearing Tumbler Drum #3 ทั้ง 4 จุด</t>
  </si>
  <si>
    <t>อัดจาระบี Bearing Tumbler Drum #4 ทั้ง 4 จุด</t>
  </si>
  <si>
    <t>อัดจาระบี Bearing เพลา Agitator Spiroflow Loop #1 ทั้ง 2 จุด</t>
  </si>
  <si>
    <t>อัดจาระบี Bearing เพลา Agitator Spiroflow Loop #2 ทั้ง 2 จุด</t>
  </si>
  <si>
    <t>อัดจาระบี Bearing เพลา Agitator Spiroflow Loop #3 ทั้ง 2 จุด</t>
  </si>
  <si>
    <t>อัดจาระบี Bearing เพลา Agitator Spiroflow Loop #4 ทั้ง 2 จุด</t>
  </si>
  <si>
    <t>Tumbler Drum Loop #1-4</t>
  </si>
  <si>
    <t>ฉีดสเปรย์หล่อลื่นโซ่ขับ Tumbler Drum Loop #1-#4</t>
  </si>
  <si>
    <t>SSN Dust Collector</t>
  </si>
  <si>
    <t>อัดจาระบี Bearing เพลาขับ Dust Collector 2 จุด</t>
  </si>
  <si>
    <t>P17-FI-ME</t>
  </si>
  <si>
    <t>ตรวจเช็คสภาพสายพานขับ Dust Collector</t>
  </si>
  <si>
    <t>?</t>
  </si>
  <si>
    <t>P17-FI-ME2</t>
  </si>
  <si>
    <t>ตรวจเช็คความดันน้ำยาด้าน LO/HI พร้อมจดบันทึกค่า</t>
  </si>
  <si>
    <t>ตรวจเช็คแรงดันน้ำที่จ่ายเข้าระบบ</t>
  </si>
  <si>
    <t>ตรวจเช็คอุณหภูมน้ำเย็นที่จ่ายเข้าระบบที่ Thermometer</t>
  </si>
  <si>
    <t>P17-MI-ME</t>
  </si>
  <si>
    <t>Weight Belt Loop #2</t>
  </si>
  <si>
    <t>ตรวจเช็คความสึกหรอของสายพาน Timing ขับ Weightbelt Loop #2</t>
  </si>
  <si>
    <t>Weight Belt Loop #3</t>
  </si>
  <si>
    <t>ตรวจเช็คความสึกหรอของสายพาน Timing ขับ Weightbelt Loop #3</t>
  </si>
  <si>
    <t>ตรวจเช็คความสึกหรอของโซ่และเฟืองขับ Tumbler Drum Loop #1</t>
  </si>
  <si>
    <t>ตรวจเช็คความสึกหรอของโซ่และเฟืองขับ Tumbler Drum Loop #2</t>
  </si>
  <si>
    <t>ตรวจเช็คความสึกหรอของโซ่และเฟืองขับ Tumbler Drum Loop #3</t>
  </si>
  <si>
    <t>ตรวจเช็คความสึกหรอของโซ่และเฟืองขับ Tumbler Drum Loop #4</t>
  </si>
  <si>
    <t>ตรวจเช็คระดับน้ำมันเกียร์ขับ Weightbelt Loop #2</t>
  </si>
  <si>
    <t>ตรวจเช็คระดับน้ำมันเกียร์ขับ Weightbelt Loop #3</t>
  </si>
  <si>
    <t>SSN Applicator Loop #1-4</t>
  </si>
  <si>
    <t>ตรวจเช็คการรั่วที่เพลา Screw SSN Loop #1-4</t>
  </si>
  <si>
    <t>P17-MR-ME</t>
  </si>
  <si>
    <t>เปลี่ยนปะเก็นเชือก SSN Auger Loop #1</t>
  </si>
  <si>
    <t>เปลี่ยนปะเก็นเชือก SSN Agitator Loop #1</t>
  </si>
  <si>
    <t>เปลี่ยนปะเก็นเชือก SSN Auger Loop #2</t>
  </si>
  <si>
    <t>เปลี่ยนปะเก็นเชือก SSN Agitator Loop #2</t>
  </si>
  <si>
    <t>เปลี่ยนปะเก็นเชือก SSN Auger Loop #3</t>
  </si>
  <si>
    <t>เปลี่ยนปะเก็นเชือก SSN Agitator Loop #3</t>
  </si>
  <si>
    <t>เปลี่ยนปะเก็นเชือก SSN Auger Loop #4</t>
  </si>
  <si>
    <t>เปลี่ยนปะเก็นเชือก SSN Agitator Loop #4</t>
  </si>
  <si>
    <t>P17-QR-ME</t>
  </si>
  <si>
    <t>เปลี่ยน bearing ล้อประคอง scarf feeder Loop#1</t>
  </si>
  <si>
    <t>P17-QR-ME2</t>
  </si>
  <si>
    <t>เปลี่ยน bearing ล้อประคอง scarf feeder Loop#2</t>
  </si>
  <si>
    <t>P17-QR-ME3</t>
  </si>
  <si>
    <t>เปลี่ยน bearing ล้อประคอง scarf feeder Loop#3</t>
  </si>
  <si>
    <t>P17-QR-ME4</t>
  </si>
  <si>
    <t>เปลี่ยน bearing ล้อประคอง scarf feeder Loop#4</t>
  </si>
  <si>
    <t>P17-HR-ME</t>
  </si>
  <si>
    <t>เปลี่ยนสายพานขับ Dust collector</t>
  </si>
  <si>
    <t>SPX 1030</t>
  </si>
  <si>
    <t>P17-HL-ME</t>
  </si>
  <si>
    <t>เปลี่ยนน้ำมันเกียร์ Weight belt Loop #2</t>
  </si>
  <si>
    <t>เปลี่ยนน้ำมันขับเกียร์ Weightbelt Loop #3</t>
  </si>
  <si>
    <t>เปลี่ยนน้ำมันขับเกียร์  Tumbler Drum Loop #1</t>
  </si>
  <si>
    <t>0.9 l</t>
  </si>
  <si>
    <t>เปลี่ยนน้ำมันขับเกียร์  Tumbler Drum Loop #2</t>
  </si>
  <si>
    <t>เปลี่ยนน้ำมันขับเกียร์ Tumbler Drum Loop #3</t>
  </si>
  <si>
    <t>P17-HR-ME2</t>
  </si>
  <si>
    <t>เปลี่ยน Bearing เพลาขับ Dust collector</t>
  </si>
  <si>
    <t>P17-HA-ME</t>
  </si>
  <si>
    <t>ปรับตั้ง Alignment ของ Scarf feeder plate ทั้งแนว X และ Y</t>
  </si>
  <si>
    <t>P17-HR-ME3</t>
  </si>
  <si>
    <t>งานเปลี่ยน Fiber Spring และลูกยางรองฐานของชุด Scarf Feeder Loop#1</t>
  </si>
  <si>
    <t>P17-YR-ME</t>
  </si>
  <si>
    <t>งานเปลี่ยน Fiber Spring และลูกยางรองฐานของชุด Scarf Feeder Loop#2</t>
  </si>
  <si>
    <t>P17-YR-ME2</t>
  </si>
  <si>
    <t>งานเปลี่ยน Fiber Spring และลูกยางรองฐานของชุด Scarf Feeder Loop#3</t>
  </si>
  <si>
    <t>P17-YR-ME3</t>
  </si>
  <si>
    <t>งานเปลี่ยน Fiber Spring และลูกยางรองฐานของชุด Scarf Feeder Loop#4</t>
  </si>
  <si>
    <t>P18-FL-ME</t>
  </si>
  <si>
    <t>อัดจาระบี Bearing สายพาน Elevating Conveyor Loop #1 ทั้ง 4 จุด</t>
  </si>
  <si>
    <t>อัดจาระบี Bearing สายพาน Elevating Conveyor Loop #2 ทั้ง 4 จุด</t>
  </si>
  <si>
    <t>อัดจาระบี Bearing สายพาน Elevating Conveyor Loop #3 ทั้ง 4 จุด</t>
  </si>
  <si>
    <t>อัดจาระบี Bearing สายพาน Elevating Conveyor Loop #4 ทั้ง 8 จุด</t>
  </si>
  <si>
    <t>อัดจาระบี Bearing สายพาน Elevating Conveyor Loop #5 ทั้ง 10 จุด</t>
  </si>
  <si>
    <t>Vibrating Conveyor (Outfeed Drum Loop #1)</t>
  </si>
  <si>
    <t>P18-MI-ME</t>
  </si>
  <si>
    <t>Elevating Conveyor #1-4</t>
  </si>
  <si>
    <t>ตรวจเช็คความตึงหย่อนของสายพาน Elevating Conveyor Loop #1-5</t>
  </si>
  <si>
    <t>ตรวจเช็คสภาพของ Spring Vibrating Conveyor (Outfeed Drum Loop #1)</t>
  </si>
  <si>
    <t>P18-HL-ME</t>
  </si>
  <si>
    <t>เปลี่ยนน้ำมันเกียร์ขับสายพาน Elevating Conveyor Loop #1</t>
  </si>
  <si>
    <t>เปลี่ยนน้ำมันเกียร์ขับสายพาน Elevating Conveyor Loop #2</t>
  </si>
  <si>
    <t>เปลี่ยนน้ำมันเกียร์ขับสายพาน Elevating Conveyor Loop #3</t>
  </si>
  <si>
    <t>เปลี่ยนน้ำมันเกียร์ขับสายพาน Elevating Conveyor Loop #4</t>
  </si>
  <si>
    <t>เปลี่ยนน้ำมันเกียร์ขับสายพาน Elevating Conveyor Loop #5</t>
  </si>
  <si>
    <t>RB0-FC-ME</t>
  </si>
  <si>
    <t>ทำความสะอาด air filter เข้า Regulator ของ Pneumatic Knocker (V0802)</t>
  </si>
  <si>
    <t>RB0-MI-ME</t>
  </si>
  <si>
    <t>ตรวจเช็คการทำงานของ Pressure / Air purge valve (V0803)</t>
  </si>
  <si>
    <t>ตรวจเช็คการรั่วของลม fluidisation valve (V0803)</t>
  </si>
  <si>
    <t>ตรวจเช็คการรั่วของลมเข้า Regulator ที่ Pneumatic Knocker (V0802)</t>
  </si>
  <si>
    <t>ตรวจเช็คการทำงานของ Low level switch (LSL0801)</t>
  </si>
  <si>
    <t>ตรวจเช็คการรั่วของลมเข้า pressure tank ของ  batch weight hopper</t>
  </si>
  <si>
    <t>ตรวจเช็คการสั่นของ Motor M1201 Buffer Hopper</t>
  </si>
  <si>
    <t>ตรวจเช็คการรั่วของ Valve Buffer Hopper (HV121, V1201, V1202,V1203, V1204, V1212)</t>
  </si>
  <si>
    <t>ตรวจเช็คการทำงานของ Valve V1201, V1202</t>
  </si>
  <si>
    <t>ตรวจเช็คระดับน้ำมันเกียร์ของ Dry Blender ทั้ง 2 จุด (M1101, M1102)</t>
  </si>
  <si>
    <t>ตรวจเช็คการรั่วของ Valve (V1009, V1101, V1010, V1011)</t>
  </si>
  <si>
    <t>ตรวจเช็คการรั่วของแป้งและประเก็นเชือกของ Dry blender</t>
  </si>
  <si>
    <t>ตรวจเช็คลมเป่าหัวท้ายของมอเตอร์ Dry blender</t>
  </si>
  <si>
    <t>ตรวจเช็คการทำงานของตัวสั่น Sifter</t>
  </si>
  <si>
    <t>ตรวจเช็คการรั่วของแป้งบริเวณ Sifter</t>
  </si>
  <si>
    <t>ตรวจเช็คการรั่วของลมเข้า Air purge control box</t>
  </si>
  <si>
    <t>ตรวจเช็คการทำงานของ vibrator (M1004)</t>
  </si>
  <si>
    <t>ตรวจเช็คการรั่วของลมเข้า Fresh air valve (V1007)</t>
  </si>
  <si>
    <t>ตรวจขันกวด Filling plug และ drain plug</t>
  </si>
  <si>
    <t>ตรวจเช็คการรั่วของน้ำมัน Vacuum pump No.1</t>
  </si>
  <si>
    <t>ตรวจเช็คแรงดันที่ Filter pressure gauge(เปลี่ยนdischarge filterเมื่อเกิน 0.6bar)</t>
  </si>
  <si>
    <t>P/N 05320127419</t>
  </si>
  <si>
    <t>ตรวจเช็คระดับน้ำมันเกียร์ขับของ Bag Dump (M0802)</t>
  </si>
  <si>
    <t>ตรวจเช็คระดับน้ำมันเกียร์ขับของ Dry Blender (M1101)</t>
  </si>
  <si>
    <t>ตรวจเช็คระดับน้ำมันเกียร์ขับของ Blender rotary air lock motor (M1102)</t>
  </si>
  <si>
    <t>ตรวจเช็คระดับและสีน้ำมันของ Vacuum Pump No.1 (M1003)</t>
  </si>
  <si>
    <t>ระดับอยู่ระหว่าง min-max</t>
  </si>
  <si>
    <t>RB0-ML-ME</t>
  </si>
  <si>
    <t>อัดจาระบี Dry blender 1 จุด (M1101)</t>
  </si>
  <si>
    <t>RB0-MC-ME</t>
  </si>
  <si>
    <t>ถอด และใช้ลมเป่าทำความสะอาด Gas ballast valve</t>
  </si>
  <si>
    <t>ถอด และใช้ลมเป่าทำความสะอาด Inlet flange</t>
  </si>
  <si>
    <t>RB0-NL-ME</t>
  </si>
  <si>
    <t>เปลี่ยนน้ำมันของ Vacuum Pump No.1 (M1003)</t>
  </si>
  <si>
    <t>Busch VM100</t>
  </si>
  <si>
    <t>6.5 L</t>
  </si>
  <si>
    <t>RB0-NR-ME</t>
  </si>
  <si>
    <t>เปลี่ยน filter กรองน้ำมันของ Vacuum Pump No.1</t>
  </si>
  <si>
    <t>Filter P/N 0531 000 002</t>
  </si>
  <si>
    <t>RB0-NC-ME</t>
  </si>
  <si>
    <t>ทำความสะอาด level switch เมื่อเปลี่ยนน้ำมันทุกครั้ง</t>
  </si>
  <si>
    <t>RB0-QC-ME</t>
  </si>
  <si>
    <t>ทำความสะอาดพัดลม และ Housing ของ Vacuum Pump No.1</t>
  </si>
  <si>
    <t>RB0-HL-ME</t>
  </si>
  <si>
    <t>เปลี่ยนน้ำมันเกียร์ขับของ Dry Blender (M1101)</t>
  </si>
  <si>
    <t>MOBIL SHC CIBUS 460</t>
  </si>
  <si>
    <t>10.40 L</t>
  </si>
  <si>
    <t>เปลี่ยนน้ำมันเกียร์ขับของ Blender rotary air lock motor (M1102)</t>
  </si>
  <si>
    <t>OMALA S2 G460</t>
  </si>
  <si>
    <t>1.5 L</t>
  </si>
  <si>
    <t>RB0-YL-ME</t>
  </si>
  <si>
    <t>เปลี่ยนน้ำมันเกียร์ขับของ Bag Dump (M0802)</t>
  </si>
  <si>
    <t>0.95 L</t>
  </si>
  <si>
    <t>RB1-WI-ME</t>
  </si>
  <si>
    <t>ทำการ Back Wash RO Unit</t>
  </si>
  <si>
    <t>Dry Feeder</t>
  </si>
  <si>
    <t>ตรวจเช็คปริมาณน้ำยาเติมระบบ RO (Antiscale)</t>
  </si>
  <si>
    <t>ตรวจเช็คการรั่วของ Water Heat Exchanger Unit</t>
  </si>
  <si>
    <t>RB1-FC-ME</t>
  </si>
  <si>
    <t>ล้างทำความสะอาด Filter RO</t>
  </si>
  <si>
    <t>DGD5005-20 (1 pcs)</t>
  </si>
  <si>
    <t>RB1-FC-ME2</t>
  </si>
  <si>
    <t xml:space="preserve">ทำความสะอาดชุดท่อน้ำมัน Oil Feeder </t>
  </si>
  <si>
    <t>Vacuum Pump No.2</t>
  </si>
  <si>
    <t>RB1-FA-ME</t>
  </si>
  <si>
    <t>RB1-FI-ME</t>
  </si>
  <si>
    <t>ตรวจเช็คสภาพ seal ของ Main Mixer Shaft</t>
  </si>
  <si>
    <t>ตรวจเช็คการรั่วของน้ำมัน Vacuum pump No.2</t>
  </si>
  <si>
    <t>ตรวจเช็คการรั่วของวาล์ว (V1205) บน Weight Hopper</t>
  </si>
  <si>
    <t>RB1-MI-ME</t>
  </si>
  <si>
    <t>วัดความสึกหรอของสกรู Mixer</t>
  </si>
  <si>
    <t>ตรวจเช็คการรั่วของน้ำมันเกียร์ dry feeder ทั้ง 2 ตัว</t>
  </si>
  <si>
    <t>ตรวจเช็คระดับน้ำมันเกียร์ขับของ Mixer shaft motor (M1501)</t>
  </si>
  <si>
    <t>ตรวจเช็คระดับน้ำมันเกียร์ขับของ Oil Feeder (M1421)</t>
  </si>
  <si>
    <t>ตรวจเช็คระดับน้ำมันเกียร์ขับของ Water Feeder (M1401)</t>
  </si>
  <si>
    <t>ตรวจเช็คระดับและสีน้ำมันของ Vacuum Pump No.2 (M1202)</t>
  </si>
  <si>
    <t>RB1-MC-ME</t>
  </si>
  <si>
    <t>RB1-NL-ME</t>
  </si>
  <si>
    <t>เปลี่ยนน้ำมันของ Vacuum Pump No.2 (M1202)</t>
  </si>
  <si>
    <t>RB1-NR-ME</t>
  </si>
  <si>
    <t>เปลี่ยน filter กรองน้ำมันของ Vacuum Pump No.2</t>
  </si>
  <si>
    <t>RB1-NC-ME</t>
  </si>
  <si>
    <t>RB1-MR-ME</t>
  </si>
  <si>
    <t>เปลี่ยน Filter RO</t>
  </si>
  <si>
    <t>RB1-QC-ME</t>
  </si>
  <si>
    <t>ทำความสะอาดพัดลม และ Housing ของ Vacuum Pump No.2</t>
  </si>
  <si>
    <t>RB1-HC-ME</t>
  </si>
  <si>
    <t>ทำความสะอาดเมมเบรน RO ด้วยสารเคมี</t>
  </si>
  <si>
    <t>เรียก Supplier</t>
  </si>
  <si>
    <t>RB1-HI-ME</t>
  </si>
  <si>
    <t>RB1-HL-ME</t>
  </si>
  <si>
    <t>เปลี่ยนน้ำมันเกียร์ขับของ Mixer shaft motor (M1501)</t>
  </si>
  <si>
    <t>24.5 L</t>
  </si>
  <si>
    <t>เปลี่ยนน้ำมันเกียร์ขับของ Oil Feeder (M1421)</t>
  </si>
  <si>
    <t>0.45 L</t>
  </si>
  <si>
    <t>เปลี่ยนน้ำมันเกียร์ขับของ Water Feeder (M1401)</t>
  </si>
  <si>
    <t>RB2-FI-ME</t>
  </si>
  <si>
    <t>ตรวจเช็คสภาพการฉีกขาดของสายพาน Metal Detector Conveyor</t>
  </si>
  <si>
    <t>ตรวจเช็คสภาพการฉีกขาดของสายพาน Oscillating conveyor</t>
  </si>
  <si>
    <t>RB2-ML-ME</t>
  </si>
  <si>
    <t>อัดจาระบี Bearing ของ Metal Detector Conveyor จำนวน 4 จุด</t>
  </si>
  <si>
    <t>2 stroke</t>
  </si>
  <si>
    <t>อัดจาระบี Bearing เพลาขับ Oscillating Conveyor จำนวน 4 จุด</t>
  </si>
  <si>
    <t>RB2-MI-ME</t>
  </si>
  <si>
    <t>ตรวจเช็คความตึงหย่อนของสายพาน Metal Detector conveyor พร้อมปรับตั้ง</t>
  </si>
  <si>
    <t>ตรวจเช็คระดับน้ำมันเกียร์ขับของ Metal Detector Conveyor (M1701)</t>
  </si>
  <si>
    <t>ตรวจเช็คความตึงหย่อนของสายพาน Oscillating conveyor พร้อมปรับตั้ง</t>
  </si>
  <si>
    <t>ตรวจเช็คระดับน้ำมันเกียร์ขับของ Oscillating Conveyor (M2002)</t>
  </si>
  <si>
    <t>ตรวจเช็คระดับน้ำมันเกียร์ขับของ Oscilator drive motor (M2003)</t>
  </si>
  <si>
    <t>RB2-HL-ME</t>
  </si>
  <si>
    <t>เปลี่ยนน้ำมันเกียร์ขับของ Metal Detector Conveyor (M1701)</t>
  </si>
  <si>
    <t>1.10  L</t>
  </si>
  <si>
    <t>เปลี่ยนน้ำมันเกียร์ขับของ Oscillating Conveyor (M2002)</t>
  </si>
  <si>
    <t>1.00 L</t>
  </si>
  <si>
    <t>เปลี่ยนน้ำมันเกียร์ขับของ Oscilator drive (M2003)</t>
  </si>
  <si>
    <t>1.6 L</t>
  </si>
  <si>
    <t>RB3-WC-ME</t>
  </si>
  <si>
    <t>ทำความสะอาดใต้สายพาน ใบปาด ชุดขับ พร้อมปรับตั้งความตึงสายพาน Cutter Conveyor</t>
  </si>
  <si>
    <t>ทำความสะอาดใต้สายพาน ใบปาด ชุดขับ พร้อมปรับตั้งความตึงสายพาน Separation Conveyor</t>
  </si>
  <si>
    <t>3RS Conveyor</t>
  </si>
  <si>
    <t>RB3-FI-ME</t>
  </si>
  <si>
    <t>ตรวจเช็คสภาพความสึกหรอ การฉีกขาดของสายพาน 3RS Conveyor โดยเฉพาะบริเวณรอยต่อ</t>
  </si>
  <si>
    <t>ตรวจเช็คสภาพความสึกหรอ การฉีกขาดของสายพาน PGR Conveyor โดยเฉพาะบริเวณรอยต่อ</t>
  </si>
  <si>
    <t>ตรวจเช็คสภาพความสึกหรอ การฉีกขาดของสายพาน FGR Conveyor โดยเฉพาะบริเวณรอยต่อ</t>
  </si>
  <si>
    <t>ตรวจเช็คสภาพความสึกหรอ การฉีกขาดของสายพาน RGR Conveyor โดยเฉพาะบริเวณรอยต่อ</t>
  </si>
  <si>
    <t>ตรวจเช็คสภาพความสึกหรอ การฉีกขาดของสายพาน Cutting Conveyor โดยเฉพาะบริเวณรอยต่อ</t>
  </si>
  <si>
    <t>ตรวจเช็คสภาพความสึกหรอ การฉีกขาดของสายพาน Separation Conv. โดยเฉพาะบริเวณรอยต่อ</t>
  </si>
  <si>
    <t>ตรวจเช็คการรั่วของลมเข้าตู้ Pneumatic ของ Separation Conveyor</t>
  </si>
  <si>
    <t>ตรวจเช็คสภาพและระดับใบปาดเศษของ Roller ทั้ง 3 ตัว</t>
  </si>
  <si>
    <t>RB3-ML-ME</t>
  </si>
  <si>
    <t>อัดจาระบี Bearing เพลาขับ 3RS Sheeter Roller (Forcing Roll, M2102) จำนวน 2 จุด</t>
  </si>
  <si>
    <t>อัดจาระบี Bearing เพลาขับ 3RS Sheeter Roller (Adjt Gauging Roll, M2101) 2 จุด</t>
  </si>
  <si>
    <t>อัดจาระบี Bearing เพลาขับ 3RS Sheeter Roller (Fixed Gauging Roll, M2103) 2 จุด</t>
  </si>
  <si>
    <t>อัดจาระบีตัวปรับตั้งระยะ Roll adjustment screw</t>
  </si>
  <si>
    <t>อัดจาระบี Bearing UCFL205 Roller สายพาน 3RS Conveyor จำนวน 4 จุด</t>
  </si>
  <si>
    <t>อัดจาระบี Bearing UCF207 ตัวขับสายพาน 3RS Conveyor จำนวน 2 จุด</t>
  </si>
  <si>
    <t>อัดจาระบี Bearing ตัวปรับตึงสายพาน 3RS Conveyor จำนวน 2 จุด</t>
  </si>
  <si>
    <t>อัดจาระบี Bearing เพลาขับ FGR Sheeter Roller (Upper Roller) จำนวน 2 จุด</t>
  </si>
  <si>
    <t>อัดจาระบี Bearing เพลาขับ FGR Sheeter Roller (Lower Roller) จำนวน 2 จุด</t>
  </si>
  <si>
    <t>อัดจาระบี Bearing UCFL205 Roller สายพาน FGR Conveyor จำนวน 4 จุด</t>
  </si>
  <si>
    <t>อัดจาระบี Bearing UCF207 ตัวขับสายพาน FGR Conveyor จำนวน 2 จุด</t>
  </si>
  <si>
    <t>อัดจาระบี Bearing ตัวปรับตึงสายพาน FGR Conveyor จำนวน 2 จุด</t>
  </si>
  <si>
    <t>อัดจาระบี Bearing เพลาขับ PGR Sheeter Roller (Upper Roller) จำนวน 2 จุด</t>
  </si>
  <si>
    <t>อัดจาระบี Bearing เพลาขับ PGR Sheeter Roller (Lower Roller) จำนวน 2 จุด</t>
  </si>
  <si>
    <t>RB3-ML-ME2</t>
  </si>
  <si>
    <t>อัดจาระบี Bearing UCFL205 Roller สายพาน PGR Conveyor จำนวน 4 จุด</t>
  </si>
  <si>
    <t>อัดจาระบี Bearing UCF207 ตัวขับสายพาน PGR Conveyor จำนวน 2 จุด</t>
  </si>
  <si>
    <t>อัดจาระบี Bearing ตัวปรับตึงสายพาน PGR Conveyor จำนวน 2 จุด</t>
  </si>
  <si>
    <t>อัดจาระบี Bearing เพลาขับ RGR Sheeter Roller (Upper Roller) จำนวน 2 จุด</t>
  </si>
  <si>
    <t>อัดจาระบีเพลาขับ RGR Sheeter Roller (Lower Roller) จำนวน 2 จุด</t>
  </si>
  <si>
    <t>อัดจาระบี Bearing UCFL205 Roller สายพาน RGR Conveyor จำนวน 4 จุด</t>
  </si>
  <si>
    <t>อัดจาระบี Bearing UCF207 ตัวขับสายพาน RGR Conveyor จำนวน 2 จุด</t>
  </si>
  <si>
    <t>อัดจาระบี Bearing ตัวปรับตึงสายพาน RGR Conveyor จำนวน 2 จุด</t>
  </si>
  <si>
    <t>อัดจาระบี Bearing เพลาขับ Cutter Conveyor (M2801) จำนวน 2 จุด</t>
  </si>
  <si>
    <t>อัดจาระบี Bearing UC205 Roller ประคองสายพาน Cutting Conveyor ทั้ง 4 จุด</t>
  </si>
  <si>
    <t>อัดจาระบี Bearing UC208 เพลาขับ Motor M2804 จำนวน 2 จุด</t>
  </si>
  <si>
    <t>อัดจาระบี Bearing ตัวปรับตึงสายพาน จำนวน 2 จุด</t>
  </si>
  <si>
    <t>อัดจาระบี Bearing UC207 Roller ด้านล่าง สายพาน Separation Conveyor</t>
  </si>
  <si>
    <t>RB3-MI-ME</t>
  </si>
  <si>
    <t>ตรวจเช็คระดับน้ำมันเกียร์ขับของ 3-ROLL SHEETER  UPPER Front Roll (M2101)</t>
  </si>
  <si>
    <t>ตรวจเช็คระดับน้ำมันเกียร์ขับของ 3-ROLL SHEETER  UPPER FORCING Roll (M2102)</t>
  </si>
  <si>
    <t>ตรวจเช็คระดับน้ำมันเกียร์ขับของ 3-ROLL SHEETER  LOWER Roll (M2103)</t>
  </si>
  <si>
    <t>ตรวจเช็คระดับน้ำมันเกียร์ขับของ 3-ROLL SHEETER Discharge conveyor (M2104)</t>
  </si>
  <si>
    <t>ตรวจเช็คระดับน้ำมันเกียร์ขับของ PGR UPPER MOTOR (M2301)</t>
  </si>
  <si>
    <t>ตรวจเช็คระดับน้ำมันเกียร์ขับของ PGR LOWER MOTOR (M2302)</t>
  </si>
  <si>
    <t>ตรวจเช็คระดับน้ำมันเกียร์ขับของ PGR Discharge conveyor (M2303)</t>
  </si>
  <si>
    <t>ตรวจเช็คระดับน้ำมันเกียร์ขับของ FGR Upper Roller (M2401)</t>
  </si>
  <si>
    <t>ตรวจเช็คระดับน้ำมันเกียร์ขับของ FGR Lower Roller (M2402)</t>
  </si>
  <si>
    <t>ตรวจเช็คระดับน้ำมันเกียร์ขับของ FGR Discharge Conveyor (M2403)</t>
  </si>
  <si>
    <t>ตรวจเช็คระดับน้ำมันเกียร์ขับของ RGR Upper Roller (M2601)</t>
  </si>
  <si>
    <t>ตรวจเช็คระดับน้ำมันเกียร์ขับของ RGR Lower Roller (M2602)</t>
  </si>
  <si>
    <t>ตรวจเช็คระดับน้ำมันเกียร์ขับของ RGR Discharge Conveyor (M2603)</t>
  </si>
  <si>
    <t>ตรวจเช็คระดับน้ำมันเกียร์ขับของ Cutter Conveyor (M2801)</t>
  </si>
  <si>
    <t>ตรวจเช็คระดับน้ำมันเกียร์ขับของ Cutter Die Roller (M2802)</t>
  </si>
  <si>
    <t>ตรวจเช็คระดับน้ำมันเกียร์ขับของ Separation conveyor (M2804)</t>
  </si>
  <si>
    <t>RB3-NV-ME</t>
  </si>
  <si>
    <t>ตรวจเช็คค่า vibration ของ Bearing roller 3RS Rear ซ้าย-ขวา</t>
  </si>
  <si>
    <t>ตรวจเช็คค่า vibration ของ Bearing roller 3RS Front ซ้าย-ขวา</t>
  </si>
  <si>
    <t>ตรวจเช็คค่า vibration ของ Bearing roller 3RS Lower ซ้าย-ขวา</t>
  </si>
  <si>
    <t>ตรวจเช็คค่า vibration ของ Bearing roller PGR Upper ซ้าย-ขวา</t>
  </si>
  <si>
    <t>ตรวจเช็คค่า vibration ของ Bearing roller PGR Lower ซ้าย-ขวา</t>
  </si>
  <si>
    <t>ตรวจเช็คค่า vibration ของ Bearing roller FGR Upper ซ้าย-ขวา</t>
  </si>
  <si>
    <t>ตรวจเช็คค่า vibration ของ Bearing roller FGR Lower ซ้าย-ขวา</t>
  </si>
  <si>
    <t>ตรวจเช็คค่า vibration ของ Bearing roller RGR Upper ซ้าย-ขวา</t>
  </si>
  <si>
    <t>ตรวจเช็คค่า vibration ของ Bearing roller RGR Lower ซ้าย-ขวา</t>
  </si>
  <si>
    <t>RB3-QR-ME</t>
  </si>
  <si>
    <t>เปลี่ยนสายพาน Cutter Conveyor พร้อมปรับตั้ง</t>
  </si>
  <si>
    <t>RB3-HR-ME</t>
  </si>
  <si>
    <t>เปลี่ยนสายพาน Separation Conveyor พร้อมปรับตั้ง</t>
  </si>
  <si>
    <t>RB3-GR-ME</t>
  </si>
  <si>
    <t>เปลี่ยนสายพาน 3RS Conveyor พร้อมปรับตั้ง</t>
  </si>
  <si>
    <t>เปลี่ยนสายพาน PGR Conveyor พร้อมปรับตั้ง</t>
  </si>
  <si>
    <t>RB3-GR-ME2</t>
  </si>
  <si>
    <t>เปลี่ยนสายพาน FGR Conveyor พร้อมปรับตั้ง</t>
  </si>
  <si>
    <t>เปลี่ยนสายพาน RGR Conveyor พร้อมปรับตั้ง</t>
  </si>
  <si>
    <t>RB3-GL-ME</t>
  </si>
  <si>
    <t>เปลี่ยนน้ำมันเกียร์ขับของ 3-Roll Sheeter Upper Front Roller (M2101)</t>
  </si>
  <si>
    <t>11.1 L</t>
  </si>
  <si>
    <t>เปลี่ยนน้ำมันเกียร์ขับของ 3-Roll Sheeter Upper Forcing Roller (M2102)</t>
  </si>
  <si>
    <t>5.9 L</t>
  </si>
  <si>
    <t>เปลี่ยนน้ำมันเกียร์ขับของ 3-Roll Sheeter Lower Roller (M2103)</t>
  </si>
  <si>
    <t>2.10 L</t>
  </si>
  <si>
    <t>เปลี่ยนน้ำมันเกียร์ขับของ 3-Roll Sheeter Discharge conveyor (M2104)</t>
  </si>
  <si>
    <t>5.8L</t>
  </si>
  <si>
    <t>RB3-GL-ME2</t>
  </si>
  <si>
    <t>เปลี่ยนน้ำมันเกียร์ขับของ PGR Upper Roller (M2301)</t>
  </si>
  <si>
    <t>เปลี่ยนน้ำมันเกียร์ขับของ PGR Lower Roller (M2302)</t>
  </si>
  <si>
    <t>เปลี่ยนน้ำมันเกียร์ขับของ PGR Discharge conveyor (M2303)</t>
  </si>
  <si>
    <t>0.80 L</t>
  </si>
  <si>
    <t>RB3-GL-ME3</t>
  </si>
  <si>
    <t>เปลี่ยนน้ำมันเกียร์ขับของ FGR Upper Roller (M2401)</t>
  </si>
  <si>
    <t>เปลี่ยนน้ำมันเกียร์ขับของ FGR Lower Roller (M2402)</t>
  </si>
  <si>
    <t>เปลี่ยนน้ำมันเกียร์ขับของ FGR Discharge Conveyor (M2403)</t>
  </si>
  <si>
    <t>RB3-GL-ME4</t>
  </si>
  <si>
    <t>เปลี่ยนน้ำมันเกียร์ขับของ RGR Upper Roller (M2601)</t>
  </si>
  <si>
    <t>เปลี่ยนน้ำมันเกียร์ขับของ RGR Lower Roller (M2602)</t>
  </si>
  <si>
    <t>เปลี่ยนน้ำมันเกียร์ขับของ RGR Discharge Conveyor (M2603)</t>
  </si>
  <si>
    <t xml:space="preserve">0.80 L </t>
  </si>
  <si>
    <t>RB3-GL-ME5</t>
  </si>
  <si>
    <t>เปลี่ยนน้ำมันเกียร์ขับของ Cutter Conveyor (M2801)</t>
  </si>
  <si>
    <t>2.2 L</t>
  </si>
  <si>
    <t>RB3-GL-ME6</t>
  </si>
  <si>
    <t>เปลี่ยนน้ำมันเกียร์ขับของ Cutter Die Roller (M2802)</t>
  </si>
  <si>
    <t>2.20 L</t>
  </si>
  <si>
    <t>RB3-GL-ME7</t>
  </si>
  <si>
    <t>เปลี่ยนน้ำมันเกียร์ขับของ Separation conveyor (M2804)</t>
  </si>
  <si>
    <t>3.15 L</t>
  </si>
  <si>
    <t>RB3-YR-ME</t>
  </si>
  <si>
    <t xml:space="preserve">เปลี่ยน Bearing ของ Back up roller Cutter conveyor </t>
  </si>
  <si>
    <t>RB4-WL-ME</t>
  </si>
  <si>
    <t>อัดจาระบี Bearing (Hi-Temp) ด้านข้าง Oven ทั้งหมด 36 จุด</t>
  </si>
  <si>
    <t>RB4-FI-ME</t>
  </si>
  <si>
    <t>ตรวจเช็คสภาพความสึกหรอและฉีกขาดของสายพาน Oven Conveyor</t>
  </si>
  <si>
    <t>B60-48-16 Carbon Steel Balanced weave 1067w 34.5m actual</t>
  </si>
  <si>
    <t>RB4-QL-ME</t>
  </si>
  <si>
    <t>อัดจาระบี Circulation fan จำนวน 1 จุด</t>
  </si>
  <si>
    <t>RB4-ML-ME</t>
  </si>
  <si>
    <t>อัดจาระบี Bearing ขาเข้าของ Oven Conveyor จำนวน 2 จุด</t>
  </si>
  <si>
    <t>Curling Conveyor (Upper)</t>
  </si>
  <si>
    <t>อัดจาระบี Bearing UC211 ตัวTrackingขาเข้า ของ Oven Conveyor ภายในตู้ จำนวน 2 จุด</t>
  </si>
  <si>
    <t>High Temp.</t>
  </si>
  <si>
    <t>Curling Conveyor (Lower)</t>
  </si>
  <si>
    <t>อัดจาระบี Bearing UC207 ประคองสายพานขาเข้าด้านไปของ Oven Conveyor ภายในตู้ 2 จุด</t>
  </si>
  <si>
    <t>อัดจาระบี Bearing UC207 ประคองสายพานขาเข้าด้านกลับของ Oven Conveyorภายในตู้ 2จุด</t>
  </si>
  <si>
    <t>อัดจาระบี Bearing ขาออกของ Oven conveyor ที่เพลา จำนวน 2 จุด</t>
  </si>
  <si>
    <t>อัดจาระบี Bearing FX17 ตัวขับ Oven conveyor ขาออก จำนวน 2 จุด (ในตู้)</t>
  </si>
  <si>
    <t>อัดจาระบี Bearing UC206 ตัว tracking ขาออก ของ Oven conveyor จำนวน 4 จุด (ในตู้)</t>
  </si>
  <si>
    <t>อัดจาระบี Bearing TX11 ตัว tracking ขาออก ของ Oven conveyor จำนวน 2 จุด (ในตู้)</t>
  </si>
  <si>
    <t>อัดจาระบี Bearing UC207 ตัวประคองขาออกด้านไป ของ Oven conveyor จำนวน 4จุด(ในตู้)</t>
  </si>
  <si>
    <t>อัดจาระบี bearing snub roll UC211 ของ Oven conveyor จำนวน 6 จุด (ในตู้)</t>
  </si>
  <si>
    <t>อัดจาระบี Bearing ด้าน infeed 2 จุด ด้าน outfeed 2 จุด</t>
  </si>
  <si>
    <t>อัดจาระบีตัวปรับตั้งความสูงของ Lower conveyor</t>
  </si>
  <si>
    <t>ฉีดสเปรย์หล่อลื่นโซ่ ของชุด take up ทั้ง 2 ด้าน</t>
  </si>
  <si>
    <t>RB4-MI-ME</t>
  </si>
  <si>
    <t>ตรวจเช็คการรั่วของลมเข้า Pressure Switch ของ Oven Conveyor</t>
  </si>
  <si>
    <t>ตรวจเช็คการรั่วของ Cylinder ของ Tracking System ขาเข้า ทั้ง 2 ด้าน</t>
  </si>
  <si>
    <t>ตรวจเช็คระดับน้ำมันเกียร์ขับของ Oven conveyor (M3701)</t>
  </si>
  <si>
    <t>ตรวจเช็คระดับน้ำมันเกียร์ขับของ Curling Conveyor Upper Belt  Motor (M4001)</t>
  </si>
  <si>
    <t>ตรวจเช็คระดับน้ำมันเกียร์ขับของ Curling Conveyor Lower Belt  Motor (M4002)</t>
  </si>
  <si>
    <t>ตรวจเช็คสภาพการสึกหรอของฟันเฟือง ชุด take up ทั้ง 2 ตัว ทั้ง 2 ด้าน</t>
  </si>
  <si>
    <t>ตรวจเช็คการรั่วของ Cylinder ของ Tracking System ขาออก ทั้ง 2 ด้าน</t>
  </si>
  <si>
    <t>ตรวจเช็คสภาพสายพานขับ Oven Top Circulation Fan</t>
  </si>
  <si>
    <t>ตรวจเช็คสภาพสายพานขับ Oven Bottom Circulation Fan</t>
  </si>
  <si>
    <t>RB4-HL-ME</t>
  </si>
  <si>
    <t>เปลี่ยนน้ำมันเกียร์ขับของ Oven conveyor (M3701)</t>
  </si>
  <si>
    <t>เปลี่ยนน้ำมันเกียร์ขับของ Curling Conveyor Upper Belt  Motor (M4001)</t>
  </si>
  <si>
    <t>1.60 L</t>
  </si>
  <si>
    <t>เปลี่ยนน้ำมันเกียร์ขับของ Curling Conveyor Lower Belt  Motor (M4002)</t>
  </si>
  <si>
    <t>RB5-FI-ME</t>
  </si>
  <si>
    <t>ตรวจเช็ค Stroke ของรางสั่น พร้อมทั้งตรวจเช็คเสียงผิดปกติ สภาพความเสียหายของ Pan และโครงสร้างของ Dryer Outfeed Vibrating Conveyor</t>
  </si>
  <si>
    <t>ตรวจเช็คสภาพสายพานขับ Dryer Top Circulation Fan (M5004)</t>
  </si>
  <si>
    <t>ตรวจเช็คสภาพสายพานขับ Dryer Bottom Circulation Fan (M5005)</t>
  </si>
  <si>
    <t>ตรวจเช็คสภาพสายพานขับ Dryer Exhaust Fan (M5006)</t>
  </si>
  <si>
    <t>ตรวจเช็คสภาพความสึกหรอและฉีกขาดของสายพาน Dryer Top Conveyor</t>
  </si>
  <si>
    <t>ตรวจเช็คสภาพความสึกหรอและฉีกขาดของสายพาน Dryer Middle Conveyor</t>
  </si>
  <si>
    <t>ตรวจเช็คสภาพความสึกหรอและฉีกขาดของสายพาน Dryer Bottom Conveyor</t>
  </si>
  <si>
    <t>RB5-MI-ME</t>
  </si>
  <si>
    <t>ตรวจเช็คระดับน้ำมันเกียร์ขับของ Dryer Top Conveyor  (M5001)</t>
  </si>
  <si>
    <t>ตรวจเช็คระดับน้ำมันเกียร์ขับของ Dryer Middle Conveyor (M5002)</t>
  </si>
  <si>
    <t>ตรวจเช็คระดับน้ำมันเกียร์ขับของ Dryer Bottom Conveyor (M5003)</t>
  </si>
  <si>
    <t>ตรวจเช็คสภาพของยางรองฐาน Rubber isolation ของ Dryer Outfeed Vibrating Conveyor</t>
  </si>
  <si>
    <t>ตรวจเช็คสภาพของไฟเบอร์สปริงของ Dryer Outfeed Vibrating Conveyor</t>
  </si>
  <si>
    <t>RB5-ML-ME</t>
  </si>
  <si>
    <t>อัดจาระบี Take up bearing ของ Dryer Top Conveyor จำนวน 2 จุด (ด้านเข้า)</t>
  </si>
  <si>
    <t>อัดจาระบี Take up bearing ของ Dryer Middle Conveyor จำนวน 2 จุด (ด้านออก)</t>
  </si>
  <si>
    <t>อัดจาระบี Take up bearing ของ Dryer Bottom Conveyor จำนวน 2 จุด (ด้านเข้า)</t>
  </si>
  <si>
    <t>อัดจาระบี Bearing เพลาขับ  Dryer Top Conveyor จำนวน 2 จุด (ด้านออก)</t>
  </si>
  <si>
    <t>อัดจาระบี Bearing เพลาขับ  Dryer Middle Conveyor จำนวน 2 จุด (ด้านเข้า)</t>
  </si>
  <si>
    <t>อัดจาระบี Bearing เพลาขับ  Dryer Bottom Conveyor จำนวน 2 จุด (ด้านออก)</t>
  </si>
  <si>
    <t>RB5-HR-ME</t>
  </si>
  <si>
    <t>เปลี่ยน V-belt ของ Dryer Top Conveyor</t>
  </si>
  <si>
    <t>BX53</t>
  </si>
  <si>
    <t>เปลี่ยน V-belt ของ Dryer  Bottom Conveyor</t>
  </si>
  <si>
    <t>RB5-HL-ME</t>
  </si>
  <si>
    <t>เปลี่ยนน้ำมันเกียร์ขับของ Dryer Top Conveyor  (M5001)</t>
  </si>
  <si>
    <t>เปลี่ยนน้ำมันเกียร์ขับของ Dryer Middle Conveyor (M5002)</t>
  </si>
  <si>
    <t>เปลี่ยนน้ำมันเกียร์ขับของ Dryer Bottom Conveyor (M5003)</t>
  </si>
  <si>
    <t>RB6-FI-ME</t>
  </si>
  <si>
    <t>ตรวจเช็ค Stroke ของรางสั่น พร้อมทั้งตรวจเช็คเสียงผิดปกติ สภาพความเสียหายของ Pan และโครงสร้างของ Weight Infeed Vibration Conveyor</t>
  </si>
  <si>
    <t>SSN Infeed Elevator</t>
  </si>
  <si>
    <t>ตรวจเช็คสภาพของยางรองฐาน Rubber isolation ของ Weight Infeed Vibration Conveyor</t>
  </si>
  <si>
    <t>ตรวจเช็คสภาพของไฟเบอร์สปริงของ Weight Infeed Vibration Conveyor</t>
  </si>
  <si>
    <t>ตรวจเช็ค Stroke ของรางสั่น พร้อมทั้งตรวจเช็คเสียงผิดปกติ สภาพความเสียหายของ Pan และโครงสร้างของ Weight Vibration Conveyor</t>
  </si>
  <si>
    <t>ตรวจเช็คสภาพของยางรองฐาน Rubber isolation ของ Weight Vibration Conveyor</t>
  </si>
  <si>
    <t>ตรวจเช็คสภาพของไฟเบอร์สปริงของ Weight Vibration Conveyor</t>
  </si>
  <si>
    <t>ตรวจเช็คการรั่วของลมเปิด-ปิดเกท Reject ของ Weight Infeed Vibration conveyor</t>
  </si>
  <si>
    <t>ตรวจเช็ค Stroke ของรางสั่น พร้อมทั้งตรวจเช็คเสียงผิดปกติ สภาพความเสียหายของ Pan และโครงสร้างของ Scarf Feeder</t>
  </si>
  <si>
    <t>ตรวจเช็คสภาพของยางรองฐาน Rubber isolation ของ Scarf Feeder</t>
  </si>
  <si>
    <t>ตรวจเช็คสภาพของไฟเบอร์สปริงของ Scarf Feeder</t>
  </si>
  <si>
    <t>RB6-MI-ME</t>
  </si>
  <si>
    <t>ตรวจเช็คระดับน้ำมันเกียร์ขับของ SSN Infeed Conveyor (M6001)</t>
  </si>
  <si>
    <t>ตรวจเช็คระดับน้ำมันเกียร์ขับของ SSN Infeed Elevator (M6002)</t>
  </si>
  <si>
    <t>ตรวจเช็คระดับน้ำมันเกียร์ขับของ SSN Tumbler Drum (M6101)</t>
  </si>
  <si>
    <t>ตรวจเช็คระดับน้ำมันเกียร์ขับของ SSN Auger (M6110)</t>
  </si>
  <si>
    <t>ตรวจเช็คระดับน้ำมันเกียร์ขับของ SSN Agitator (M6111)</t>
  </si>
  <si>
    <t>ตรวจเช็คระดับน้ำมันเกียร์ขับของ SSN Spiroflow Auger (M6120)</t>
  </si>
  <si>
    <t>ตรวจเช็คระดับน้ำมันเกียร์ขับของ SSN Spiroflow Agitator (M6121)</t>
  </si>
  <si>
    <t>ตรวจเช็คระดับน้ำมันเกียร์ขับของ Elevating Conveyor (M6102)</t>
  </si>
  <si>
    <t>RB6-ML-ME</t>
  </si>
  <si>
    <t>อัดจาระบี Bearing เพลาขับ SSN Infeed Conveyor จำนวน 4 จุด</t>
  </si>
  <si>
    <t>อัดจาระบี Bearing ของ SSN Infeed Elevator ด้านบน 4 จุด ด้านล่าง 2 จุด</t>
  </si>
  <si>
    <t>อัดจาระบีล้อขับ tumbler drum</t>
  </si>
  <si>
    <t>อัดจาระบี Bearing ของ Elevating conveyor จำนวน 4 จุด</t>
  </si>
  <si>
    <t>RB6-HL-ME</t>
  </si>
  <si>
    <t>เปลี่ยนน้ำมันเกียร์ขับของ SSN Infeed Conveyor (M6001)</t>
  </si>
  <si>
    <t>0.5 L</t>
  </si>
  <si>
    <t>เปลี่ยนน้ำมันเกียร์ขับของ SSN Infeed Elevator (M6002)</t>
  </si>
  <si>
    <t>OMALA S2 G680</t>
  </si>
  <si>
    <t>1.0 L</t>
  </si>
  <si>
    <t>เปลี่ยนน้ำมันเกียร์ขับของ SSN Tumbler Drum (M6101)</t>
  </si>
  <si>
    <t>เปลี่ยนน้ำมันเกียร์ขับของ SSN Auger (M6110)</t>
  </si>
  <si>
    <t>เปลี่ยนน้ำมันเกียร์ขับของ SSN Agitator (M6111)</t>
  </si>
  <si>
    <t>เปลี่ยนน้ำมันเกียร์ขับของ SSN Spiroflow Auger (M6120)</t>
  </si>
  <si>
    <t>เปลี่ยนน้ำมันเกียร์ขับของ SSN Spiroflow Agitator (M6121)</t>
  </si>
  <si>
    <t>0.9 L</t>
  </si>
  <si>
    <t>เปลี่ยนน้ำมันเกียร์ขับของ Elevating Conveyor (M6102)</t>
  </si>
  <si>
    <t>1.50 L</t>
  </si>
  <si>
    <t>PE0-ML-ME</t>
  </si>
  <si>
    <t>อัดจาระบี Bearing ของ Rotary Valve Hopper#1</t>
  </si>
  <si>
    <t>อัดจาระบี Bearing ของ Rotary Valve Hopper#2</t>
  </si>
  <si>
    <t>อัดจาระบี Bearing ของ Rotary Valve Hopper#3</t>
  </si>
  <si>
    <t>Plough Shear Mixer</t>
  </si>
  <si>
    <t>อัดจาระบี Bearing เพลาขับ Mixer ทั้ง 4 ตัว</t>
  </si>
  <si>
    <t>อัดจาระบี Bearing ของ Rotary Valve (ปล่อยแป้งลงถัง Hopper)</t>
  </si>
  <si>
    <t>อัดจาระบี Bearing Rotary Valve ใต้ถัง Storage Hopper#1</t>
  </si>
  <si>
    <t>PE0-MC-ME</t>
  </si>
  <si>
    <t>Microingredients Weighther</t>
  </si>
  <si>
    <t>ทำความสะอาด Load Cell ของ ชุด Microingredient</t>
  </si>
  <si>
    <t>ทำความสะอาดมอเตอร์เกียร์ Screw Feed Microingredient</t>
  </si>
  <si>
    <t>ทำความสะอาด Air Filter ที่ Microingredient Weigher</t>
  </si>
  <si>
    <t>PE0-MC-ME2</t>
  </si>
  <si>
    <t>ล้างทำความสะอาด Hopper Microingredient Weigher</t>
  </si>
  <si>
    <t>PE0-MI-ME</t>
  </si>
  <si>
    <t>ตรวจเช็คความแรงการสั่นของ Vibrating motor Hopper#1</t>
  </si>
  <si>
    <t>ตรวจเช็คความแรงการสั่นของ Vibrating motor Hopper#2</t>
  </si>
  <si>
    <t>ตรวจเช็คความแรงการสั่นของ Vibrating motor Hopper#3</t>
  </si>
  <si>
    <t>R/M Metal Detector</t>
  </si>
  <si>
    <t>ตรวจเช็คสภาพสายพานขับ Main Drive Mixer</t>
  </si>
  <si>
    <t>SPA 1307 (1320)</t>
  </si>
  <si>
    <t>ตรวจเช็คสภาพ Sensor เช็คการไหลของแป้งและสายไฟ</t>
  </si>
  <si>
    <t>ตรวจเช็คความแรงการสั่นของ Vibrating motor ใต้ Weigher Hopper</t>
  </si>
  <si>
    <t>ตรวจเช็คความแรงการสั่นของ Vibrating motor ใต้ถัง Storage Hopper#2</t>
  </si>
  <si>
    <t>ตรวจเช็ค Alignment ของท่อ Metal Detector</t>
  </si>
  <si>
    <t>ตรวจเช็คระดับน้ำมันเกียร์ขับ Main Drive Mixer</t>
  </si>
  <si>
    <t>ตรวจเช็คการรั่วของลมเข้า Solinoid Valve จ่ายแป้งลง Doser</t>
  </si>
  <si>
    <t>PE0-MI-ME2</t>
  </si>
  <si>
    <t>ตรวจเช็คสภาพ Hopper Rubber Gasket Hopper#1</t>
  </si>
  <si>
    <t>ตรวจเช็คสภาพ Hopper Rubber Gasket Hopper#2</t>
  </si>
  <si>
    <t>ตรวจเช็คการรั่วที่แกนเพลา ทั้ง Agitator และ Feeder #1</t>
  </si>
  <si>
    <t>ตรวจเช็คการรั่วที่แกนเพลา ทั้ง Agitator และ Feeder #2</t>
  </si>
  <si>
    <t>ตรวจเช็คการรั่วที่แกนเพลา ทั้ง Agitator และ Feeder #3</t>
  </si>
  <si>
    <t>ตรวจเช็คการรั่วที่แกนเพลา ทั้ง Agitator และ Feeder #4</t>
  </si>
  <si>
    <t>ตรวจเช็คการรั่วที่แกนเพลา Screw Feeder Microingredient Weigher</t>
  </si>
  <si>
    <t>ตรวจเช็คการรั่วของลมที่เป่า Microingredient Weigher</t>
  </si>
  <si>
    <t>ตรวจเช็คสภาพ Rubber Gasket ใต้ถัง Weigher Hopper</t>
  </si>
  <si>
    <t>ตรวจเช็คการรั่วของลมขับ Butterfly valve ปล่อยแป้งลงถัง Mixer</t>
  </si>
  <si>
    <t>ตรวจเช็คสภาพของ Rubber Gasket ก่อนเข้าถัง Mixer (Silicone)</t>
  </si>
  <si>
    <t>ตรวจเช็คสภาพ Hopper Rubber Gasket ใต้ถัง Storage Hopper#1</t>
  </si>
  <si>
    <t>ตรวจเช็คการทำงานของ Metal Detector</t>
  </si>
  <si>
    <t>ตรวจเช็คสภาพ Hopper Rubber Gasket Hopper#3</t>
  </si>
  <si>
    <t>PE0-MV-ME</t>
  </si>
  <si>
    <t>ตรวจวัดค่า Vibration Drive Mixer</t>
  </si>
  <si>
    <t>PE0-NR-ME</t>
  </si>
  <si>
    <t>เปลี่ยนประเก็นเชือกของชุด Micro. Doser No.1</t>
  </si>
  <si>
    <t>เปลี่ยนประเก็นเชือกของชุด Micro. Doser No.2</t>
  </si>
  <si>
    <t>เปลี่ยนประเก็นเชือกของชุด Micro. Doser No.3</t>
  </si>
  <si>
    <t>เปลี่ยนประเก็นเชือกของชุด Micro. Doser No.4</t>
  </si>
  <si>
    <t>PE0-QC-ME</t>
  </si>
  <si>
    <t>ล้างทำความสะอาดสกรู Microingredient Weigher</t>
  </si>
  <si>
    <t>PE0-HL-ME</t>
  </si>
  <si>
    <t>เปลี่ยนน้ำมันเกียร์ขับ Main Drive Mixer</t>
  </si>
  <si>
    <t>PE0-YR-ME</t>
  </si>
  <si>
    <t>เปลี่ยนสายพานขับ Main Drive Mixer</t>
  </si>
  <si>
    <t>SPA 1320</t>
  </si>
  <si>
    <t>PE1-WI-ME</t>
  </si>
  <si>
    <t>ตรวจเช็คการรั่วของน้ำทุกสัปดาห์</t>
  </si>
  <si>
    <t>ทำความสะอาด Filter#1,#2 (ด้านเข้า)</t>
  </si>
  <si>
    <t>PE1-MI-ME</t>
  </si>
  <si>
    <t>ตรวจเช็คระดับน้ำมันเกียร์ Dough Water Dosing Pump</t>
  </si>
  <si>
    <t>ตรวจเช็คระดับน้ำมันเกียร์ Barrel Water Pump</t>
  </si>
  <si>
    <t>PE1-MC-ME</t>
  </si>
  <si>
    <t>ทำความสะอาด  Filter ของ Robox VC1</t>
  </si>
  <si>
    <t>ทำความสะอาด  Filter ของ Robox VC2</t>
  </si>
  <si>
    <t>PE1-MC-ME2</t>
  </si>
  <si>
    <t>Regulator Water Dosing</t>
  </si>
  <si>
    <t>ทำความสะอาดชุด Regulator Water Dosing</t>
  </si>
  <si>
    <t>PE1-MC-ME3</t>
  </si>
  <si>
    <t>เดรนน้ำและเปิดฝาถังเก็บน้ำเพื่อทำความสะอาด</t>
  </si>
  <si>
    <t>PE1-MC-ME4</t>
  </si>
  <si>
    <t xml:space="preserve">เดรนน้ำและทำความสะอาดถังพักน้ำ RO บริเวณ Water proportional </t>
  </si>
  <si>
    <t>PE1-HL-ME</t>
  </si>
  <si>
    <t>เปลี่ยนน้ำมันเกียร์ของ Dough Water Dosing Pump</t>
  </si>
  <si>
    <t>OMALA 150</t>
  </si>
  <si>
    <t>Oil Feeder Pump</t>
  </si>
  <si>
    <t>เปลี่ยนน้ำมันเกียร์ของ Oil feeder pump</t>
  </si>
  <si>
    <t>OMALA 151</t>
  </si>
  <si>
    <t>เปลี่ยนน้ำมันเกียร์ของ Barrel Water Pump</t>
  </si>
  <si>
    <t>PE1-YR-ME</t>
  </si>
  <si>
    <t xml:space="preserve">เปลี่ยนสายพาน V-belt ของ Robox VC1 </t>
  </si>
  <si>
    <t>XPA1700</t>
  </si>
  <si>
    <t>เปลี่ยนสายพาน V-belt ของ Robox VC2</t>
  </si>
  <si>
    <t>PE2-FL-ME</t>
  </si>
  <si>
    <t>ฉีดสเปรย์หล่อลื่นโซ่ขับ Force Feeder</t>
  </si>
  <si>
    <t>อัดจาระบี Bearing หน้า-หลัง มอเตอร์ Main Drive Extruder</t>
  </si>
  <si>
    <t>อัดจาระบี Bearing เพลาขับหน้า-หลังของ Pre-Conditioner</t>
  </si>
  <si>
    <t>อัดจาระบี Water Rotary Union หน้า-หลัง ของ Pre-Conditioner</t>
  </si>
  <si>
    <t>อัดจาระบี Bearing เพลา Screw Force Feeder</t>
  </si>
  <si>
    <t>อัดจาระบี ท่อของ Pressure Transmitter ที่หน้า DIE</t>
  </si>
  <si>
    <t>PE2-WC-ME</t>
  </si>
  <si>
    <t>เป่าทำความสะอาด Air Breather Filter บนถัง Doser</t>
  </si>
  <si>
    <t>PE2-MI-ME</t>
  </si>
  <si>
    <t>ตรวจเช็คระดับน้ำมันเกียร์ห้อง Bearing Pre-Mixer ต้องท่วม Sightglass</t>
  </si>
  <si>
    <t>ตรวจเช็คสภาพสายพานขับ Pre-mixerและสภาพเกียร์ Pre-Mixer</t>
  </si>
  <si>
    <t>XPZ 950</t>
  </si>
  <si>
    <t>ตรวจเช็คการรั่วของน้ำมันเกียร์ Pre-Conditioner</t>
  </si>
  <si>
    <t>ตรวจเช็คการรั่วของน้ำมันเกียร์ Force Feeder</t>
  </si>
  <si>
    <t>ตรวจเช็คการรั่วของน้ำมันไฮดรอลิคที่อุปกรณ์ไฮดรอลิกต่างๆ</t>
  </si>
  <si>
    <t>ตรวจเช็คการรั่วของสาย Hose น้ำร้อนต่างๆ ที่ Pre-Conditioner</t>
  </si>
  <si>
    <t>ตรวจเช็คการรั่วของแป้งที่ออกด้านท้าย Pre-Conditioner</t>
  </si>
  <si>
    <t>ตรวจเช็คการรั่วของท่อน้ำร้อนที่ใช้บริเวณ Extruder</t>
  </si>
  <si>
    <t>ตรวจเช็คระดับน้ำมันไฮดรอลิคที่ Reservoir Tank</t>
  </si>
  <si>
    <t>ตรวจเช็ค Pressure gage ของท่อส่งน้ำมันทั้งหมด</t>
  </si>
  <si>
    <t xml:space="preserve">ตรวจเช็คการทำงานหัวสเปรย์ของเกียร์ TT-Extruder </t>
  </si>
  <si>
    <t>PE2-MV-ME</t>
  </si>
  <si>
    <t>ตรวจวัดค่า Vibration  TT-Extruder</t>
  </si>
  <si>
    <t>PE2-ML-ME</t>
  </si>
  <si>
    <t>ทา Silicone Heat Transfer Barrel Heater R 118-R 123</t>
  </si>
  <si>
    <t>PE2-ML-ME2</t>
  </si>
  <si>
    <t>ทำการหล่อลื่นชุดกระบอกไฮดรอลิคประคองเกียร์  Pre-Mixer</t>
  </si>
  <si>
    <t>เปลี่ยนน้ำมันหล่อลื่นห้อง  Bearing Pre-Mixer ใหม่</t>
  </si>
  <si>
    <t>Mobile SHC Cibus 320</t>
  </si>
  <si>
    <t>PE2-MR-ME</t>
  </si>
  <si>
    <t xml:space="preserve">เปลี่ยนน๊อตยึด Die Plate ของ Extruder </t>
  </si>
  <si>
    <t>PE2-QC-ME</t>
  </si>
  <si>
    <t>ทำความสะอาดหรือเปลี่ยนไส้กรองน้ำมันไฮดรอลิคที่ Reservoir Tank</t>
  </si>
  <si>
    <t>เปลี่ยน Bearing และ Oil seal ของ K-tron blow</t>
  </si>
  <si>
    <t>ล้างทำความสะอาดสกรู K-tron</t>
  </si>
  <si>
    <t>PE2-QC-ME2</t>
  </si>
  <si>
    <t>Shell&amp;Tube</t>
  </si>
  <si>
    <t xml:space="preserve">ล้างทำความสะอาด Y-Strainer </t>
  </si>
  <si>
    <t>PE2-QR-ME</t>
  </si>
  <si>
    <t>เปลี่ยน Timing belt ของ K-Tron</t>
  </si>
  <si>
    <t>T5, 815X18 (DOUBLE SIDE), POS. 6.34</t>
  </si>
  <si>
    <t>PE2-RR-ME</t>
  </si>
  <si>
    <t>K-tron</t>
  </si>
  <si>
    <t>เปลี่ยน Gear Box ของ K-Tron</t>
  </si>
  <si>
    <t>PE2-HL-ME</t>
  </si>
  <si>
    <t>เปลี่ยนน้ำมันเกียร์ Agitator บนถัง Doser</t>
  </si>
  <si>
    <t>1.5 l</t>
  </si>
  <si>
    <t>เปลี่ยนน้ำมัน Gear ของ Pre-Conditioner ใหม่</t>
  </si>
  <si>
    <t>8.0 l</t>
  </si>
  <si>
    <t>เปลี่ยนน้ำมันไฮดรอลิคที่ Reservoir Tank</t>
  </si>
  <si>
    <t>90 l</t>
  </si>
  <si>
    <t>เปลี่ยนน้ำมัน Gear ของ Force Feeder ใหม่</t>
  </si>
  <si>
    <t>เปลี่ยนน้ำมันหล่อลื่นห้อง Bearing Pre-Mixer ใหม่</t>
  </si>
  <si>
    <t>PE2-YR-ME2</t>
  </si>
  <si>
    <t xml:space="preserve">เปลี่ยน Hi-Level Sensor ของ Hopper K-Tron </t>
  </si>
  <si>
    <t>PE2-HR-ME2</t>
  </si>
  <si>
    <t>เปลี่ยนชุด Bearing-Oil Seal-O Ring ของเกียร์ Pre-Mixer</t>
  </si>
  <si>
    <t>PE2-YL-ME</t>
  </si>
  <si>
    <t>เปลี่ยนน้ำมันเกียร์ของ Main Drive Gear Extruder ใหม่</t>
  </si>
  <si>
    <t>140 l</t>
  </si>
  <si>
    <t>PE2-YR-ME</t>
  </si>
  <si>
    <t>เปลี่ยนกรองน้ำมันเกียร์ Extruder ใหม่</t>
  </si>
  <si>
    <t>3206A-ZZ TN8/MT33-INA SL18 3007A XL X-lise C3</t>
  </si>
  <si>
    <t>PE3-FL-ME</t>
  </si>
  <si>
    <t>ฉีดสเปรย์หล่อลื่นโซ่ขับ Sprocket ขับ</t>
  </si>
  <si>
    <t>ฉัดสเปรย์หล่อลื่นโซ่ของ BSC ทั้ง 2 ด้านทั้ง 5 ชั้น</t>
  </si>
  <si>
    <t>อัดจาระบี Bearing สายพาน BSC Charging Belt ทั้ง 4 จุด</t>
  </si>
  <si>
    <t>อัดจาระบี Bearing สายพาน BSC ทั้ง 5 ชั้นจำนวน 10 จุด</t>
  </si>
  <si>
    <t>อัดจาระบี Bearing Roller ของชุด Cross Roller</t>
  </si>
  <si>
    <t>PE3-MI-ME</t>
  </si>
  <si>
    <t>ตรวจเช็คโซ่ขับด้าน Sprocket ขับและปรับตั้งให้ตึง</t>
  </si>
  <si>
    <t>ตรวจเช็คการรั่วของน้ำมันเกียร์ขับ BSC</t>
  </si>
  <si>
    <t>ตรวจเช็คสภาพของสายพาน BSC Charging Belt</t>
  </si>
  <si>
    <t>ตรวจเช็คจำนวนพัดลมที่ทำงานทั้งหมด</t>
  </si>
  <si>
    <t>PE3-QL-ME</t>
  </si>
  <si>
    <t>ทาจาระบี pinion ของชุดขับ Anvil และ Engraving roller</t>
  </si>
  <si>
    <t>PE3-RL-ME</t>
  </si>
  <si>
    <t>เปลี่ยนน้ำมันเกียร์ขับสายพาน BSC ใหม่</t>
  </si>
  <si>
    <t>PE3-RR-ME</t>
  </si>
  <si>
    <t>เปลี่ยน Sprocket และสายพานขับ BSC</t>
  </si>
  <si>
    <t>PE3-YR-ME</t>
  </si>
  <si>
    <t xml:space="preserve">เปลี่ยนสายพาน BSC Chaging belt </t>
  </si>
  <si>
    <t>Cutter Unit #1 (RV1)</t>
  </si>
  <si>
    <t>PE4-FL-ME</t>
  </si>
  <si>
    <t>ทาจาระบีที่ฟันเฟืองของ Pinion ชุด Forming Roller (RV1)</t>
  </si>
  <si>
    <t>Cutter Unit #2 (RV2)</t>
  </si>
  <si>
    <t>ทาจาระบีที่ฟันเฟืองของ Pinion ชุด Cutting Roller (RV1)</t>
  </si>
  <si>
    <t>อัดจาระบีที่ Bearing Forming Roller ทั้ง 4 Roller จำนวน 8 จุด(RV1)</t>
  </si>
  <si>
    <t>อัดจาระบีที่ Bearing Cutting Roller ทั้ง 2 Roller จำนวน 4 จุด(RV1)</t>
  </si>
  <si>
    <t>ฉีดสเปรย์หล่อลื่นโซ่ขับ Cutter(RV1)</t>
  </si>
  <si>
    <t>ฉีดสเปรย์หล่อลื่นโซ่ขับ Forming Roller ทั้ง 2 ชุด(RV1)</t>
  </si>
  <si>
    <t>อัดจาระบี Bearing ชุด Roller ทั้ง 2 เพลา 4 จุด ชุด Scrap Shear(RV1)</t>
  </si>
  <si>
    <t>อัดจาระบี Bearing เพลาใบมีด ทั้ง 2 จุด ชุด Scrap Shear(RV1)</t>
  </si>
  <si>
    <t>ทาจาระบีชุด Pinion ขับ Roller Scrap Shear (RV1)</t>
  </si>
  <si>
    <t>ฉีดสเปรย์เคลือบใบมีดตัด Scrap(RV1)</t>
  </si>
  <si>
    <t>PE4-FL-ME2</t>
  </si>
  <si>
    <t>อัดจาระบี Bearing ชุด Roller ทั้ง 2 เพลา 4 จุด ชุด Scrap Shear (RV2)</t>
  </si>
  <si>
    <t>อัดจาระบี Bearing เพลาใบมีด ทั้ง 2 จุด ชุด Scrap Shear (RV2)</t>
  </si>
  <si>
    <t>ฉีดสเปรย์เคลือบใบมีดตัด Scrap (RV2)</t>
  </si>
  <si>
    <t>ทาจาระบีที่ฟันเฟืองของ Pinion ชุด Forming Roller (RV2)</t>
  </si>
  <si>
    <t>ทาจาระบีที่ฟันเฟืองของ Pinion ชุด Cutting Roller (RV2)</t>
  </si>
  <si>
    <t>อัดจาระบีที่ Bearing Forming Roller ทั้ง 4 Roller จำนวน 8 จุด (RV2)</t>
  </si>
  <si>
    <t>อัดจาระบีที่ Bearing Cutting Roller ทั้ง 2 Roller จำนวน 4 จุด (RV2)</t>
  </si>
  <si>
    <t>ฉีดสเปรย์หล่อลื่นโซ่ขับ Cutter (RV2)</t>
  </si>
  <si>
    <t>ฉีดสเปรย์หล่อลื่นโซ่ขับ Forming Roller ทั้ง 2 ชุด (RV2)</t>
  </si>
  <si>
    <t>ทาจาระบีชุด Pinion ขับ Roller Scrap Shear (RV2)</t>
  </si>
  <si>
    <t>PE4-MI-ME</t>
  </si>
  <si>
    <t>ตรวจเช็คความตึงหย่อนของโซ่ขับและสภาพ Sprocket ขับ Cutter (RV1)</t>
  </si>
  <si>
    <t>ตรวจเช็คสภาพสายพาน Timing ที่ใช้ขับแปรงปัด Cutter (RV1)</t>
  </si>
  <si>
    <t>Timing Belt 225L</t>
  </si>
  <si>
    <t>ตรวจเช็คสภาพสายพาน Timing ที่ใช้ตี Sheet(RV1)</t>
  </si>
  <si>
    <t>Timing Belt 300L</t>
  </si>
  <si>
    <t>ตรวจเช็คสภาพสายพาน Timing Belt ขับ Roller Scrap Shear (RV1)</t>
  </si>
  <si>
    <t>Timing Belt 300H</t>
  </si>
  <si>
    <t>ตรวจเช็คความตึงหย่อนของโซ่ขับและสภาพ Sprocket ขับ Cutter (RV2)</t>
  </si>
  <si>
    <t>ตรวจเช็คสภาพสายพาน Timing ที่ใช้ขับแปรงปัด Cutter (RV2)</t>
  </si>
  <si>
    <t>ตรวจเช็คสภาพสายพาน Timing ที่ใช้ตี Sheet (RV2)</t>
  </si>
  <si>
    <t>ตรวจเช็คสภาพสายพาน Timing Belt ขับ Roller Scrap Shear (RV2)</t>
  </si>
  <si>
    <t>PE4-RR-ME</t>
  </si>
  <si>
    <t>เปลี่ยน Timing belt ที่ใช้ขับแปรงปัด</t>
  </si>
  <si>
    <t>PE4-RR-ME2</t>
  </si>
  <si>
    <t>เปลี่ยน Timing belt ที่ใช้ตี Sheet</t>
  </si>
  <si>
    <t>PE4-HI-ME</t>
  </si>
  <si>
    <t>ตรวจเช็คสภาพชุด Blower ของ Cutter Unit #1 (RV1)</t>
  </si>
  <si>
    <t>ตรวจเช็คสภาพชุด Blower ของ Cutter Unit #2 (RV2)</t>
  </si>
  <si>
    <t>ตรวจเช็คสภาพชุด Blower ของ Pneumatic Conveyor</t>
  </si>
  <si>
    <t>ตรวจเช็คสภาพชุด Blower ของ RV1 Scrap Pneumatic Conveyor</t>
  </si>
  <si>
    <t>ตรวจเช็คสภาพชุด Blower ของ RV2 Scrap Pneumatic Conveyor</t>
  </si>
  <si>
    <t>PE5-WI-ME</t>
  </si>
  <si>
    <t xml:space="preserve">ทำการตรวจสอบสภาพสายพาน,โซ่, Chain Guide, Chain Runner ,Safety Pin  ของ  Pre-Dryer ทั้ง 9 ชั้น พร้อมบันทึกภาพเก็บรายละเอียด        </t>
  </si>
  <si>
    <t xml:space="preserve">ทำการตรวจสอบสภาพสายพาน,โซ่, Chain Guide, Chain Runner ,Safety Pin ของ  Final-Dryer ทั้ง 5 ชั้น พร้อมบันทึกภาพเก็บรายละเอียด     </t>
  </si>
  <si>
    <t>ตรวจเช็ค Safety Pin ของ Pre-Dryer พร้อมบันทึกภาพ</t>
  </si>
  <si>
    <t>ตรวจเช็ค Safety Pin ของ Final dryer พร้อมบันทึกภาพ</t>
  </si>
  <si>
    <t>PE5-FL-ME</t>
  </si>
  <si>
    <t>อัดจาระบี Bearing เพลาขับด้านหน้าทั้ง 6 จุด ของ Shaking Dryer#1(TP2)</t>
  </si>
  <si>
    <t>ฉีดสเปรย์หล่อลื่นโซ่ขับของสายพาน Pre-Dryerทั้ง 2 ด้าน ทั้ง 9 ชั้น</t>
  </si>
  <si>
    <t>ทำความสะอาดเศษฝุ่นในถาดรอง+ เช็ดคราบจาระบีเก่า+ทาจาระบีชุด Guide ทองเหลือง Product Spreader บน Final-Dryer</t>
  </si>
  <si>
    <t>อัดจาระบี Bearing Jogging ของชุดโซ่ขับทั้ง 3 จุด</t>
  </si>
  <si>
    <t>ฉีดสเปรย์หล่อลื่นโซ่ขับชุดเกียร์ Final-Dryer ทั้ง 3 เส้น</t>
  </si>
  <si>
    <t>ฉีดสเปรย์หล่อลื่นโซ่ขับของสายพาน Final-Dryerทั้ง 2 ด้าน ทั้ง 5 ชั้น</t>
  </si>
  <si>
    <t>อัดจาระบี Bearing ของสายพาน Pre-Dryer ทั้ง 9 ชั้นทั้ง 36 จุด</t>
  </si>
  <si>
    <t>อัดจาระบี Bearing เพลาขับด้านหน้าทั้ง 6 จุด ของ Shaking Dryer#2(TP1)</t>
  </si>
  <si>
    <t>อัดจาระบี Bearing Jogging ของชุดโซ่ขับทั้ง 5 จุด</t>
  </si>
  <si>
    <t>ฉีดสเปรย์หล่อลื่นโซ่ขับชุดเกียร์ Pre-Dryer ทั้ง 3 เส้น</t>
  </si>
  <si>
    <t>อัดจาระบี Bearing ของสายพาน Final-Dryer ทั้ง 5 ชั้นทั้ง 20 จุด</t>
  </si>
  <si>
    <t>PE5-NC-ME</t>
  </si>
  <si>
    <t>ทำความสะอาด Y-Strainer ของชุดน้ำร้อนที่ด้านบนของ Pre-Dryer</t>
  </si>
  <si>
    <t>ทำความสะอาด Y-Strainer ของชุดน้ำร้อนที่ด้านบนของ Final-Dryer ทั้ง 2 จุด</t>
  </si>
  <si>
    <t>PE5-ML-ME</t>
  </si>
  <si>
    <t>ทาจาระบีชุด Guide ทองเหลือง Product Speader บน Pre-Dryer</t>
  </si>
  <si>
    <t>PE5-MI-ME</t>
  </si>
  <si>
    <t>ตรวจเช็คการคลายตัวของน๊อตที่ยึด Arm ทั้ง 4 ชุด ของ Shaking#1 (TP2)</t>
  </si>
  <si>
    <t>ตรวจเช็คสภาพของ Belt ขับ Shaking Dryer#1 (TP2)</t>
  </si>
  <si>
    <t>28H 1355 DR 433</t>
  </si>
  <si>
    <t>ตรวจเช็คสภาพของ Damper ที่เปิด-ปิดลม Exhaust ด้านบนของ Final-Dryer ทั้ง 2 จุด</t>
  </si>
  <si>
    <t>ตรวจเช็คสภาพของ Damper ที่เปิด-ปิดลม Exhaust ด้านบนของ Pre-Dryer</t>
  </si>
  <si>
    <t>ตรวจเช็คการคลายตัวของน๊อตที่ยึดชุด Suspension ทั้ง 8 ชุด#1 (TP2)</t>
  </si>
  <si>
    <t>ตรวจเช็คการคลายตัวของน๊อตที่ยึด Arm ทั้ง 4 ชุด ของ Shaking#2 (TP1)</t>
  </si>
  <si>
    <t>ตรวจเช็คสภาพของ Belt ขับ Shaking Dryer#2 (TP1)</t>
  </si>
  <si>
    <t>1320 VB 30-22 1922 V526</t>
  </si>
  <si>
    <t>ตรวจเช็คการคลายตัวของน๊อตที่ยึดชุด Suspension ทั้ง 8 ชุด Shaking#2 (TP1)</t>
  </si>
  <si>
    <t>PE5-QC-ME</t>
  </si>
  <si>
    <t>ทำความสะอาด Y-Stainer ของ Main Steam ที่เข้าเครื่อง Shaking Dryer#1 (TP2)</t>
  </si>
  <si>
    <t>ทำความสะอาด Air Filter ของชุดลมที่จ่ายเข้าชุด Actuator #1(TP2)</t>
  </si>
  <si>
    <t>ทำความสะอาด Air Filter ของชุดลมที่จ่ายเข้าชุด Actuator #2(TP1)</t>
  </si>
  <si>
    <t>ทำความสะอาด Y-Stainer ของ Main Steam ที่เข้าเครื่อง Shaking Dryer#2 (TP1)</t>
  </si>
  <si>
    <t>PE5-QI-ME</t>
  </si>
  <si>
    <t>ตรวจเช็ค Chain Guide  ภายใน Pre- Dryerทั้ง 9 ชั้น (36 จุด)</t>
  </si>
  <si>
    <t>PE5-HL-ME</t>
  </si>
  <si>
    <t>เปลี่ยนน้ำมันเกียร์ขับ Pre-Dryer 3 ตัว</t>
  </si>
  <si>
    <t>เปลี่ยนน้ำมันเกียร์ขับ Final Dryer 3 ตัว</t>
  </si>
  <si>
    <t>PE5-HR-ME</t>
  </si>
  <si>
    <t>เปลี่ยนแผ่น Silicone ภายใน Pre-Dryer ทั้ง 9 ชั้น (18 จุด)</t>
  </si>
  <si>
    <t>เปลี่ยนแผ่น Silicone ภายใน Final Dryer ทั้ง 5 ชั้น (10 จุด)</t>
  </si>
  <si>
    <t>12 l</t>
  </si>
  <si>
    <t>PE5-HI-ME</t>
  </si>
  <si>
    <t>ตรวจเช็ค Chain Guide  ภายใน Final- Dryer ทั้ง 5 ชั้น (20 จุด)</t>
  </si>
  <si>
    <t>(Zone 1 ใช้ OMALA220) OMALA S4 WE320</t>
  </si>
  <si>
    <t>PE5-YR-ME2</t>
  </si>
  <si>
    <t>เปลี่ยน Chain Guide  ภายใน Final Dryer ทั้ง 5 ชั้น (20 จุด)</t>
  </si>
  <si>
    <t>PE5-YR-ME</t>
  </si>
  <si>
    <t>เปลี่ยน Bush ทองเหลืองของ sprocket Pre-Dryer Zone 1-3 (รวม 9 ตัว)</t>
  </si>
  <si>
    <t>เปลี่ยน Bush ทองเหลืองของ sprocket Final Deyer Zone 1-3 (รวม x ตัว)</t>
  </si>
  <si>
    <t>PE6-ML-ME</t>
  </si>
  <si>
    <t>ฉีดสเปรย์หล่อลื่นโซ่ขับที่เกียร์ขับ Cooling Conveyor</t>
  </si>
  <si>
    <t>อัดจาระบี Bearing Sieve Vibrating ทั้ง 3 จุดของ Sieve Vibrating Conveyor</t>
  </si>
  <si>
    <t>ฉีดสเปรย์หล่อลื่นโซ่ขับที่เกียร์ขับ Elevating Belt</t>
  </si>
  <si>
    <t>อัดจาระบี Bearing สายพาน Elevating Belt ด้านบนทั้ง 2 จุด</t>
  </si>
  <si>
    <t>อัดจาระบี Bearing สายพาน Weigher Belt ด้านบนทั้ง 2 จุด</t>
  </si>
  <si>
    <t>ฉีดสเปรย์หล่อลื่นโซ่ขับที่เกียร์ขับ Weigher Belt</t>
  </si>
  <si>
    <t>อัดจาระบี Bearing Cooling Conveyor Belt ทั้ง 4 ชุด</t>
  </si>
  <si>
    <t>PE6-MI-ME</t>
  </si>
  <si>
    <t>ตรวจเช็คความสึกหรอของเฟืองขับที่เกียร์ขับ ของ Cooling Conveyor</t>
  </si>
  <si>
    <t>ตรวจเช็คสภาพสายพานขับ Sieve Vibrating</t>
  </si>
  <si>
    <t>ตรวจเช็คความสึกหรอของเฟืองขับที่เกียร์ขับ ของ Elevating Belt</t>
  </si>
  <si>
    <t>ตรวจเช็คความสึกหรอของเฟืองขับที่เกียร์ขับ ของ Weigher Belt</t>
  </si>
  <si>
    <t>ฉีดสเปรย์หล่อลื่นโซ่ขับสายพาน Cooling Conveyor Belt ทั้ง 2 ด้าน</t>
  </si>
  <si>
    <t>ตรวจเช็คสภาพของ Air Filter และ Housing</t>
  </si>
  <si>
    <t>PE6-MC-ME</t>
  </si>
  <si>
    <t>ทำความสะอาด Air Filter ของ Air Cooling Conveyor</t>
  </si>
  <si>
    <t>PE7-WC-ME</t>
  </si>
  <si>
    <t>PE7-WC-ME2</t>
  </si>
  <si>
    <t>Steam Boiler #2 (100Kg/Hr)</t>
  </si>
  <si>
    <t>Drain น้ำใน Steam boiler ออก</t>
  </si>
  <si>
    <t>PE7-MC-ME</t>
  </si>
  <si>
    <t>เปลี่ยน Water Filter ขนาด 5 ไมครอนทั้ง 2 ชุดให้สะอาด</t>
  </si>
  <si>
    <t>PE7-MI-ME</t>
  </si>
  <si>
    <t>ตรวจเช็ค แรงดัน LPG Supply Steam Boiler #2 (100Kg/Hr)</t>
  </si>
  <si>
    <t>ตรวจเช็ค แรงดัน LPG Supply Hot Water Boiler</t>
  </si>
  <si>
    <t>ตรวจเช็ค Pressure Steam Boiler#2 (100Kg/Hr)</t>
  </si>
  <si>
    <t>ตรวจเช็ค Pressurer Hot Water Boiler</t>
  </si>
  <si>
    <t>Hot Water Cirulating Pump #1</t>
  </si>
  <si>
    <t>ตรวจเช็ค การรั่วซึมน้ำร้อนของ Hot Water Circulating Pump #1</t>
  </si>
  <si>
    <t>Hot Water Cirulating Pump #2</t>
  </si>
  <si>
    <t>ตรวจเช็ค การรั่วซึมน้ำร้อนของ Hot Water Circulating Pump #2</t>
  </si>
  <si>
    <t>ตรวจเช็ค Pressure Water In RO Unit</t>
  </si>
  <si>
    <t>ตรวจเช็ค Pressure Water Out RO Unit</t>
  </si>
  <si>
    <t>ตรวจเช็ค ปริมาณน้ำยาเติมระบบ RO Unit</t>
  </si>
  <si>
    <t>ตรวจเช็ค รอยรั่วของน้ำระบบ RO Unit</t>
  </si>
  <si>
    <t>PE7-ML-ME</t>
  </si>
  <si>
    <t>อัดจาระบี Bearing Motor Hot Water Circulating Pump #1</t>
  </si>
  <si>
    <t>อัดจาระบี Bearing Motor Hot Water Circulating Pump #2</t>
  </si>
  <si>
    <t>PE7-HC-ME</t>
  </si>
  <si>
    <t>PE7-HI-ME2</t>
  </si>
  <si>
    <t>PE7-HI-ME</t>
  </si>
  <si>
    <t>ส่งน้ำ Boiler Feed ไปตรวจค่า Total Hardness (CaCO3) และ pH</t>
  </si>
  <si>
    <t>Total Hardness &lt;10ppm, pH 5.8-9.5</t>
  </si>
  <si>
    <t>ส่งน้ำ BoilerWater ไปตรวจค่า Total Dissolved Solid (TDS) และ pH</t>
  </si>
  <si>
    <t>TDS &lt;3500ppm, pH 8.5-11.8</t>
  </si>
  <si>
    <t>PE7-DI-ME</t>
  </si>
  <si>
    <t>ทำความสะอาด Inlet Y-strainer</t>
  </si>
  <si>
    <t>24H</t>
  </si>
  <si>
    <t>ตรวจเช็คการรั่วของน้ำมันที่บริเวณปั๊ม</t>
  </si>
  <si>
    <t>ตรวจเช็คการรั่วของน้ำที่เข้าปั๊ม</t>
  </si>
  <si>
    <t>ตรวจเช็คระดับน้ำมันหล่อลื่นปั๊มที่ช่องมอง</t>
  </si>
  <si>
    <t>PE7-WR-ME</t>
  </si>
  <si>
    <t>เปลี่ยนน้ำมันหล่อลื่นปั๊ม (ISO 68)</t>
  </si>
  <si>
    <t>PE7-NR-ME</t>
  </si>
  <si>
    <t>เปลี่ยนชุดซีลของปั๊ม</t>
  </si>
  <si>
    <t>1500H</t>
  </si>
  <si>
    <t>PE7-RR-ME</t>
  </si>
  <si>
    <t>เปลี่ยนชุด Valve ใหม่</t>
  </si>
  <si>
    <t>3000H</t>
  </si>
  <si>
    <t>FC0-FI-ME</t>
  </si>
  <si>
    <t>ตรวจเช็คการรั่วของน้ำมันเกียร์ขับ Bucket Elevator#1</t>
  </si>
  <si>
    <t>ตรวจเช็คสภาพสายพานขับ V-Belt ของ Vertical Blender#1</t>
  </si>
  <si>
    <t>FC0-FL-ME</t>
  </si>
  <si>
    <t>อัดจาระบี Bearing Bucket Elevator#1 ทั้ง 6 จุด</t>
  </si>
  <si>
    <t>อัดจาระบี Bearing Bucket Elevator#2 ทั้ง 6 จุด</t>
  </si>
  <si>
    <t>อัดจาระบี Bearing บน-ล่างของ Vertical Blender#1 ทั้ง 2 จุด</t>
  </si>
  <si>
    <t>FC0-MI-ME</t>
  </si>
  <si>
    <t xml:space="preserve">ตรวจเช็คน็อตยึด Bucket ทุกตัวของ Bucket Elevator #1 </t>
  </si>
  <si>
    <t xml:space="preserve">ตรวจเช็คน็อตยึด Bucket ทุกตัวของ Bucket Elevator #2 </t>
  </si>
  <si>
    <t>FC0-MC-ME</t>
  </si>
  <si>
    <t xml:space="preserve">ตรวจเช็คสภาพ Filter และทำความสะอาด RotoClone </t>
  </si>
  <si>
    <t>FC1-FA-ME</t>
  </si>
  <si>
    <t>Extruder #1-3</t>
  </si>
  <si>
    <t>ปรับตั้งความตึงหย่อนของสายพาน Take Out Conveyor#1,2,3</t>
  </si>
  <si>
    <t>FC1-FI-ME</t>
  </si>
  <si>
    <t>ตรวจเช็คสภาพสายพาน Take Out Conveyor Belt#1,2,3</t>
  </si>
  <si>
    <t>ตรวจเช็คความสึกหรอของเฟืองขับโซ่สายพาน Take Out Conveyor#1,2,3</t>
  </si>
  <si>
    <t>FC1-FL-ME</t>
  </si>
  <si>
    <t>อัดจาระบี Bearing Frame ของ Extruder#1 จำนวน 3 จุด</t>
  </si>
  <si>
    <t>อัดจาระบี Bearing Frame ของ Extruder#2 จำนวน 3 จุด</t>
  </si>
  <si>
    <t>อัดจาระบี Bearing Frame ของ Extruder#3 จำนวน 3 จุด</t>
  </si>
  <si>
    <t>FC1-MI-ME</t>
  </si>
  <si>
    <t>ตรวจเช็คสภาพและความตึงหย่อนสายพาน V-belt ขับ Extruder#1 ทั้ง 8 เส้น</t>
  </si>
  <si>
    <t>Goodyear BX98</t>
  </si>
  <si>
    <t>8 pcs</t>
  </si>
  <si>
    <t>ตรวจเช็คสภาพและความตึงหย่อนสายพาน V-belt ขับ Extruder#2 ทั้ง 8 เส้น</t>
  </si>
  <si>
    <t>ตรวจเช็คสภาพและความตึงหย่อนสายพาน V-belt ขับ Extruder#3 ทั้ง 8 เส้น</t>
  </si>
  <si>
    <t>FC1-ML-ME</t>
  </si>
  <si>
    <t>FC1-MV-ME</t>
  </si>
  <si>
    <t>ตรวจวัดค่า Vibration Extruder No.1</t>
  </si>
  <si>
    <t>ตรวจวัดค่า Vibration Extruder No.2</t>
  </si>
  <si>
    <t>ตรวจวัดค่า Vibration Extruder No.3</t>
  </si>
  <si>
    <t>FC1-QA-ME</t>
  </si>
  <si>
    <t>ตั้ง Alignment ของ Screw auger ของ Extruder #1</t>
  </si>
  <si>
    <t>ตั้ง Alignment ของ Screw auger ของ Extruder #2</t>
  </si>
  <si>
    <t>ตั้ง Alignment ของ Screw auger ของ Extruder #3</t>
  </si>
  <si>
    <t>FC1-HL-ME</t>
  </si>
  <si>
    <t>เปลี่ยนน้ำมันเกียร์ Take Out Conveyor#2</t>
  </si>
  <si>
    <t>เปลี่ยนน้ำมันเกียร์ของ Gear Box ขับ Screw Feeder Extruder#1</t>
  </si>
  <si>
    <t>เปลี่ยนน้ำมันเกียร์ของ Gear Box ขับ Screw Feeder Extruder#2</t>
  </si>
  <si>
    <t>FC2-FI-ME</t>
  </si>
  <si>
    <t>ตรวจเช็คสภาพและความตึงหย่อนสายพาน Bulk Feeder Conveyor</t>
  </si>
  <si>
    <t>ตรวจเช็คสภาพของสายพาน Weightbelt</t>
  </si>
  <si>
    <t>FC2-FL-ME</t>
  </si>
  <si>
    <t>อัดจาระบี Bearing Bulk Feeder Hopper ทั้ง 2 จุด</t>
  </si>
  <si>
    <t>ฉีดสเปรย์หล่อลื่นโซ่ขับ Bulk Feeder Hopper</t>
  </si>
  <si>
    <t>อัดจาระบี Bearing Bulk Feeder Conveyor ทั้ง 4 จุด</t>
  </si>
  <si>
    <t>อัดจาระบี Bearing Incline Conveyor ทั้ง 4 จุด</t>
  </si>
  <si>
    <t>FC2-MI-ME</t>
  </si>
  <si>
    <t>ตรวจเช็คความสึกหรอของเฟืองขับ Bulk Feeder Conveyor</t>
  </si>
  <si>
    <t>FC2-HL-ME</t>
  </si>
  <si>
    <t>เปลี่ยนน้ำมันเกียร์ของ Bulk Feeder Hopper</t>
  </si>
  <si>
    <t>เปลี่ยนน้ำมันเกียร์ของมอเตอร์เกียร์ขับ Bulk Feeder Conveyor</t>
  </si>
  <si>
    <t>เปลี่ยนน้ำมันเกียร์ Weightbelt Feeder Conveyor</t>
  </si>
  <si>
    <t>FC3-FC-ME</t>
  </si>
  <si>
    <t>FC3-FI-ME</t>
  </si>
  <si>
    <t>ตรวจเช็คสภาพสายพาน Reject Conveyor</t>
  </si>
  <si>
    <t>FC3-FL-ME</t>
  </si>
  <si>
    <t>อัดจาระบี Bearing Circulation Fan ทั้ง 4 ตัว</t>
  </si>
  <si>
    <t>อัดจาระบี Bearing Oven Conveyor ทั้ง 18 จุด</t>
  </si>
  <si>
    <t>อัดจาระบี Bearing Reject Conveyor ทั้ง 4 จุด</t>
  </si>
  <si>
    <t>FC3-HL-ME</t>
  </si>
  <si>
    <t>เปลี่ยนน้ำมันเกียร์มอเตอร์ Oven Reject Conveyor</t>
  </si>
  <si>
    <t>FC4-WL-ME</t>
  </si>
  <si>
    <t>อัดจาระบี Bearing Fryer Submerger Conveyor ทั้ง 4 จุด</t>
  </si>
  <si>
    <t>อัดจาระบี Bearing Fryer Take-Out Conveyor ทั้ง 4 จุด</t>
  </si>
  <si>
    <t>FC4-FI-ME</t>
  </si>
  <si>
    <t>อัดจาระบี Bearing OME Exhaust Fan</t>
  </si>
  <si>
    <t>FC4-FL-ME</t>
  </si>
  <si>
    <t>ทาจาระบีที่เสาของ Lifter ทั้ง 4 จุด</t>
  </si>
  <si>
    <t>FC4-ML-ME</t>
  </si>
  <si>
    <t>FC4-QR-ME</t>
  </si>
  <si>
    <t>เปลี่ยน Bearing Fryer Submerger Conveyor</t>
  </si>
  <si>
    <t>เปลี่ยน Bearing FFryer Take-Out Conveyor</t>
  </si>
  <si>
    <t>FC4-HL-ME</t>
  </si>
  <si>
    <t>เปลี่ยนน้ำมันเกียร์ Fryer Hood Lifter</t>
  </si>
  <si>
    <t>FC4-HR-ME</t>
  </si>
  <si>
    <t>เปลี่ยน Bearing OME Exhaust Fan</t>
  </si>
  <si>
    <t>FC5-FC-ME</t>
  </si>
  <si>
    <t>ทำความสะอาด Catch Box Conveyor</t>
  </si>
  <si>
    <t>ทำความสะอาด Air Filter Burner</t>
  </si>
  <si>
    <t>FC5-FI-ME</t>
  </si>
  <si>
    <t>FC5-FL-ME</t>
  </si>
  <si>
    <t>FC5-MV-ME</t>
  </si>
  <si>
    <t>FC5-HL-ME</t>
  </si>
  <si>
    <t>FC6-FC-ME</t>
  </si>
  <si>
    <t>FC6-FI-ME</t>
  </si>
  <si>
    <t>FC6-FL-ME</t>
  </si>
  <si>
    <t>FC7-FA-ME</t>
  </si>
  <si>
    <t>FC7-FI-ME</t>
  </si>
  <si>
    <t>ตรวจเช็คการสึกหรอของเฟืองขับ SSN Tumbler Drum</t>
  </si>
  <si>
    <t>ตรวจเช็คการสึกหรอสายพานขับ Spinner</t>
  </si>
  <si>
    <t>Slurry Mixer #1-2</t>
  </si>
  <si>
    <t>ตรวจเช็คการรั่วซึมของระบบท่อของ Slurry Unit</t>
  </si>
  <si>
    <t>FC7-FL-ME</t>
  </si>
  <si>
    <t>อัดจาระบี Bearing SSN Tumbler Drum ทั้ง 4 จุด</t>
  </si>
  <si>
    <t>อัดจาระบี Bearing Spinner 1 จุด</t>
  </si>
  <si>
    <t>FC7-HL-ME</t>
  </si>
  <si>
    <t>เปลี่ยนน้ำมันเกียร์ขับ Tumbler Drum</t>
  </si>
  <si>
    <t>เปลี่ยนน้ำมันเกียร์ขับ Gear Box Acrison</t>
  </si>
  <si>
    <t>FC8-FL-ME</t>
  </si>
  <si>
    <t>FC8-HL-ME</t>
  </si>
  <si>
    <t>P20-FI-023ME</t>
  </si>
  <si>
    <t>P20-FI-ME</t>
  </si>
  <si>
    <t>ตรวจเช็คโซ่/เฟืองขับ ของ Slicer Feeder Auger พร้อมทั้งปรับตั้งให้เหมาะสม</t>
  </si>
  <si>
    <t>P20-FPM-ME</t>
  </si>
  <si>
    <t>P20-FI-025ME</t>
  </si>
  <si>
    <t>ตรวจเช็คการรั่วของ Cylinder เปิด-ปิด เกทแบ่งมัน Cross conveyor / Inspection conveyor</t>
  </si>
  <si>
    <t>P20-FL-024ME</t>
  </si>
  <si>
    <t>P20-FL-ME</t>
  </si>
  <si>
    <t>ฉีดสเปรย์ล่อลื่นที่โซ่และเฟืองขับ ของ Slicer Feeder Auger</t>
  </si>
  <si>
    <t>P20-FL-001OP</t>
  </si>
  <si>
    <t>อัดจาระบี Bearing Cross Conveyor ทั้ง 4 จุด</t>
  </si>
  <si>
    <t>P20-FPM-OP</t>
  </si>
  <si>
    <t>P20-FL-002OP</t>
  </si>
  <si>
    <t>P20-FL-003OP</t>
  </si>
  <si>
    <t>อัดจาระบี Bearing Surge Hopper Elevator ทั้ง 4 จุด</t>
  </si>
  <si>
    <t>P20-FL-004OP</t>
  </si>
  <si>
    <t>อัดจาระบี Bearing High Level Conveyor1 ทั้ง 4 จุด</t>
  </si>
  <si>
    <t>P20-FL-005OP</t>
  </si>
  <si>
    <t>อัดจาระบี Bearing High Level Conveyor2 ทั้ง 4 จุด</t>
  </si>
  <si>
    <t>P20-FL-006OP</t>
  </si>
  <si>
    <t>อัดจาระบี Bearing High Level Conveyor3 ทั้ง 4 จุด</t>
  </si>
  <si>
    <t>P20-FL-007OP</t>
  </si>
  <si>
    <t>อัดจาระบี Bearing Slicer Incline Conveyor ทั้ง 4 จุด</t>
  </si>
  <si>
    <t>P20-FL-008OP</t>
  </si>
  <si>
    <t>อัดจาระบี Bearing Slicer Feeder Auger ทั้ง 4 จุด</t>
  </si>
  <si>
    <t>P20-FL-009OP</t>
  </si>
  <si>
    <t>Slicer #1-2</t>
  </si>
  <si>
    <t>อัดจาระบี Bearing ที่ Gear Box Bearing 2 จุด Slicer#1-2</t>
  </si>
  <si>
    <t>P20-MI-002ME</t>
  </si>
  <si>
    <t>P20-MI-ME</t>
  </si>
  <si>
    <t>ตรวจเช็คการรั่วของน้ำมัน Gear Box ของ Cross Conv.</t>
  </si>
  <si>
    <t>P20-MPM-ME</t>
  </si>
  <si>
    <t>P20-MI-004ME</t>
  </si>
  <si>
    <t>ตรวจเช็คความตึงหย่อน/ปรับตั้ง ของ Cross Conveyor</t>
  </si>
  <si>
    <t>P20-MI-005ME</t>
  </si>
  <si>
    <t>ตรวจเช็คการรั่วของน้ำมัน Gear Box ของ Incline Conv. ก่อนเข้า Surge Hopper Elevator</t>
  </si>
  <si>
    <t>P20-MI-007ME</t>
  </si>
  <si>
    <t>ตรวจเช็คความตึงหย่อน/ปรับตั้ง ของ Incline Conveyor</t>
  </si>
  <si>
    <t>P20-MI-008ME</t>
  </si>
  <si>
    <t>ตรวจเช็คการรั่วของน้ำมัน Gear Box ของ Surge Hopper Elevator</t>
  </si>
  <si>
    <t>P20-MI-010ME</t>
  </si>
  <si>
    <t>ตรวจเช็คความตึงหย่อน/ปรับตั้ง ของ Surger Hopper Elevator</t>
  </si>
  <si>
    <t>P20-MI-011ME</t>
  </si>
  <si>
    <t>ตรวจเช็คการรั่วของน้ำมัน Gear Box ของ High Level Conveyor1</t>
  </si>
  <si>
    <t>P20-MI-013ME</t>
  </si>
  <si>
    <t>ตรวจเช็คความตึงหย่อน/ปรับตั้ง ของ High Level Conveyor1</t>
  </si>
  <si>
    <t>P20-MI-014ME</t>
  </si>
  <si>
    <t>ตรวจเช็คการรั่วของน้ำมัน Gear Box ของ High Level Conveyor2</t>
  </si>
  <si>
    <t>P20-MI-016ME</t>
  </si>
  <si>
    <t>ตรวจเช็คความตึงหย่อน/ปรับตั้ง ของ High Level Conveyor2</t>
  </si>
  <si>
    <t>P20-MI-017ME</t>
  </si>
  <si>
    <t>ตรวจเช็คการรั่วของน้ำมัน Gear Box ของ High Level Conveyor3</t>
  </si>
  <si>
    <t>P20-MI-019ME</t>
  </si>
  <si>
    <t>ตรวจเช็คความตึงหย่อน/ปรับตั้ง ของ High Level Conveyor3</t>
  </si>
  <si>
    <t>P20-MI-020ME</t>
  </si>
  <si>
    <t>ตรวจเช็คการรั่วของน้ำมัน Gear Box ของ Slicer Incline Conv.</t>
  </si>
  <si>
    <t>P20-MI-022ME</t>
  </si>
  <si>
    <t>ตรวจเช็คความตึงหย่อน/ปรับตั้ง ของ Slicer Incline Conv.</t>
  </si>
  <si>
    <t>P20-MI-025ME</t>
  </si>
  <si>
    <t>ตรวจเช็คสภาพสายพานขับของ Slicer Gear Box Slicer#1-2</t>
  </si>
  <si>
    <t>P20-MC-001ME</t>
  </si>
  <si>
    <t>P20-MC-ME</t>
  </si>
  <si>
    <t>ล้างทำความสะอาด Y-Strainer ก่อนเข้า Flow meter ของ Slicer#1-2</t>
  </si>
  <si>
    <t>P20-HL-001ME</t>
  </si>
  <si>
    <t>P20-HL-ME</t>
  </si>
  <si>
    <t>เปลี่ยนน้ำมันเกียร์ Cross Conveyor</t>
  </si>
  <si>
    <t>P20-HPM-ME</t>
  </si>
  <si>
    <t>P20-HL-002ME</t>
  </si>
  <si>
    <t>0.7 l</t>
  </si>
  <si>
    <t>P20-HL-003ME</t>
  </si>
  <si>
    <t>เปลี่ยนน้ำมันเกียร์ Surge Hopper Elevator</t>
  </si>
  <si>
    <t>P20-HL-004ME</t>
  </si>
  <si>
    <t>เปลี่ยนน้ำมันเกียร์ High Level Conveyor1</t>
  </si>
  <si>
    <t>P20-HL-005ME</t>
  </si>
  <si>
    <t>เปลี่ยนน้ำมันเกียร์ High Level Conveyor2</t>
  </si>
  <si>
    <t>P20-HL-006ME</t>
  </si>
  <si>
    <t>เปลี่ยนน้ำมันเกียร์ High Level Conveyor3</t>
  </si>
  <si>
    <t>P20-HL-007ME</t>
  </si>
  <si>
    <t>P20-HL-008ME</t>
  </si>
  <si>
    <t>เปลี่ยนน้ำมัน Gear Box ของ Slicer Head Slicer#1-2</t>
  </si>
  <si>
    <t>P20-HR-001ME</t>
  </si>
  <si>
    <t>P20-HR-ME</t>
  </si>
  <si>
    <t>เปลี่ยน Bearing Slicer Feeder Auger ทั้งหมด 4 ตัว</t>
  </si>
  <si>
    <t>UC205 4 PCS.</t>
  </si>
  <si>
    <t>รูล้น</t>
  </si>
  <si>
    <t>P20-HPM-ME1</t>
  </si>
  <si>
    <t>P21-FL-001ME</t>
  </si>
  <si>
    <t>P21-FL-ME</t>
  </si>
  <si>
    <t>อัดจาระบี Bearing ตัวหลัง Motor Air Sweep</t>
  </si>
  <si>
    <t>P21-FPM-ME</t>
  </si>
  <si>
    <t>P21-FL-002ME</t>
  </si>
  <si>
    <t>P21-FL-003ME</t>
  </si>
  <si>
    <t>อัดจาระบี Bearing ตัวหลัง Motor Air Knife</t>
  </si>
  <si>
    <t>PSSW Catchbox Conveyor</t>
  </si>
  <si>
    <t>P21-FL-002OP</t>
  </si>
  <si>
    <t>P21-FPM-OP</t>
  </si>
  <si>
    <t>P21-FC-003ME</t>
  </si>
  <si>
    <t>P21-FC-ME</t>
  </si>
  <si>
    <t>เป่าทำความสะอาด Air Filter ของ Air Knife</t>
  </si>
  <si>
    <t>P21-MC-001ME</t>
  </si>
  <si>
    <t>P21-MC-ME</t>
  </si>
  <si>
    <t>P21-MPM-ME</t>
  </si>
  <si>
    <t>P21-MI-002ME</t>
  </si>
  <si>
    <t>P21-MI-ME</t>
  </si>
  <si>
    <t>P21-MI-003ME</t>
  </si>
  <si>
    <t>P21-MI-001OP</t>
  </si>
  <si>
    <t>P21-MPM-OP</t>
  </si>
  <si>
    <t>P21-MV-001ME</t>
  </si>
  <si>
    <t>P21-MV-ME</t>
  </si>
  <si>
    <t>P21-MV-002ME</t>
  </si>
  <si>
    <t>P21-MV-003ME</t>
  </si>
  <si>
    <t>P21-QR-001ME</t>
  </si>
  <si>
    <t>P21-QR-ME</t>
  </si>
  <si>
    <t>เปลี่ยน Air Filter Air Knife Filter</t>
  </si>
  <si>
    <t>P21-QPM-ME</t>
  </si>
  <si>
    <t>P21-HL-001ME</t>
  </si>
  <si>
    <t>P21-HL-ME</t>
  </si>
  <si>
    <t>P21-HPM-ME</t>
  </si>
  <si>
    <t>P21-HL-002ME</t>
  </si>
  <si>
    <t>P22-FL-001ME</t>
  </si>
  <si>
    <t>P22-FL-ME</t>
  </si>
  <si>
    <t>อัดจาระบีหัว-ท้ายของมอเตอร์ MOP</t>
  </si>
  <si>
    <t>P22-FPM-ME</t>
  </si>
  <si>
    <t>P22-FL-001OP</t>
  </si>
  <si>
    <t>Catchbox Conveyor</t>
  </si>
  <si>
    <t>อัดจาระบี Bearing Fryer Catchbox Conveyor ทั้ง 2 จุด</t>
  </si>
  <si>
    <t>P22-FPM-OP</t>
  </si>
  <si>
    <t>P22-MI-001ME</t>
  </si>
  <si>
    <t>P22-MI-ME</t>
  </si>
  <si>
    <t>P22-MPM-ME</t>
  </si>
  <si>
    <t>P22-MI-004ME</t>
  </si>
  <si>
    <t>P22-MI-002ME</t>
  </si>
  <si>
    <t>ท่วม Sightglass</t>
  </si>
  <si>
    <t>P22-MI-003ME</t>
  </si>
  <si>
    <t>P22-ML-001ME</t>
  </si>
  <si>
    <t>P22-ML-ME</t>
  </si>
  <si>
    <t>STAMINA#2</t>
  </si>
  <si>
    <t>P22-ML-002ME</t>
  </si>
  <si>
    <t>อัดจาระบี Motor ของ Combustion Fan</t>
  </si>
  <si>
    <t>P22-MV-001ME</t>
  </si>
  <si>
    <t>P22-MV-ME</t>
  </si>
  <si>
    <t>P22-MV-002ME</t>
  </si>
  <si>
    <t>P22-QA-001ME</t>
  </si>
  <si>
    <t>P22-QA-ME</t>
  </si>
  <si>
    <t>P22-QPM-ME</t>
  </si>
  <si>
    <t>P22-HL-002ME</t>
  </si>
  <si>
    <t>P22-HL-ME</t>
  </si>
  <si>
    <t>P22-HPM-ME</t>
  </si>
  <si>
    <t>P22-HL-001ME</t>
  </si>
  <si>
    <t>P23-FI-001ME</t>
  </si>
  <si>
    <t>P23-FI-ME</t>
  </si>
  <si>
    <t>ตรวจเช็คสภาพสายพานขับ OME Exhaust Fan Side ทั้ง 2 เส้น</t>
  </si>
  <si>
    <t xml:space="preserve">[GS114336] XPZ1120 </t>
  </si>
  <si>
    <t>2pcs</t>
  </si>
  <si>
    <t>P23-FPM-ME</t>
  </si>
  <si>
    <t>P23-FL-001ME</t>
  </si>
  <si>
    <t>P23-FL-ME</t>
  </si>
  <si>
    <t>P23-FL-002OP</t>
  </si>
  <si>
    <t>อัดจาระบี Bearing Paddle Conveyor ทั้ง 12 ตัว</t>
  </si>
  <si>
    <t>P23-FPM-OP</t>
  </si>
  <si>
    <t>P23-FL-003OP</t>
  </si>
  <si>
    <t>อัดจาระบี Bearing Jogging ของ Paddle Conveyor ทั้ง 7 ตัว</t>
  </si>
  <si>
    <t>P23-FL-004OP</t>
  </si>
  <si>
    <t>P23-FL-005OP</t>
  </si>
  <si>
    <t>P23-ML-006OP</t>
  </si>
  <si>
    <t>P23-ML-ME</t>
  </si>
  <si>
    <t>หยอดน้ำมันที่หัวเสาของชุด Fryer Hood Lifter ทั้ง 4 เสา</t>
  </si>
  <si>
    <t>P23-MPM-OP</t>
  </si>
  <si>
    <t>P23-HL-001ME</t>
  </si>
  <si>
    <t>P23-HL-ME</t>
  </si>
  <si>
    <t>0.45 l / 0.25 l</t>
  </si>
  <si>
    <t>P23-HPM-ME</t>
  </si>
  <si>
    <t>P23-HL-002ME</t>
  </si>
  <si>
    <t>P23-HL-003ME</t>
  </si>
  <si>
    <t>เปลี่ยนน้ำมันเกียร์ Take out conveyor</t>
  </si>
  <si>
    <t>P23-HR-001ME</t>
  </si>
  <si>
    <t>P23-HR-ME</t>
  </si>
  <si>
    <t>[P1500900]</t>
  </si>
  <si>
    <t>P23-HPM-ME2</t>
  </si>
  <si>
    <t>P23-YR-001ME</t>
  </si>
  <si>
    <t>P23-YR-ME</t>
  </si>
  <si>
    <t>P23-YPM-ME</t>
  </si>
  <si>
    <t>P23-YR-002ME</t>
  </si>
  <si>
    <t>7 pcs</t>
  </si>
  <si>
    <t>P23-YR-003ME</t>
  </si>
  <si>
    <t>P23-YR-004ME</t>
  </si>
  <si>
    <t>P23-YR-005ME</t>
  </si>
  <si>
    <t>P23-YR-006ME</t>
  </si>
  <si>
    <t>P24-FI-002ME</t>
  </si>
  <si>
    <t>P24-FI-ME</t>
  </si>
  <si>
    <t>ตรวจเช็ค Stroke ของรางสั่น Flowright Vibrating Conveyor #1</t>
  </si>
  <si>
    <t>P24-FPM-ME</t>
  </si>
  <si>
    <t>P24-FI-004ME</t>
  </si>
  <si>
    <t>ตรวจเช็ค Stroke ของรางสั่น Flowright Vibrating Conveyor #2</t>
  </si>
  <si>
    <t>P24-FI-005ME</t>
  </si>
  <si>
    <t>ตรวจเช็ค Stroke การสั่นสะเทือนของรางสั่น OPTYX infeed vibrating conveyor</t>
  </si>
  <si>
    <t>P24-FL-001OP</t>
  </si>
  <si>
    <t>P24-FL-ME</t>
  </si>
  <si>
    <t>P24-FPM-OP</t>
  </si>
  <si>
    <t>P24-FL-002OP</t>
  </si>
  <si>
    <t>P24-FL-003OP</t>
  </si>
  <si>
    <t>P24-FL-004OP</t>
  </si>
  <si>
    <t>อัดจาระบี Bearing สายพาน Moisture Conveyor ทั้ง 4 จุด</t>
  </si>
  <si>
    <t>P24-FL-005OP</t>
  </si>
  <si>
    <t>อัดจาระบี Bearing Elevating Conveyor ทั้ง 10 จุด</t>
  </si>
  <si>
    <t>P24-MI-001ME</t>
  </si>
  <si>
    <t>P24-MI-ME</t>
  </si>
  <si>
    <t>P24-MPM-ME</t>
  </si>
  <si>
    <t>P24-MI-002ME</t>
  </si>
  <si>
    <t>P24-MI-003ME</t>
  </si>
  <si>
    <t>ตรวจเช็คความสภาพสายพาน Elevating Conveyor</t>
  </si>
  <si>
    <t>P24-MA-001ME</t>
  </si>
  <si>
    <t>P24-MA-ME</t>
  </si>
  <si>
    <t>ปรับตั้งความตึงหย่อนของ Elevating Conveyor</t>
  </si>
  <si>
    <t>P24-QR-001ME</t>
  </si>
  <si>
    <t>P24-QR-ME</t>
  </si>
  <si>
    <t>เปลี่ยน Bearing Roller Main Conveyor Belt OPTYX</t>
  </si>
  <si>
    <t xml:space="preserve">UC205 HighTemp </t>
  </si>
  <si>
    <t>P24-QPM-ME</t>
  </si>
  <si>
    <t>P24-HL-001ME</t>
  </si>
  <si>
    <t>P24-HL-ME</t>
  </si>
  <si>
    <t>เปลี่ยนน้ำมันเกียร์ Elevating Conveyor</t>
  </si>
  <si>
    <t>P24-HPM-ME</t>
  </si>
  <si>
    <t>P24-HL-002ME</t>
  </si>
  <si>
    <t>0.8 l</t>
  </si>
  <si>
    <t>P24-HL-004ME</t>
  </si>
  <si>
    <t>เปลี่ยนน้ำมันเกียร์ Main Conveyor Belt OPTYX</t>
  </si>
  <si>
    <t>OMALA S4 GX460</t>
  </si>
  <si>
    <t>0.4 l</t>
  </si>
  <si>
    <t>P24-HR-004ME</t>
  </si>
  <si>
    <t>P24-HR-ME</t>
  </si>
  <si>
    <t>เปลี่ยน V- belt OPTYX Infeed Vibrating Conveyor</t>
  </si>
  <si>
    <t>XPZ1010</t>
  </si>
  <si>
    <t>P24-HPM-ME1</t>
  </si>
  <si>
    <t>Plan</t>
  </si>
  <si>
    <t>SE0-FI-ME</t>
  </si>
  <si>
    <t>SE0-FL-ME</t>
  </si>
  <si>
    <t>SE0-MI-ME</t>
  </si>
  <si>
    <t>ตรวจเช็คการรั่วของแป้งที่หน้าแปลน bearing หน้า-หลัง</t>
  </si>
  <si>
    <t>SE0-MV-ME</t>
  </si>
  <si>
    <t>ตรวจวัดค่า Vibration</t>
  </si>
  <si>
    <t>SE0-ML-ME</t>
  </si>
  <si>
    <t>อัดจาระบี Bearing เพลา Agitator หน้า-หลัง</t>
  </si>
  <si>
    <t>SE0-NI-ME</t>
  </si>
  <si>
    <t>SE0-HL-ME</t>
  </si>
  <si>
    <t xml:space="preserve">Bel-Ray No-Tox HD Oil 150 H1 </t>
  </si>
  <si>
    <t>SE0-YL-ME</t>
  </si>
  <si>
    <t>SE1-WC-ME</t>
  </si>
  <si>
    <t>SE1-FI-ME</t>
  </si>
  <si>
    <t>ตรวจเช็คการรั่วของ Slurry Pump #1-6</t>
  </si>
  <si>
    <t>SE1-FC-ME</t>
  </si>
  <si>
    <t>SE1-MC-ME</t>
  </si>
  <si>
    <t>SE1-QR-ME</t>
  </si>
  <si>
    <t>เปลี่ยน Water Filter ขนาด 5 ไมครอนทั้ง 2 ชุด</t>
  </si>
  <si>
    <t>SE1-HL-ME</t>
  </si>
  <si>
    <t>SE1-HC-ME</t>
  </si>
  <si>
    <t>SE1-HI-ME</t>
  </si>
  <si>
    <t>SE1-YL-ME</t>
  </si>
  <si>
    <t>SE2-FC-ME</t>
  </si>
  <si>
    <t>SE2-FI-ME</t>
  </si>
  <si>
    <t>SE2-FL-ME</t>
  </si>
  <si>
    <t>อัดจาระบี Bearing ของพัดลมทั้ง 2 ตัว</t>
  </si>
  <si>
    <t>SE2-MI-ME</t>
  </si>
  <si>
    <t>ตรวจเช็ค ความตึง Belt ขับ Extruder</t>
  </si>
  <si>
    <t>SE2-MV-ME</t>
  </si>
  <si>
    <t>SE2-ML-ME</t>
  </si>
  <si>
    <t>Kluber ISOFLEX NCA 15</t>
  </si>
  <si>
    <t>SE2-HL-ME</t>
  </si>
  <si>
    <t>SE2-HI-ME</t>
  </si>
  <si>
    <t>ตรวจวัดความตึงของสายพานมอเตอร์ Extruder (XPB type) โดยใช้ปากกาวัดความตึง ค่า Belt detection force ต้องอยู่ที่ 4.9 Kg (Cogged belt / Used Belt)</t>
  </si>
  <si>
    <t>SE2-YR-ME</t>
  </si>
  <si>
    <t>เปลี่ยน Oil Seal ของ Extruder</t>
  </si>
  <si>
    <t>SE2-YR-ME2</t>
  </si>
  <si>
    <t>เปลี่ยน Speedi sleeve ที่เพลาขับ</t>
  </si>
  <si>
    <t>SKF 99630</t>
  </si>
  <si>
    <t>เปลี่ยน Oil seal และ O-ring ของชุด Take up ring</t>
  </si>
  <si>
    <t>Viton 160*190*15</t>
  </si>
  <si>
    <t>O-ring ID 280*5 mm.</t>
  </si>
  <si>
    <t>SE3-FI-ME</t>
  </si>
  <si>
    <t>ตรวจเช็คสภาพสายพาน Incline Conveyor #1</t>
  </si>
  <si>
    <t>Incline Conveyor #2</t>
  </si>
  <si>
    <t>ตรวจเช็คสภาพสายพาน Incline Conveyor #2</t>
  </si>
  <si>
    <t>SE3-FL-ME</t>
  </si>
  <si>
    <t>Incline Conveyor #1 (Blue)</t>
  </si>
  <si>
    <t>อัดจาระบี Bearing Incline Conveyor #1 ทั้ง 2 จุด</t>
  </si>
  <si>
    <t>SE3-MI-ME</t>
  </si>
  <si>
    <t>ตรวจเช็คสายพานขับเพลาขับใบมีด</t>
  </si>
  <si>
    <t xml:space="preserve">ตรวจเช็คการรั่วของน้ำมันเกียร์ </t>
  </si>
  <si>
    <t>ตรวจเช็คระดับและการรั่วของน้ำมันเกียร์ขับ Mobile Conveyor</t>
  </si>
  <si>
    <t>ตรวจเช็คระดับและการรั่วของน้ำมันเกียร์ขับ Oven Infeed Incline Conveyor</t>
  </si>
  <si>
    <t>SE3-ML-ME</t>
  </si>
  <si>
    <t>อัดจาระบี Bearing ทั้ง 4 ชุดของสายพาน Mobile Conveyor</t>
  </si>
  <si>
    <t>อัดจาระบี Bearing ทั้ง 4 ชุดของสายพาน Oven Infeed Incline Conveyor</t>
  </si>
  <si>
    <t>SE3-NI-ME</t>
  </si>
  <si>
    <t>SE3-NL-ME</t>
  </si>
  <si>
    <t>MOLYVAL H1</t>
  </si>
  <si>
    <t>อัดจาระบี Bearing Incline Conveyor #2 ทั้ง 2 จุด</t>
  </si>
  <si>
    <t>SE3-QR-ME</t>
  </si>
  <si>
    <t>Bearing 6205 zz</t>
  </si>
  <si>
    <t>SE3-HL-ME</t>
  </si>
  <si>
    <t>เปลี่ยนน้ำมันเกียร์ขับชุด Pulling Roller</t>
  </si>
  <si>
    <t>เปลี่ยนน้ำมันเกียร์ขับสายพาน Mobile Conveyor</t>
  </si>
  <si>
    <t>เปลี่ยนน้ำมันเกียร์ขับสายพาน Oven Infeed Incline Conveyor</t>
  </si>
  <si>
    <t>SE3-YL-ME</t>
  </si>
  <si>
    <t>SE4-FL-ME</t>
  </si>
  <si>
    <t>Oven conveyor</t>
  </si>
  <si>
    <t>อัดจาระบี Bearing เพลาขับและเพลาตามทั้ง 4 ตัว</t>
  </si>
  <si>
    <t>Oven circulation fan #1</t>
  </si>
  <si>
    <t>อัดจาระบี Bearing เพลาขับ Oven circulation # 1 ทั้ง 2 ตัว</t>
  </si>
  <si>
    <t>Oven circulation fan #2</t>
  </si>
  <si>
    <t>อัดจาระบี Bearing เพลาขับ Oven circulation # 2 ทั้ง 2 ตัว</t>
  </si>
  <si>
    <t>Oven exhaust fan</t>
  </si>
  <si>
    <t>อัดจาระบี Bearing เพลาขับ Exhaust fan ทั้ง 2 ตัว</t>
  </si>
  <si>
    <t>SE4-MI-ME</t>
  </si>
  <si>
    <t>ตรวจเช็คการรั่ว/ระดับน้ำมันเกียร์ขับสายพาน Oven conveyor</t>
  </si>
  <si>
    <t>SE4-ML-ME</t>
  </si>
  <si>
    <t>ฉีดสเปรย์ชุดโซ่ขับสายพาน Oven conveyor</t>
  </si>
  <si>
    <t>SE5-MI-ME</t>
  </si>
  <si>
    <t>Slurry spray pump</t>
  </si>
  <si>
    <t>ตรวจเช็คการรั่วของน้ำมันเกียร์ขับ Slurry spray pump</t>
  </si>
  <si>
    <t>ตรวจเช็คการสึกหรอของ coupling ขับ Slurry spray pump</t>
  </si>
  <si>
    <t>Tumbler Drum</t>
  </si>
  <si>
    <t>ตรวจเช็คการสึกหรอของล้อประคอง Drum ทั้ง 4 ตัว</t>
  </si>
  <si>
    <t>ตรวจเช็คการรั่ว/ระดับน้ำมันเกียร์ Tumbler drum</t>
  </si>
  <si>
    <t>ตรวจเช็คสภาพรอยขอบของ Tumbler drum</t>
  </si>
  <si>
    <t>SE5-ML-ME</t>
  </si>
  <si>
    <t>อัดจาระบี Bearing เพลาขับ Drum ทั้ง 2 จุด</t>
  </si>
  <si>
    <t>SE5-HL-ME</t>
  </si>
  <si>
    <t>เปลี่ยนน้ำมันเกียร์ขับ Tumbler drum</t>
  </si>
  <si>
    <t>SE6-MI-ME</t>
  </si>
  <si>
    <t>ตรวจเช็คการรั่วของน้ำมันเกียร์ขับสายพาน Residence conveyor</t>
  </si>
  <si>
    <t>ตรวจเช็คสภาพผิวสายพานและ wear strip</t>
  </si>
  <si>
    <t>ตรวจเช็คสภาพและแนวของ Sprocket ขับและตาม</t>
  </si>
  <si>
    <t>ตรวจเช็คการรั่วของน้ำมันเกียร์ขับสายพาน elevating conveyor</t>
  </si>
  <si>
    <t>SE6-ML-ME</t>
  </si>
  <si>
    <t>อัดจาระบี Bearing เพลาขับและเพลาตามทั้งหมด 4 จุด</t>
  </si>
  <si>
    <t>อัดจาระบี Bearing เพลาประคองสายพานทั้ง 5 เพลา 10 ตัว</t>
  </si>
  <si>
    <t>อัดจาระบี Bearing ของ Elevating Conveyor ทั้ง 4 ชุด</t>
  </si>
  <si>
    <t>SE6-HL-ME</t>
  </si>
  <si>
    <t>เปลี่ยนน้ำมันเกียร์ขับสายพาน Residence conveyor</t>
  </si>
  <si>
    <t>เปลี่ยนน้ำมันเกียร์ขับสายพาน Elevating conveyor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</si>
</sst>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rgb="FFFF0000"/>
      <name val="Tahoma"/>
      <family val="2"/>
    </font>
    <font>
      <sz val="10"/>
      <name val="Arial"/>
      <family val="2"/>
    </font>
    <font>
      <sz val="9"/>
      <color rgb="FFFF0000"/>
      <name val="Tahoma"/>
      <family val="2"/>
    </font>
    <font>
      <sz val="9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FF"/>
      <name val="Tahoma"/>
      <family val="2"/>
    </font>
    <font>
      <sz val="9"/>
      <color theme="0" tint="-0.34998626667073579"/>
      <name val="Tahoma"/>
      <family val="2"/>
    </font>
    <font>
      <sz val="10"/>
      <color theme="3" tint="0.3999755851924192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757">
    <xf numFmtId="0" fontId="0" fillId="0" borderId="0" xfId="0"/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1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4" fillId="5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/>
    <xf numFmtId="1" fontId="4" fillId="0" borderId="4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/>
    <xf numFmtId="0" fontId="4" fillId="5" borderId="4" xfId="0" applyFont="1" applyFill="1" applyBorder="1" applyAlignment="1">
      <alignment horizontal="center"/>
    </xf>
    <xf numFmtId="1" fontId="4" fillId="0" borderId="5" xfId="0" applyNumberFormat="1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5" xfId="0" applyFont="1" applyFill="1" applyBorder="1"/>
    <xf numFmtId="0" fontId="4" fillId="5" borderId="5" xfId="0" applyFont="1" applyFill="1" applyBorder="1" applyAlignment="1">
      <alignment horizontal="center"/>
    </xf>
    <xf numFmtId="9" fontId="4" fillId="0" borderId="5" xfId="0" applyNumberFormat="1" applyFont="1" applyFill="1" applyBorder="1" applyAlignment="1">
      <alignment horizontal="center"/>
    </xf>
    <xf numFmtId="1" fontId="4" fillId="0" borderId="6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6" xfId="0" applyFont="1" applyFill="1" applyBorder="1"/>
    <xf numFmtId="0" fontId="4" fillId="5" borderId="6" xfId="0" applyFont="1" applyFill="1" applyBorder="1" applyAlignment="1">
      <alignment horizontal="center"/>
    </xf>
    <xf numFmtId="0" fontId="4" fillId="0" borderId="8" xfId="0" applyFont="1" applyFill="1" applyBorder="1"/>
    <xf numFmtId="0" fontId="3" fillId="4" borderId="9" xfId="0" applyFont="1" applyFill="1" applyBorder="1"/>
    <xf numFmtId="1" fontId="4" fillId="0" borderId="10" xfId="0" applyNumberFormat="1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0" xfId="0" applyFont="1" applyFill="1" applyBorder="1"/>
    <xf numFmtId="0" fontId="4" fillId="5" borderId="10" xfId="0" applyFont="1" applyFill="1" applyBorder="1" applyAlignment="1">
      <alignment horizontal="center"/>
    </xf>
    <xf numFmtId="1" fontId="4" fillId="0" borderId="2" xfId="0" applyNumberFormat="1" applyFont="1" applyFill="1" applyBorder="1" applyAlignment="1">
      <alignment horizontal="center"/>
    </xf>
    <xf numFmtId="1" fontId="4" fillId="0" borderId="8" xfId="0" applyNumberFormat="1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1" fontId="4" fillId="0" borderId="7" xfId="0" applyNumberFormat="1" applyFont="1" applyFill="1" applyBorder="1" applyAlignment="1">
      <alignment horizontal="center"/>
    </xf>
    <xf numFmtId="0" fontId="3" fillId="6" borderId="3" xfId="0" applyFont="1" applyFill="1" applyBorder="1"/>
    <xf numFmtId="1" fontId="4" fillId="0" borderId="12" xfId="0" applyNumberFormat="1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12" xfId="0" applyFont="1" applyFill="1" applyBorder="1"/>
    <xf numFmtId="0" fontId="4" fillId="5" borderId="12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0" fontId="5" fillId="6" borderId="3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7" xfId="0" applyFont="1" applyFill="1" applyBorder="1"/>
    <xf numFmtId="0" fontId="4" fillId="7" borderId="7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49" fontId="4" fillId="0" borderId="7" xfId="0" applyNumberFormat="1" applyFont="1" applyFill="1" applyBorder="1" applyAlignment="1">
      <alignment horizontal="center"/>
    </xf>
    <xf numFmtId="0" fontId="3" fillId="4" borderId="3" xfId="2" applyFont="1" applyFill="1" applyBorder="1" applyAlignment="1">
      <alignment horizontal="center"/>
    </xf>
    <xf numFmtId="0" fontId="3" fillId="4" borderId="3" xfId="2" applyFont="1" applyFill="1" applyBorder="1"/>
    <xf numFmtId="1" fontId="4" fillId="0" borderId="13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/>
    <xf numFmtId="0" fontId="4" fillId="5" borderId="13" xfId="0" applyFont="1" applyFill="1" applyBorder="1" applyAlignment="1">
      <alignment horizontal="center"/>
    </xf>
    <xf numFmtId="49" fontId="4" fillId="0" borderId="13" xfId="0" applyNumberFormat="1" applyFont="1" applyFill="1" applyBorder="1" applyAlignment="1">
      <alignment horizontal="center"/>
    </xf>
    <xf numFmtId="1" fontId="4" fillId="0" borderId="3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/>
    <xf numFmtId="0" fontId="4" fillId="5" borderId="3" xfId="0" applyFont="1" applyFill="1" applyBorder="1" applyAlignment="1">
      <alignment horizontal="center"/>
    </xf>
    <xf numFmtId="0" fontId="4" fillId="0" borderId="1" xfId="2" applyFont="1" applyFill="1" applyBorder="1"/>
    <xf numFmtId="0" fontId="4" fillId="0" borderId="1" xfId="0" applyFont="1" applyBorder="1"/>
    <xf numFmtId="0" fontId="8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/>
    </xf>
    <xf numFmtId="1" fontId="4" fillId="0" borderId="9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/>
    <xf numFmtId="0" fontId="4" fillId="5" borderId="9" xfId="0" applyFont="1" applyFill="1" applyBorder="1" applyAlignment="1">
      <alignment horizontal="center"/>
    </xf>
    <xf numFmtId="49" fontId="4" fillId="0" borderId="9" xfId="0" applyNumberFormat="1" applyFont="1" applyFill="1" applyBorder="1" applyAlignment="1">
      <alignment horizontal="center"/>
    </xf>
    <xf numFmtId="0" fontId="9" fillId="6" borderId="0" xfId="0" applyFont="1" applyFill="1"/>
    <xf numFmtId="0" fontId="4" fillId="8" borderId="8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49" fontId="4" fillId="0" borderId="8" xfId="0" applyNumberFormat="1" applyFont="1" applyFill="1" applyBorder="1" applyAlignment="1">
      <alignment horizontal="center"/>
    </xf>
    <xf numFmtId="0" fontId="4" fillId="9" borderId="8" xfId="0" applyFont="1" applyFill="1" applyBorder="1"/>
    <xf numFmtId="0" fontId="10" fillId="0" borderId="0" xfId="0" applyFont="1" applyFill="1"/>
    <xf numFmtId="0" fontId="4" fillId="9" borderId="6" xfId="0" applyFont="1" applyFill="1" applyBorder="1"/>
    <xf numFmtId="0" fontId="4" fillId="8" borderId="4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6" borderId="7" xfId="0" applyFont="1" applyFill="1" applyBorder="1"/>
    <xf numFmtId="0" fontId="4" fillId="6" borderId="7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6" borderId="6" xfId="0" applyFont="1" applyFill="1" applyBorder="1"/>
    <xf numFmtId="0" fontId="4" fillId="6" borderId="6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3" fillId="4" borderId="7" xfId="2" applyFont="1" applyFill="1" applyBorder="1" applyAlignment="1">
      <alignment horizontal="center"/>
    </xf>
    <xf numFmtId="1" fontId="10" fillId="0" borderId="18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0" fontId="10" fillId="6" borderId="4" xfId="0" applyFont="1" applyFill="1" applyBorder="1"/>
    <xf numFmtId="0" fontId="4" fillId="7" borderId="4" xfId="0" applyFont="1" applyFill="1" applyBorder="1" applyAlignment="1">
      <alignment horizontal="center"/>
    </xf>
    <xf numFmtId="1" fontId="10" fillId="0" borderId="20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6" xfId="0" applyFont="1" applyBorder="1"/>
    <xf numFmtId="0" fontId="10" fillId="6" borderId="6" xfId="0" applyFont="1" applyFill="1" applyBorder="1"/>
    <xf numFmtId="0" fontId="0" fillId="0" borderId="0" xfId="0" applyAlignment="1">
      <alignment horizontal="center"/>
    </xf>
    <xf numFmtId="1" fontId="4" fillId="6" borderId="4" xfId="0" applyNumberFormat="1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4" xfId="0" applyFont="1" applyFill="1" applyBorder="1"/>
    <xf numFmtId="1" fontId="4" fillId="6" borderId="6" xfId="0" applyNumberFormat="1" applyFont="1" applyFill="1" applyBorder="1" applyAlignment="1">
      <alignment horizontal="center"/>
    </xf>
    <xf numFmtId="1" fontId="4" fillId="6" borderId="12" xfId="0" applyNumberFormat="1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12" xfId="0" applyFont="1" applyFill="1" applyBorder="1"/>
    <xf numFmtId="0" fontId="4" fillId="6" borderId="5" xfId="0" applyFont="1" applyFill="1" applyBorder="1"/>
    <xf numFmtId="0" fontId="4" fillId="10" borderId="5" xfId="0" applyFont="1" applyFill="1" applyBorder="1"/>
    <xf numFmtId="0" fontId="4" fillId="10" borderId="5" xfId="0" applyFont="1" applyFill="1" applyBorder="1" applyAlignment="1">
      <alignment horizontal="center"/>
    </xf>
    <xf numFmtId="49" fontId="4" fillId="10" borderId="5" xfId="0" applyNumberFormat="1" applyFont="1" applyFill="1" applyBorder="1" applyAlignment="1">
      <alignment horizontal="center"/>
    </xf>
    <xf numFmtId="0" fontId="4" fillId="10" borderId="6" xfId="0" applyFont="1" applyFill="1" applyBorder="1"/>
    <xf numFmtId="0" fontId="4" fillId="10" borderId="6" xfId="0" applyFont="1" applyFill="1" applyBorder="1" applyAlignment="1">
      <alignment horizontal="center"/>
    </xf>
    <xf numFmtId="49" fontId="4" fillId="10" borderId="6" xfId="0" applyNumberFormat="1" applyFont="1" applyFill="1" applyBorder="1" applyAlignment="1">
      <alignment horizontal="center"/>
    </xf>
    <xf numFmtId="0" fontId="4" fillId="10" borderId="12" xfId="0" applyFont="1" applyFill="1" applyBorder="1"/>
    <xf numFmtId="0" fontId="4" fillId="10" borderId="12" xfId="0" applyFont="1" applyFill="1" applyBorder="1" applyAlignment="1">
      <alignment horizontal="center"/>
    </xf>
    <xf numFmtId="49" fontId="4" fillId="10" borderId="12" xfId="0" applyNumberFormat="1" applyFont="1" applyFill="1" applyBorder="1" applyAlignment="1">
      <alignment horizontal="center"/>
    </xf>
    <xf numFmtId="1" fontId="4" fillId="6" borderId="8" xfId="0" applyNumberFormat="1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8" xfId="0" applyFont="1" applyFill="1" applyBorder="1"/>
    <xf numFmtId="0" fontId="4" fillId="10" borderId="8" xfId="0" applyFont="1" applyFill="1" applyBorder="1"/>
    <xf numFmtId="0" fontId="4" fillId="10" borderId="8" xfId="0" applyFont="1" applyFill="1" applyBorder="1" applyAlignment="1">
      <alignment horizontal="center"/>
    </xf>
    <xf numFmtId="49" fontId="4" fillId="10" borderId="8" xfId="0" applyNumberFormat="1" applyFont="1" applyFill="1" applyBorder="1" applyAlignment="1">
      <alignment horizontal="center"/>
    </xf>
    <xf numFmtId="1" fontId="4" fillId="6" borderId="5" xfId="0" applyNumberFormat="1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1" fontId="4" fillId="9" borderId="4" xfId="0" applyNumberFormat="1" applyFont="1" applyFill="1" applyBorder="1" applyAlignment="1">
      <alignment horizontal="center"/>
    </xf>
    <xf numFmtId="1" fontId="4" fillId="9" borderId="3" xfId="0" applyNumberFormat="1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9" borderId="4" xfId="2" applyFont="1" applyFill="1" applyBorder="1"/>
    <xf numFmtId="0" fontId="4" fillId="9" borderId="4" xfId="0" applyFont="1" applyFill="1" applyBorder="1" applyAlignment="1">
      <alignment horizontal="center"/>
    </xf>
    <xf numFmtId="49" fontId="4" fillId="9" borderId="4" xfId="0" applyNumberFormat="1" applyFont="1" applyFill="1" applyBorder="1" applyAlignment="1">
      <alignment horizontal="center"/>
    </xf>
    <xf numFmtId="1" fontId="4" fillId="9" borderId="5" xfId="0" applyNumberFormat="1" applyFont="1" applyFill="1" applyBorder="1" applyAlignment="1">
      <alignment horizontal="center"/>
    </xf>
    <xf numFmtId="1" fontId="4" fillId="9" borderId="12" xfId="0" applyNumberFormat="1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5" xfId="2" applyFont="1" applyFill="1" applyBorder="1"/>
    <xf numFmtId="0" fontId="4" fillId="9" borderId="5" xfId="0" applyFont="1" applyFill="1" applyBorder="1" applyAlignment="1">
      <alignment horizontal="center"/>
    </xf>
    <xf numFmtId="49" fontId="4" fillId="9" borderId="5" xfId="0" applyNumberFormat="1" applyFont="1" applyFill="1" applyBorder="1" applyAlignment="1">
      <alignment horizontal="center"/>
    </xf>
    <xf numFmtId="0" fontId="4" fillId="10" borderId="4" xfId="0" applyFont="1" applyFill="1" applyBorder="1"/>
    <xf numFmtId="0" fontId="4" fillId="10" borderId="4" xfId="0" applyFont="1" applyFill="1" applyBorder="1" applyAlignment="1">
      <alignment horizontal="center"/>
    </xf>
    <xf numFmtId="49" fontId="4" fillId="10" borderId="4" xfId="0" applyNumberFormat="1" applyFont="1" applyFill="1" applyBorder="1" applyAlignment="1">
      <alignment horizontal="center"/>
    </xf>
    <xf numFmtId="1" fontId="4" fillId="6" borderId="3" xfId="0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0" fontId="4" fillId="10" borderId="3" xfId="0" applyFont="1" applyFill="1" applyBorder="1"/>
    <xf numFmtId="0" fontId="4" fillId="10" borderId="3" xfId="0" applyFont="1" applyFill="1" applyBorder="1" applyAlignment="1">
      <alignment horizontal="center"/>
    </xf>
    <xf numFmtId="49" fontId="4" fillId="10" borderId="3" xfId="0" applyNumberFormat="1" applyFont="1" applyFill="1" applyBorder="1" applyAlignment="1">
      <alignment horizontal="center"/>
    </xf>
    <xf numFmtId="1" fontId="4" fillId="9" borderId="6" xfId="0" applyNumberFormat="1" applyFont="1" applyFill="1" applyBorder="1" applyAlignment="1">
      <alignment horizontal="center"/>
    </xf>
    <xf numFmtId="1" fontId="4" fillId="6" borderId="10" xfId="0" applyNumberFormat="1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10" xfId="0" applyFont="1" applyFill="1" applyBorder="1"/>
    <xf numFmtId="0" fontId="4" fillId="10" borderId="10" xfId="0" applyFont="1" applyFill="1" applyBorder="1"/>
    <xf numFmtId="0" fontId="4" fillId="10" borderId="10" xfId="0" applyFont="1" applyFill="1" applyBorder="1" applyAlignment="1">
      <alignment horizontal="center"/>
    </xf>
    <xf numFmtId="49" fontId="4" fillId="10" borderId="10" xfId="0" applyNumberFormat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1" xfId="0" applyFont="1" applyFill="1" applyBorder="1"/>
    <xf numFmtId="49" fontId="4" fillId="0" borderId="3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49" fontId="4" fillId="6" borderId="1" xfId="0" applyNumberFormat="1" applyFont="1" applyFill="1" applyBorder="1" applyAlignment="1">
      <alignment horizontal="center"/>
    </xf>
    <xf numFmtId="1" fontId="4" fillId="6" borderId="7" xfId="0" applyNumberFormat="1" applyFont="1" applyFill="1" applyBorder="1" applyAlignment="1">
      <alignment horizontal="center"/>
    </xf>
    <xf numFmtId="49" fontId="4" fillId="6" borderId="7" xfId="0" applyNumberFormat="1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/>
    <xf numFmtId="0" fontId="4" fillId="9" borderId="7" xfId="0" applyFont="1" applyFill="1" applyBorder="1" applyAlignment="1">
      <alignment horizontal="center"/>
    </xf>
    <xf numFmtId="49" fontId="4" fillId="9" borderId="7" xfId="0" applyNumberFormat="1" applyFont="1" applyFill="1" applyBorder="1" applyAlignment="1">
      <alignment horizontal="center"/>
    </xf>
    <xf numFmtId="1" fontId="4" fillId="6" borderId="16" xfId="0" applyNumberFormat="1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6" borderId="16" xfId="0" applyFont="1" applyFill="1" applyBorder="1"/>
    <xf numFmtId="49" fontId="4" fillId="6" borderId="16" xfId="0" applyNumberFormat="1" applyFont="1" applyFill="1" applyBorder="1" applyAlignment="1">
      <alignment horizontal="center"/>
    </xf>
    <xf numFmtId="49" fontId="4" fillId="6" borderId="4" xfId="0" applyNumberFormat="1" applyFont="1" applyFill="1" applyBorder="1" applyAlignment="1">
      <alignment horizontal="center"/>
    </xf>
    <xf numFmtId="49" fontId="4" fillId="6" borderId="10" xfId="0" applyNumberFormat="1" applyFont="1" applyFill="1" applyBorder="1" applyAlignment="1">
      <alignment horizontal="center"/>
    </xf>
    <xf numFmtId="1" fontId="4" fillId="6" borderId="13" xfId="0" applyNumberFormat="1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3" xfId="0" applyFont="1" applyFill="1" applyBorder="1"/>
    <xf numFmtId="49" fontId="4" fillId="6" borderId="13" xfId="0" applyNumberFormat="1" applyFont="1" applyFill="1" applyBorder="1" applyAlignment="1">
      <alignment horizontal="center"/>
    </xf>
    <xf numFmtId="0" fontId="10" fillId="0" borderId="0" xfId="0" applyFont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49" fontId="4" fillId="6" borderId="3" xfId="0" applyNumberFormat="1" applyFont="1" applyFill="1" applyBorder="1" applyAlignment="1">
      <alignment horizontal="center"/>
    </xf>
    <xf numFmtId="1" fontId="4" fillId="0" borderId="16" xfId="0" applyNumberFormat="1" applyFont="1" applyFill="1" applyBorder="1" applyAlignment="1">
      <alignment horizontal="center"/>
    </xf>
    <xf numFmtId="0" fontId="4" fillId="0" borderId="16" xfId="0" applyFont="1" applyFill="1" applyBorder="1" applyAlignment="1">
      <alignment horizontal="center"/>
    </xf>
    <xf numFmtId="0" fontId="4" fillId="0" borderId="16" xfId="0" applyFont="1" applyFill="1" applyBorder="1"/>
    <xf numFmtId="49" fontId="4" fillId="0" borderId="16" xfId="0" applyNumberFormat="1" applyFont="1" applyFill="1" applyBorder="1" applyAlignment="1">
      <alignment horizontal="center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8" borderId="8" xfId="0" applyFont="1" applyFill="1" applyBorder="1"/>
    <xf numFmtId="49" fontId="4" fillId="8" borderId="8" xfId="0" applyNumberFormat="1" applyFont="1" applyFill="1" applyBorder="1" applyAlignment="1">
      <alignment horizontal="center"/>
    </xf>
    <xf numFmtId="0" fontId="4" fillId="8" borderId="7" xfId="0" applyFont="1" applyFill="1" applyBorder="1"/>
    <xf numFmtId="49" fontId="4" fillId="8" borderId="7" xfId="0" applyNumberFormat="1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6" borderId="9" xfId="0" applyFont="1" applyFill="1" applyBorder="1"/>
    <xf numFmtId="49" fontId="4" fillId="6" borderId="9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4" fillId="6" borderId="5" xfId="0" applyNumberFormat="1" applyFont="1" applyFill="1" applyBorder="1" applyAlignment="1">
      <alignment horizontal="center"/>
    </xf>
    <xf numFmtId="0" fontId="3" fillId="4" borderId="7" xfId="0" applyFont="1" applyFill="1" applyBorder="1"/>
    <xf numFmtId="1" fontId="4" fillId="6" borderId="2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2" xfId="0" applyFont="1" applyFill="1" applyBorder="1"/>
    <xf numFmtId="49" fontId="4" fillId="6" borderId="2" xfId="0" applyNumberFormat="1" applyFont="1" applyFill="1" applyBorder="1" applyAlignment="1">
      <alignment horizontal="center"/>
    </xf>
    <xf numFmtId="1" fontId="4" fillId="6" borderId="9" xfId="0" applyNumberFormat="1" applyFont="1" applyFill="1" applyBorder="1" applyAlignment="1">
      <alignment horizontal="center"/>
    </xf>
    <xf numFmtId="0" fontId="3" fillId="4" borderId="9" xfId="2" applyFont="1" applyFill="1" applyBorder="1"/>
    <xf numFmtId="0" fontId="4" fillId="0" borderId="16" xfId="0" applyFont="1" applyBorder="1"/>
    <xf numFmtId="0" fontId="4" fillId="9" borderId="3" xfId="0" applyFont="1" applyFill="1" applyBorder="1"/>
    <xf numFmtId="49" fontId="4" fillId="9" borderId="3" xfId="0" applyNumberFormat="1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49" fontId="4" fillId="9" borderId="6" xfId="0" applyNumberFormat="1" applyFont="1" applyFill="1" applyBorder="1" applyAlignment="1">
      <alignment horizontal="center"/>
    </xf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1" fontId="4" fillId="9" borderId="7" xfId="0" applyNumberFormat="1" applyFont="1" applyFill="1" applyBorder="1" applyAlignment="1">
      <alignment horizontal="center"/>
    </xf>
    <xf numFmtId="0" fontId="4" fillId="9" borderId="7" xfId="0" applyFont="1" applyFill="1" applyBorder="1"/>
    <xf numFmtId="49" fontId="4" fillId="0" borderId="10" xfId="0" applyNumberFormat="1" applyFont="1" applyFill="1" applyBorder="1" applyAlignment="1">
      <alignment horizontal="center"/>
    </xf>
    <xf numFmtId="0" fontId="3" fillId="4" borderId="3" xfId="3" applyFont="1" applyFill="1" applyBorder="1"/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9" fillId="0" borderId="0" xfId="0" applyFont="1"/>
    <xf numFmtId="0" fontId="10" fillId="6" borderId="0" xfId="0" applyFont="1" applyFill="1"/>
    <xf numFmtId="0" fontId="3" fillId="6" borderId="9" xfId="0" applyFont="1" applyFill="1" applyBorder="1"/>
    <xf numFmtId="0" fontId="4" fillId="6" borderId="22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1" fontId="13" fillId="6" borderId="1" xfId="0" applyNumberFormat="1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/>
    </xf>
    <xf numFmtId="0" fontId="3" fillId="4" borderId="21" xfId="0" applyFont="1" applyFill="1" applyBorder="1"/>
    <xf numFmtId="1" fontId="4" fillId="6" borderId="21" xfId="0" applyNumberFormat="1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0" fontId="4" fillId="6" borderId="17" xfId="0" applyFont="1" applyFill="1" applyBorder="1"/>
    <xf numFmtId="1" fontId="4" fillId="0" borderId="23" xfId="0" applyNumberFormat="1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/>
    </xf>
    <xf numFmtId="0" fontId="4" fillId="0" borderId="23" xfId="0" applyFont="1" applyFill="1" applyBorder="1"/>
    <xf numFmtId="1" fontId="7" fillId="0" borderId="24" xfId="0" applyNumberFormat="1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7" fillId="0" borderId="24" xfId="0" applyFont="1" applyFill="1" applyBorder="1"/>
    <xf numFmtId="0" fontId="7" fillId="0" borderId="8" xfId="0" applyFont="1" applyFill="1" applyBorder="1"/>
    <xf numFmtId="0" fontId="7" fillId="0" borderId="8" xfId="0" applyFont="1" applyFill="1" applyBorder="1" applyAlignment="1">
      <alignment horizontal="center"/>
    </xf>
    <xf numFmtId="49" fontId="7" fillId="0" borderId="8" xfId="0" applyNumberFormat="1" applyFont="1" applyFill="1" applyBorder="1" applyAlignment="1">
      <alignment horizontal="center"/>
    </xf>
    <xf numFmtId="1" fontId="7" fillId="0" borderId="25" xfId="0" applyNumberFormat="1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0" fontId="7" fillId="0" borderId="25" xfId="0" applyFont="1" applyFill="1" applyBorder="1"/>
    <xf numFmtId="0" fontId="7" fillId="0" borderId="5" xfId="0" applyFont="1" applyFill="1" applyBorder="1"/>
    <xf numFmtId="0" fontId="7" fillId="0" borderId="5" xfId="0" applyFont="1" applyFill="1" applyBorder="1" applyAlignment="1">
      <alignment horizontal="center"/>
    </xf>
    <xf numFmtId="49" fontId="7" fillId="0" borderId="5" xfId="0" applyNumberFormat="1" applyFont="1" applyFill="1" applyBorder="1" applyAlignment="1">
      <alignment horizontal="center"/>
    </xf>
    <xf numFmtId="1" fontId="7" fillId="0" borderId="26" xfId="0" applyNumberFormat="1" applyFont="1" applyFill="1" applyBorder="1" applyAlignment="1">
      <alignment horizontal="center"/>
    </xf>
    <xf numFmtId="0" fontId="7" fillId="0" borderId="26" xfId="0" applyFont="1" applyFill="1" applyBorder="1" applyAlignment="1">
      <alignment horizontal="center"/>
    </xf>
    <xf numFmtId="0" fontId="7" fillId="0" borderId="26" xfId="0" applyFont="1" applyFill="1" applyBorder="1"/>
    <xf numFmtId="0" fontId="7" fillId="0" borderId="6" xfId="0" applyFont="1" applyFill="1" applyBorder="1"/>
    <xf numFmtId="0" fontId="7" fillId="0" borderId="6" xfId="0" applyFont="1" applyFill="1" applyBorder="1" applyAlignment="1">
      <alignment horizontal="center"/>
    </xf>
    <xf numFmtId="49" fontId="7" fillId="0" borderId="6" xfId="0" applyNumberFormat="1" applyFont="1" applyFill="1" applyBorder="1" applyAlignment="1">
      <alignment horizontal="center"/>
    </xf>
    <xf numFmtId="0" fontId="4" fillId="0" borderId="27" xfId="0" applyFont="1" applyFill="1" applyBorder="1"/>
    <xf numFmtId="1" fontId="4" fillId="0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0" fontId="4" fillId="0" borderId="14" xfId="0" applyFont="1" applyFill="1" applyBorder="1"/>
    <xf numFmtId="0" fontId="4" fillId="0" borderId="2" xfId="0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/>
    </xf>
    <xf numFmtId="1" fontId="7" fillId="6" borderId="4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4" xfId="0" applyFont="1" applyFill="1" applyBorder="1"/>
    <xf numFmtId="49" fontId="7" fillId="6" borderId="4" xfId="0" applyNumberFormat="1" applyFont="1" applyFill="1" applyBorder="1" applyAlignment="1">
      <alignment horizontal="center"/>
    </xf>
    <xf numFmtId="1" fontId="7" fillId="6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3" xfId="0" applyFont="1" applyFill="1" applyBorder="1"/>
    <xf numFmtId="49" fontId="7" fillId="6" borderId="3" xfId="0" applyNumberFormat="1" applyFont="1" applyFill="1" applyBorder="1" applyAlignment="1">
      <alignment horizontal="center"/>
    </xf>
    <xf numFmtId="1" fontId="7" fillId="6" borderId="10" xfId="0" applyNumberFormat="1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7" fillId="6" borderId="10" xfId="0" applyFont="1" applyFill="1" applyBorder="1"/>
    <xf numFmtId="49" fontId="7" fillId="6" borderId="10" xfId="0" applyNumberFormat="1" applyFont="1" applyFill="1" applyBorder="1" applyAlignment="1">
      <alignment horizontal="center"/>
    </xf>
    <xf numFmtId="1" fontId="4" fillId="9" borderId="8" xfId="0" applyNumberFormat="1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49" fontId="4" fillId="9" borderId="8" xfId="0" applyNumberFormat="1" applyFont="1" applyFill="1" applyBorder="1" applyAlignment="1">
      <alignment horizontal="center"/>
    </xf>
    <xf numFmtId="0" fontId="4" fillId="9" borderId="5" xfId="0" applyFont="1" applyFill="1" applyBorder="1"/>
    <xf numFmtId="0" fontId="4" fillId="10" borderId="2" xfId="0" applyFont="1" applyFill="1" applyBorder="1"/>
    <xf numFmtId="0" fontId="4" fillId="0" borderId="2" xfId="0" applyFont="1" applyFill="1" applyBorder="1"/>
    <xf numFmtId="0" fontId="4" fillId="9" borderId="4" xfId="0" applyFont="1" applyFill="1" applyBorder="1"/>
    <xf numFmtId="0" fontId="4" fillId="9" borderId="12" xfId="0" applyFont="1" applyFill="1" applyBorder="1"/>
    <xf numFmtId="49" fontId="4" fillId="9" borderId="12" xfId="0" applyNumberFormat="1" applyFont="1" applyFill="1" applyBorder="1" applyAlignment="1">
      <alignment horizontal="center"/>
    </xf>
    <xf numFmtId="0" fontId="4" fillId="4" borderId="3" xfId="0" applyFont="1" applyFill="1" applyBorder="1"/>
    <xf numFmtId="49" fontId="4" fillId="0" borderId="8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4" fillId="4" borderId="4" xfId="0" applyFont="1" applyFill="1" applyBorder="1"/>
    <xf numFmtId="0" fontId="4" fillId="4" borderId="5" xfId="0" applyFont="1" applyFill="1" applyBorder="1"/>
    <xf numFmtId="1" fontId="8" fillId="0" borderId="5" xfId="0" applyNumberFormat="1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4" borderId="5" xfId="0" applyFont="1" applyFill="1" applyBorder="1"/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0" fontId="4" fillId="0" borderId="28" xfId="0" applyFont="1" applyFill="1" applyBorder="1" applyAlignment="1">
      <alignment horizontal="center"/>
    </xf>
    <xf numFmtId="0" fontId="4" fillId="0" borderId="28" xfId="0" applyFont="1" applyFill="1" applyBorder="1"/>
    <xf numFmtId="49" fontId="4" fillId="0" borderId="6" xfId="0" applyNumberFormat="1" applyFont="1" applyBorder="1" applyAlignment="1">
      <alignment horizontal="center"/>
    </xf>
    <xf numFmtId="0" fontId="4" fillId="4" borderId="6" xfId="0" applyFont="1" applyFill="1" applyBorder="1"/>
    <xf numFmtId="0" fontId="3" fillId="4" borderId="0" xfId="0" applyFont="1" applyFill="1" applyBorder="1"/>
    <xf numFmtId="0" fontId="4" fillId="0" borderId="9" xfId="0" quotePrefix="1" applyFont="1" applyFill="1" applyBorder="1"/>
    <xf numFmtId="0" fontId="4" fillId="4" borderId="10" xfId="0" applyFont="1" applyFill="1" applyBorder="1"/>
    <xf numFmtId="0" fontId="4" fillId="9" borderId="9" xfId="0" applyFont="1" applyFill="1" applyBorder="1" applyAlignment="1">
      <alignment horizontal="center"/>
    </xf>
    <xf numFmtId="49" fontId="4" fillId="9" borderId="9" xfId="0" applyNumberFormat="1" applyFont="1" applyFill="1" applyBorder="1" applyAlignment="1">
      <alignment horizontal="center"/>
    </xf>
    <xf numFmtId="1" fontId="4" fillId="6" borderId="29" xfId="0" applyNumberFormat="1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0" fontId="4" fillId="0" borderId="29" xfId="0" applyFont="1" applyBorder="1"/>
    <xf numFmtId="0" fontId="4" fillId="0" borderId="29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9" borderId="10" xfId="0" applyNumberFormat="1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0" xfId="0" applyFont="1" applyFill="1" applyBorder="1"/>
    <xf numFmtId="49" fontId="4" fillId="9" borderId="10" xfId="0" applyNumberFormat="1" applyFont="1" applyFill="1" applyBorder="1" applyAlignment="1">
      <alignment horizontal="center"/>
    </xf>
    <xf numFmtId="0" fontId="10" fillId="0" borderId="30" xfId="0" applyFont="1" applyBorder="1"/>
    <xf numFmtId="1" fontId="4" fillId="9" borderId="9" xfId="0" applyNumberFormat="1" applyFont="1" applyFill="1" applyBorder="1" applyAlignment="1">
      <alignment horizontal="center"/>
    </xf>
    <xf numFmtId="0" fontId="4" fillId="9" borderId="9" xfId="0" applyFont="1" applyFill="1" applyBorder="1"/>
    <xf numFmtId="0" fontId="3" fillId="4" borderId="17" xfId="0" applyFont="1" applyFill="1" applyBorder="1"/>
    <xf numFmtId="1" fontId="4" fillId="6" borderId="5" xfId="2" applyNumberFormat="1" applyFont="1" applyFill="1" applyBorder="1" applyAlignment="1">
      <alignment horizontal="center"/>
    </xf>
    <xf numFmtId="0" fontId="4" fillId="6" borderId="5" xfId="2" applyFont="1" applyFill="1" applyBorder="1" applyAlignment="1">
      <alignment horizontal="center"/>
    </xf>
    <xf numFmtId="0" fontId="4" fillId="6" borderId="5" xfId="2" applyFont="1" applyFill="1" applyBorder="1"/>
    <xf numFmtId="1" fontId="4" fillId="6" borderId="3" xfId="2" applyNumberFormat="1" applyFont="1" applyFill="1" applyBorder="1" applyAlignment="1">
      <alignment horizontal="center"/>
    </xf>
    <xf numFmtId="0" fontId="4" fillId="6" borderId="3" xfId="2" applyFont="1" applyFill="1" applyBorder="1" applyAlignment="1">
      <alignment horizontal="center"/>
    </xf>
    <xf numFmtId="0" fontId="4" fillId="6" borderId="3" xfId="2" applyFont="1" applyFill="1" applyBorder="1"/>
    <xf numFmtId="0" fontId="4" fillId="6" borderId="12" xfId="2" applyFont="1" applyFill="1" applyBorder="1"/>
    <xf numFmtId="0" fontId="4" fillId="6" borderId="12" xfId="2" applyFont="1" applyFill="1" applyBorder="1" applyAlignment="1">
      <alignment horizontal="center"/>
    </xf>
    <xf numFmtId="1" fontId="4" fillId="6" borderId="8" xfId="2" applyNumberFormat="1" applyFont="1" applyFill="1" applyBorder="1" applyAlignment="1">
      <alignment horizontal="center"/>
    </xf>
    <xf numFmtId="0" fontId="4" fillId="6" borderId="8" xfId="2" applyFont="1" applyFill="1" applyBorder="1" applyAlignment="1">
      <alignment horizontal="center"/>
    </xf>
    <xf numFmtId="0" fontId="4" fillId="6" borderId="8" xfId="2" applyFont="1" applyFill="1" applyBorder="1"/>
    <xf numFmtId="1" fontId="4" fillId="6" borderId="6" xfId="2" applyNumberFormat="1" applyFont="1" applyFill="1" applyBorder="1" applyAlignment="1">
      <alignment horizontal="center"/>
    </xf>
    <xf numFmtId="0" fontId="4" fillId="6" borderId="6" xfId="2" applyFont="1" applyFill="1" applyBorder="1" applyAlignment="1">
      <alignment horizontal="center"/>
    </xf>
    <xf numFmtId="0" fontId="4" fillId="6" borderId="6" xfId="2" applyFont="1" applyFill="1" applyBorder="1"/>
    <xf numFmtId="1" fontId="4" fillId="6" borderId="4" xfId="2" applyNumberFormat="1" applyFont="1" applyFill="1" applyBorder="1" applyAlignment="1">
      <alignment horizontal="center"/>
    </xf>
    <xf numFmtId="0" fontId="4" fillId="6" borderId="4" xfId="2" applyFont="1" applyFill="1" applyBorder="1" applyAlignment="1">
      <alignment horizontal="center"/>
    </xf>
    <xf numFmtId="0" fontId="4" fillId="6" borderId="4" xfId="2" applyFont="1" applyFill="1" applyBorder="1"/>
    <xf numFmtId="1" fontId="4" fillId="0" borderId="4" xfId="2" applyNumberFormat="1" applyFont="1" applyFill="1" applyBorder="1" applyAlignment="1">
      <alignment horizontal="center"/>
    </xf>
    <xf numFmtId="0" fontId="4" fillId="0" borderId="4" xfId="2" applyFont="1" applyFill="1" applyBorder="1" applyAlignment="1">
      <alignment horizontal="center"/>
    </xf>
    <xf numFmtId="0" fontId="4" fillId="0" borderId="4" xfId="2" applyFont="1" applyFill="1" applyBorder="1"/>
    <xf numFmtId="1" fontId="4" fillId="0" borderId="5" xfId="2" applyNumberFormat="1" applyFont="1" applyFill="1" applyBorder="1" applyAlignment="1">
      <alignment horizontal="center"/>
    </xf>
    <xf numFmtId="0" fontId="4" fillId="0" borderId="5" xfId="2" applyFont="1" applyFill="1" applyBorder="1" applyAlignment="1">
      <alignment horizontal="center"/>
    </xf>
    <xf numFmtId="0" fontId="4" fillId="0" borderId="5" xfId="2" applyFont="1" applyFill="1" applyBorder="1"/>
    <xf numFmtId="1" fontId="4" fillId="0" borderId="6" xfId="2" applyNumberFormat="1" applyFont="1" applyFill="1" applyBorder="1" applyAlignment="1">
      <alignment horizontal="center"/>
    </xf>
    <xf numFmtId="0" fontId="4" fillId="0" borderId="6" xfId="2" applyFont="1" applyFill="1" applyBorder="1" applyAlignment="1">
      <alignment horizontal="center"/>
    </xf>
    <xf numFmtId="0" fontId="4" fillId="0" borderId="6" xfId="2" applyFont="1" applyFill="1" applyBorder="1"/>
    <xf numFmtId="1" fontId="4" fillId="0" borderId="1" xfId="2" applyNumberFormat="1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1" fontId="4" fillId="0" borderId="2" xfId="2" applyNumberFormat="1" applyFont="1" applyFill="1" applyBorder="1" applyAlignment="1">
      <alignment horizontal="center"/>
    </xf>
    <xf numFmtId="0" fontId="4" fillId="0" borderId="2" xfId="2" applyFont="1" applyFill="1" applyBorder="1" applyAlignment="1">
      <alignment horizontal="center"/>
    </xf>
    <xf numFmtId="0" fontId="4" fillId="0" borderId="2" xfId="2" applyFont="1" applyFill="1" applyBorder="1"/>
    <xf numFmtId="1" fontId="4" fillId="0" borderId="16" xfId="2" applyNumberFormat="1" applyFont="1" applyFill="1" applyBorder="1" applyAlignment="1">
      <alignment horizontal="center"/>
    </xf>
    <xf numFmtId="0" fontId="4" fillId="0" borderId="16" xfId="2" applyFont="1" applyFill="1" applyBorder="1" applyAlignment="1">
      <alignment horizontal="center"/>
    </xf>
    <xf numFmtId="0" fontId="4" fillId="0" borderId="16" xfId="2" applyFont="1" applyFill="1" applyBorder="1"/>
    <xf numFmtId="1" fontId="4" fillId="0" borderId="3" xfId="2" applyNumberFormat="1" applyFont="1" applyFill="1" applyBorder="1" applyAlignment="1">
      <alignment horizontal="center"/>
    </xf>
    <xf numFmtId="0" fontId="4" fillId="0" borderId="3" xfId="2" applyFont="1" applyFill="1" applyBorder="1" applyAlignment="1">
      <alignment horizontal="center"/>
    </xf>
    <xf numFmtId="0" fontId="4" fillId="0" borderId="3" xfId="2" applyFont="1" applyFill="1" applyBorder="1"/>
    <xf numFmtId="1" fontId="4" fillId="0" borderId="9" xfId="2" applyNumberFormat="1" applyFont="1" applyFill="1" applyBorder="1" applyAlignment="1">
      <alignment horizontal="center"/>
    </xf>
    <xf numFmtId="0" fontId="4" fillId="0" borderId="9" xfId="2" applyFont="1" applyFill="1" applyBorder="1" applyAlignment="1">
      <alignment horizontal="center"/>
    </xf>
    <xf numFmtId="0" fontId="4" fillId="0" borderId="9" xfId="2" applyFont="1" applyFill="1" applyBorder="1"/>
    <xf numFmtId="1" fontId="4" fillId="6" borderId="10" xfId="2" applyNumberFormat="1" applyFont="1" applyFill="1" applyBorder="1" applyAlignment="1">
      <alignment horizontal="center"/>
    </xf>
    <xf numFmtId="0" fontId="4" fillId="6" borderId="10" xfId="2" applyFont="1" applyFill="1" applyBorder="1" applyAlignment="1">
      <alignment horizontal="center"/>
    </xf>
    <xf numFmtId="0" fontId="4" fillId="6" borderId="10" xfId="2" applyFont="1" applyFill="1" applyBorder="1"/>
    <xf numFmtId="1" fontId="4" fillId="6" borderId="1" xfId="2" applyNumberFormat="1" applyFont="1" applyFill="1" applyBorder="1" applyAlignment="1">
      <alignment horizontal="center"/>
    </xf>
    <xf numFmtId="0" fontId="4" fillId="6" borderId="1" xfId="2" applyFont="1" applyFill="1" applyBorder="1" applyAlignment="1">
      <alignment horizontal="center"/>
    </xf>
    <xf numFmtId="0" fontId="4" fillId="6" borderId="1" xfId="2" applyFont="1" applyFill="1" applyBorder="1"/>
    <xf numFmtId="1" fontId="4" fillId="6" borderId="12" xfId="2" applyNumberFormat="1" applyFont="1" applyFill="1" applyBorder="1" applyAlignment="1">
      <alignment horizontal="center"/>
    </xf>
    <xf numFmtId="1" fontId="4" fillId="6" borderId="16" xfId="2" applyNumberFormat="1" applyFont="1" applyFill="1" applyBorder="1" applyAlignment="1">
      <alignment horizontal="center"/>
    </xf>
    <xf numFmtId="0" fontId="4" fillId="6" borderId="16" xfId="2" applyFont="1" applyFill="1" applyBorder="1" applyAlignment="1">
      <alignment horizontal="center"/>
    </xf>
    <xf numFmtId="0" fontId="4" fillId="6" borderId="16" xfId="2" applyFont="1" applyFill="1" applyBorder="1"/>
    <xf numFmtId="0" fontId="4" fillId="0" borderId="1" xfId="2" applyFont="1" applyBorder="1" applyAlignment="1">
      <alignment horizontal="center"/>
    </xf>
    <xf numFmtId="0" fontId="4" fillId="10" borderId="4" xfId="2" applyFont="1" applyFill="1" applyBorder="1"/>
    <xf numFmtId="0" fontId="4" fillId="10" borderId="5" xfId="2" applyFont="1" applyFill="1" applyBorder="1"/>
    <xf numFmtId="0" fontId="4" fillId="0" borderId="0" xfId="2" applyFont="1"/>
    <xf numFmtId="0" fontId="4" fillId="0" borderId="4" xfId="2" applyFont="1" applyBorder="1"/>
    <xf numFmtId="0" fontId="4" fillId="0" borderId="5" xfId="2" applyFont="1" applyBorder="1"/>
    <xf numFmtId="0" fontId="3" fillId="4" borderId="7" xfId="2" applyFont="1" applyFill="1" applyBorder="1"/>
    <xf numFmtId="0" fontId="4" fillId="6" borderId="7" xfId="2" applyFont="1" applyFill="1" applyBorder="1" applyAlignment="1">
      <alignment horizontal="center"/>
    </xf>
    <xf numFmtId="0" fontId="4" fillId="6" borderId="7" xfId="2" applyFont="1" applyFill="1" applyBorder="1"/>
    <xf numFmtId="1" fontId="4" fillId="6" borderId="11" xfId="0" applyNumberFormat="1" applyFont="1" applyFill="1" applyBorder="1" applyAlignment="1">
      <alignment horizontal="center"/>
    </xf>
    <xf numFmtId="0" fontId="4" fillId="6" borderId="31" xfId="0" applyFont="1" applyFill="1" applyBorder="1"/>
    <xf numFmtId="0" fontId="4" fillId="6" borderId="32" xfId="0" applyFont="1" applyFill="1" applyBorder="1"/>
    <xf numFmtId="0" fontId="4" fillId="6" borderId="33" xfId="0" applyFont="1" applyFill="1" applyBorder="1"/>
    <xf numFmtId="1" fontId="4" fillId="9" borderId="2" xfId="0" applyNumberFormat="1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8" fillId="6" borderId="16" xfId="0" applyNumberFormat="1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6" xfId="0" applyFont="1" applyFill="1" applyBorder="1"/>
    <xf numFmtId="0" fontId="8" fillId="6" borderId="8" xfId="0" applyFont="1" applyFill="1" applyBorder="1"/>
    <xf numFmtId="1" fontId="8" fillId="9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9" borderId="7" xfId="0" applyFont="1" applyFill="1" applyBorder="1"/>
    <xf numFmtId="0" fontId="8" fillId="9" borderId="7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left"/>
    </xf>
    <xf numFmtId="0" fontId="9" fillId="0" borderId="0" xfId="0" applyFont="1" applyBorder="1"/>
    <xf numFmtId="0" fontId="9" fillId="0" borderId="30" xfId="0" applyFont="1" applyBorder="1"/>
    <xf numFmtId="0" fontId="4" fillId="0" borderId="16" xfId="0" applyFont="1" applyBorder="1" applyAlignment="1">
      <alignment horizontal="center"/>
    </xf>
    <xf numFmtId="0" fontId="4" fillId="0" borderId="13" xfId="0" applyFont="1" applyBorder="1"/>
    <xf numFmtId="0" fontId="4" fillId="0" borderId="13" xfId="0" applyFont="1" applyBorder="1" applyAlignment="1">
      <alignment horizontal="center"/>
    </xf>
    <xf numFmtId="0" fontId="3" fillId="0" borderId="3" xfId="0" applyFont="1" applyFill="1" applyBorder="1"/>
    <xf numFmtId="1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/>
    <xf numFmtId="1" fontId="14" fillId="9" borderId="7" xfId="0" applyNumberFormat="1" applyFont="1" applyFill="1" applyBorder="1" applyAlignment="1">
      <alignment horizontal="center"/>
    </xf>
    <xf numFmtId="0" fontId="4" fillId="0" borderId="1" xfId="2" applyFont="1" applyFill="1" applyBorder="1" applyAlignment="1">
      <alignment horizontal="left"/>
    </xf>
    <xf numFmtId="0" fontId="4" fillId="0" borderId="1" xfId="2" quotePrefix="1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1" fontId="4" fillId="0" borderId="12" xfId="2" applyNumberFormat="1" applyFont="1" applyFill="1" applyBorder="1" applyAlignment="1">
      <alignment horizontal="center"/>
    </xf>
    <xf numFmtId="0" fontId="3" fillId="0" borderId="0" xfId="2" applyFont="1"/>
    <xf numFmtId="1" fontId="4" fillId="0" borderId="8" xfId="2" applyNumberFormat="1" applyFont="1" applyFill="1" applyBorder="1" applyAlignment="1">
      <alignment horizontal="center"/>
    </xf>
    <xf numFmtId="0" fontId="4" fillId="0" borderId="4" xfId="2" applyFont="1" applyFill="1" applyBorder="1" applyAlignment="1">
      <alignment horizontal="left"/>
    </xf>
    <xf numFmtId="0" fontId="4" fillId="0" borderId="3" xfId="2" applyFont="1" applyFill="1" applyBorder="1" applyAlignment="1">
      <alignment horizontal="left"/>
    </xf>
    <xf numFmtId="0" fontId="4" fillId="0" borderId="8" xfId="2" applyFont="1" applyFill="1" applyBorder="1"/>
    <xf numFmtId="0" fontId="4" fillId="0" borderId="8" xfId="2" applyFont="1" applyFill="1" applyBorder="1" applyAlignment="1">
      <alignment horizontal="center"/>
    </xf>
    <xf numFmtId="0" fontId="4" fillId="0" borderId="8" xfId="2" applyFont="1" applyFill="1" applyBorder="1" applyAlignment="1">
      <alignment horizontal="left"/>
    </xf>
    <xf numFmtId="1" fontId="4" fillId="0" borderId="7" xfId="2" applyNumberFormat="1" applyFont="1" applyFill="1" applyBorder="1" applyAlignment="1">
      <alignment horizontal="center"/>
    </xf>
    <xf numFmtId="0" fontId="4" fillId="0" borderId="3" xfId="2" quotePrefix="1" applyFont="1" applyFill="1" applyBorder="1" applyAlignment="1">
      <alignment horizontal="center" vertical="center"/>
    </xf>
    <xf numFmtId="0" fontId="4" fillId="0" borderId="8" xfId="2" quotePrefix="1" applyFont="1" applyFill="1" applyBorder="1" applyAlignment="1">
      <alignment horizontal="center" vertical="center"/>
    </xf>
    <xf numFmtId="0" fontId="4" fillId="6" borderId="9" xfId="2" applyFont="1" applyFill="1" applyBorder="1"/>
    <xf numFmtId="0" fontId="4" fillId="0" borderId="9" xfId="2" applyFont="1" applyFill="1" applyBorder="1" applyAlignment="1">
      <alignment horizontal="left"/>
    </xf>
    <xf numFmtId="1" fontId="4" fillId="0" borderId="13" xfId="2" applyNumberFormat="1" applyFont="1" applyFill="1" applyBorder="1" applyAlignment="1">
      <alignment horizontal="center"/>
    </xf>
    <xf numFmtId="0" fontId="4" fillId="0" borderId="13" xfId="2" applyFont="1" applyFill="1" applyBorder="1"/>
    <xf numFmtId="0" fontId="4" fillId="0" borderId="13" xfId="2" applyFont="1" applyFill="1" applyBorder="1" applyAlignment="1">
      <alignment horizontal="center"/>
    </xf>
    <xf numFmtId="0" fontId="4" fillId="0" borderId="13" xfId="2" applyFont="1" applyFill="1" applyBorder="1" applyAlignment="1">
      <alignment horizontal="left"/>
    </xf>
    <xf numFmtId="0" fontId="4" fillId="0" borderId="13" xfId="2" quotePrefix="1" applyFont="1" applyFill="1" applyBorder="1" applyAlignment="1">
      <alignment horizontal="center" vertical="center"/>
    </xf>
    <xf numFmtId="0" fontId="4" fillId="0" borderId="7" xfId="2" applyFont="1" applyFill="1" applyBorder="1"/>
    <xf numFmtId="0" fontId="4" fillId="0" borderId="7" xfId="2" applyFont="1" applyFill="1" applyBorder="1" applyAlignment="1">
      <alignment horizontal="center"/>
    </xf>
    <xf numFmtId="0" fontId="4" fillId="0" borderId="7" xfId="2" applyFont="1" applyFill="1" applyBorder="1" applyAlignment="1">
      <alignment horizontal="left"/>
    </xf>
    <xf numFmtId="0" fontId="4" fillId="0" borderId="7" xfId="2" quotePrefix="1" applyFont="1" applyFill="1" applyBorder="1" applyAlignment="1">
      <alignment horizontal="center" vertical="center"/>
    </xf>
    <xf numFmtId="0" fontId="4" fillId="0" borderId="9" xfId="2" quotePrefix="1" applyFont="1" applyFill="1" applyBorder="1" applyAlignment="1">
      <alignment horizontal="center" vertical="center"/>
    </xf>
    <xf numFmtId="0" fontId="3" fillId="4" borderId="11" xfId="2" applyFont="1" applyFill="1" applyBorder="1" applyAlignment="1">
      <alignment horizontal="center"/>
    </xf>
    <xf numFmtId="0" fontId="3" fillId="6" borderId="11" xfId="2" applyFont="1" applyFill="1" applyBorder="1"/>
    <xf numFmtId="1" fontId="4" fillId="6" borderId="13" xfId="2" applyNumberFormat="1" applyFont="1" applyFill="1" applyBorder="1" applyAlignment="1">
      <alignment horizontal="center"/>
    </xf>
    <xf numFmtId="0" fontId="4" fillId="6" borderId="13" xfId="2" applyFont="1" applyFill="1" applyBorder="1"/>
    <xf numFmtId="0" fontId="4" fillId="6" borderId="13" xfId="2" applyFont="1" applyFill="1" applyBorder="1" applyAlignment="1">
      <alignment horizontal="center"/>
    </xf>
    <xf numFmtId="0" fontId="4" fillId="6" borderId="13" xfId="2" applyFont="1" applyFill="1" applyBorder="1" applyAlignment="1">
      <alignment horizontal="left"/>
    </xf>
    <xf numFmtId="0" fontId="4" fillId="6" borderId="13" xfId="2" quotePrefix="1" applyFont="1" applyFill="1" applyBorder="1" applyAlignment="1">
      <alignment horizontal="center" vertical="center"/>
    </xf>
    <xf numFmtId="0" fontId="3" fillId="6" borderId="3" xfId="2" applyFont="1" applyFill="1" applyBorder="1"/>
    <xf numFmtId="0" fontId="4" fillId="6" borderId="1" xfId="2" applyFont="1" applyFill="1" applyBorder="1" applyAlignment="1">
      <alignment horizontal="left"/>
    </xf>
    <xf numFmtId="0" fontId="4" fillId="6" borderId="1" xfId="2" quotePrefix="1" applyFont="1" applyFill="1" applyBorder="1" applyAlignment="1">
      <alignment horizontal="center" vertical="center"/>
    </xf>
    <xf numFmtId="1" fontId="4" fillId="6" borderId="7" xfId="2" applyNumberFormat="1" applyFont="1" applyFill="1" applyBorder="1" applyAlignment="1">
      <alignment horizontal="center"/>
    </xf>
    <xf numFmtId="0" fontId="4" fillId="6" borderId="7" xfId="2" applyFont="1" applyFill="1" applyBorder="1" applyAlignment="1">
      <alignment horizontal="left"/>
    </xf>
    <xf numFmtId="0" fontId="4" fillId="6" borderId="7" xfId="2" quotePrefix="1" applyFont="1" applyFill="1" applyBorder="1" applyAlignment="1">
      <alignment horizontal="center" vertical="center"/>
    </xf>
    <xf numFmtId="0" fontId="4" fillId="6" borderId="5" xfId="2" applyFont="1" applyFill="1" applyBorder="1" applyAlignment="1">
      <alignment horizontal="left"/>
    </xf>
    <xf numFmtId="0" fontId="10" fillId="6" borderId="0" xfId="2" applyFont="1" applyFill="1"/>
    <xf numFmtId="0" fontId="4" fillId="6" borderId="6" xfId="2" applyFont="1" applyFill="1" applyBorder="1" applyAlignment="1">
      <alignment horizontal="left"/>
    </xf>
    <xf numFmtId="0" fontId="9" fillId="6" borderId="0" xfId="2" applyFont="1" applyFill="1"/>
    <xf numFmtId="0" fontId="3" fillId="6" borderId="1" xfId="2" applyFont="1" applyFill="1" applyBorder="1" applyAlignment="1">
      <alignment horizontal="center"/>
    </xf>
    <xf numFmtId="0" fontId="3" fillId="6" borderId="1" xfId="2" applyFont="1" applyFill="1" applyBorder="1"/>
    <xf numFmtId="1" fontId="10" fillId="6" borderId="1" xfId="2" applyNumberFormat="1" applyFont="1" applyFill="1" applyBorder="1" applyAlignment="1">
      <alignment horizontal="center"/>
    </xf>
    <xf numFmtId="1" fontId="10" fillId="6" borderId="1" xfId="2" applyNumberFormat="1" applyFont="1" applyFill="1" applyBorder="1"/>
    <xf numFmtId="0" fontId="10" fillId="6" borderId="1" xfId="2" applyFont="1" applyFill="1" applyBorder="1" applyAlignment="1">
      <alignment horizontal="center"/>
    </xf>
    <xf numFmtId="0" fontId="10" fillId="6" borderId="1" xfId="2" applyFont="1" applyFill="1" applyBorder="1"/>
    <xf numFmtId="9" fontId="10" fillId="6" borderId="1" xfId="1" applyFont="1" applyFill="1" applyBorder="1" applyAlignment="1">
      <alignment horizontal="center"/>
    </xf>
    <xf numFmtId="0" fontId="10" fillId="11" borderId="1" xfId="2" applyFont="1" applyFill="1" applyBorder="1" applyAlignment="1">
      <alignment horizontal="center"/>
    </xf>
    <xf numFmtId="0" fontId="10" fillId="6" borderId="1" xfId="2" quotePrefix="1" applyFont="1" applyFill="1" applyBorder="1" applyAlignment="1">
      <alignment horizontal="center" vertical="center"/>
    </xf>
    <xf numFmtId="0" fontId="3" fillId="4" borderId="2" xfId="2" applyFont="1" applyFill="1" applyBorder="1" applyAlignment="1">
      <alignment horizontal="center"/>
    </xf>
    <xf numFmtId="0" fontId="3" fillId="4" borderId="2" xfId="2" applyFont="1" applyFill="1" applyBorder="1"/>
    <xf numFmtId="1" fontId="4" fillId="0" borderId="10" xfId="2" applyNumberFormat="1" applyFont="1" applyFill="1" applyBorder="1" applyAlignment="1">
      <alignment horizontal="center"/>
    </xf>
    <xf numFmtId="0" fontId="4" fillId="0" borderId="10" xfId="2" applyFont="1" applyFill="1" applyBorder="1" applyAlignment="1">
      <alignment horizontal="center"/>
    </xf>
    <xf numFmtId="0" fontId="4" fillId="0" borderId="10" xfId="2" applyFont="1" applyFill="1" applyBorder="1"/>
    <xf numFmtId="0" fontId="4" fillId="0" borderId="10" xfId="2" quotePrefix="1" applyFont="1" applyFill="1" applyBorder="1" applyAlignment="1">
      <alignment horizontal="center" vertical="center"/>
    </xf>
    <xf numFmtId="0" fontId="4" fillId="0" borderId="2" xfId="2" quotePrefix="1" applyFont="1" applyFill="1" applyBorder="1" applyAlignment="1">
      <alignment horizontal="center" vertical="center"/>
    </xf>
    <xf numFmtId="0" fontId="4" fillId="0" borderId="9" xfId="2" applyFont="1" applyFill="1" applyBorder="1" applyAlignment="1">
      <alignment horizontal="center" vertical="center"/>
    </xf>
    <xf numFmtId="0" fontId="4" fillId="0" borderId="6" xfId="2" quotePrefix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1" xfId="2" applyFont="1" applyFill="1" applyBorder="1" applyAlignment="1">
      <alignment horizontal="center"/>
    </xf>
    <xf numFmtId="0" fontId="4" fillId="0" borderId="8" xfId="2" applyFont="1" applyFill="1" applyBorder="1" applyAlignment="1">
      <alignment horizontal="center" vertical="center"/>
    </xf>
    <xf numFmtId="9" fontId="4" fillId="0" borderId="8" xfId="1" applyFont="1" applyFill="1" applyBorder="1" applyAlignment="1">
      <alignment horizontal="center"/>
    </xf>
    <xf numFmtId="0" fontId="4" fillId="12" borderId="8" xfId="2" applyFont="1" applyFill="1" applyBorder="1" applyAlignment="1">
      <alignment horizontal="center"/>
    </xf>
    <xf numFmtId="0" fontId="4" fillId="0" borderId="5" xfId="2" applyFont="1" applyFill="1" applyBorder="1" applyAlignment="1">
      <alignment horizontal="center" vertical="center"/>
    </xf>
    <xf numFmtId="9" fontId="4" fillId="0" borderId="5" xfId="1" applyFont="1" applyFill="1" applyBorder="1" applyAlignment="1">
      <alignment horizontal="center"/>
    </xf>
    <xf numFmtId="0" fontId="4" fillId="12" borderId="5" xfId="2" applyFont="1" applyFill="1" applyBorder="1" applyAlignment="1">
      <alignment horizontal="center"/>
    </xf>
    <xf numFmtId="0" fontId="4" fillId="0" borderId="5" xfId="2" quotePrefix="1" applyFont="1" applyFill="1" applyBorder="1" applyAlignment="1">
      <alignment horizontal="center" vertical="center"/>
    </xf>
    <xf numFmtId="9" fontId="4" fillId="6" borderId="5" xfId="1" applyFont="1" applyFill="1" applyBorder="1" applyAlignment="1">
      <alignment horizontal="center"/>
    </xf>
    <xf numFmtId="0" fontId="4" fillId="0" borderId="6" xfId="2" applyFont="1" applyFill="1" applyBorder="1" applyAlignment="1">
      <alignment horizontal="center" vertical="center"/>
    </xf>
    <xf numFmtId="9" fontId="4" fillId="6" borderId="6" xfId="1" applyFont="1" applyFill="1" applyBorder="1" applyAlignment="1">
      <alignment horizontal="center"/>
    </xf>
    <xf numFmtId="0" fontId="4" fillId="12" borderId="6" xfId="2" applyFont="1" applyFill="1" applyBorder="1" applyAlignment="1">
      <alignment horizontal="center"/>
    </xf>
    <xf numFmtId="0" fontId="4" fillId="0" borderId="4" xfId="2" applyFont="1" applyFill="1" applyBorder="1" applyAlignment="1">
      <alignment horizontal="center" vertical="center"/>
    </xf>
    <xf numFmtId="0" fontId="4" fillId="12" borderId="4" xfId="2" applyFont="1" applyFill="1" applyBorder="1" applyAlignment="1">
      <alignment horizontal="center"/>
    </xf>
    <xf numFmtId="9" fontId="4" fillId="6" borderId="8" xfId="1" applyFont="1" applyFill="1" applyBorder="1" applyAlignment="1">
      <alignment horizontal="center"/>
    </xf>
    <xf numFmtId="10" fontId="4" fillId="6" borderId="5" xfId="1" applyNumberFormat="1" applyFont="1" applyFill="1" applyBorder="1" applyAlignment="1">
      <alignment horizontal="center"/>
    </xf>
    <xf numFmtId="0" fontId="9" fillId="0" borderId="0" xfId="2" applyFont="1"/>
    <xf numFmtId="9" fontId="4" fillId="0" borderId="6" xfId="1" applyFont="1" applyFill="1" applyBorder="1" applyAlignment="1">
      <alignment horizontal="center"/>
    </xf>
    <xf numFmtId="9" fontId="4" fillId="6" borderId="4" xfId="1" applyFont="1" applyFill="1" applyBorder="1" applyAlignment="1">
      <alignment horizontal="center"/>
    </xf>
    <xf numFmtId="0" fontId="4" fillId="0" borderId="12" xfId="2" applyFont="1" applyFill="1" applyBorder="1" applyAlignment="1">
      <alignment horizontal="center"/>
    </xf>
    <xf numFmtId="0" fontId="4" fillId="0" borderId="12" xfId="2" applyFont="1" applyFill="1" applyBorder="1"/>
    <xf numFmtId="9" fontId="4" fillId="6" borderId="12" xfId="1" applyFont="1" applyFill="1" applyBorder="1" applyAlignment="1">
      <alignment horizontal="center"/>
    </xf>
    <xf numFmtId="0" fontId="4" fillId="12" borderId="12" xfId="2" applyFont="1" applyFill="1" applyBorder="1" applyAlignment="1">
      <alignment horizontal="center"/>
    </xf>
    <xf numFmtId="9" fontId="4" fillId="6" borderId="1" xfId="1" applyFont="1" applyFill="1" applyBorder="1" applyAlignment="1">
      <alignment horizontal="center"/>
    </xf>
    <xf numFmtId="0" fontId="4" fillId="12" borderId="1" xfId="2" applyFont="1" applyFill="1" applyBorder="1" applyAlignment="1">
      <alignment horizontal="center"/>
    </xf>
    <xf numFmtId="0" fontId="4" fillId="0" borderId="16" xfId="2" quotePrefix="1" applyFont="1" applyFill="1" applyBorder="1" applyAlignment="1">
      <alignment horizontal="center" vertical="center"/>
    </xf>
    <xf numFmtId="10" fontId="4" fillId="6" borderId="16" xfId="1" applyNumberFormat="1" applyFont="1" applyFill="1" applyBorder="1" applyAlignment="1">
      <alignment horizontal="center"/>
    </xf>
    <xf numFmtId="0" fontId="4" fillId="12" borderId="16" xfId="2" applyFont="1" applyFill="1" applyBorder="1" applyAlignment="1">
      <alignment horizontal="center"/>
    </xf>
    <xf numFmtId="9" fontId="4" fillId="0" borderId="4" xfId="1" applyFont="1" applyFill="1" applyBorder="1" applyAlignment="1">
      <alignment horizontal="center"/>
    </xf>
    <xf numFmtId="0" fontId="3" fillId="0" borderId="3" xfId="2" applyFont="1" applyFill="1" applyBorder="1"/>
    <xf numFmtId="0" fontId="3" fillId="6" borderId="3" xfId="2" applyFont="1" applyFill="1" applyBorder="1" applyAlignment="1">
      <alignment horizontal="center"/>
    </xf>
    <xf numFmtId="9" fontId="7" fillId="6" borderId="8" xfId="1" applyFont="1" applyFill="1" applyBorder="1" applyAlignment="1">
      <alignment horizontal="center"/>
    </xf>
    <xf numFmtId="0" fontId="4" fillId="11" borderId="8" xfId="2" applyFont="1" applyFill="1" applyBorder="1" applyAlignment="1">
      <alignment horizontal="center"/>
    </xf>
    <xf numFmtId="9" fontId="7" fillId="6" borderId="5" xfId="1" applyFont="1" applyFill="1" applyBorder="1" applyAlignment="1">
      <alignment horizontal="center"/>
    </xf>
    <xf numFmtId="0" fontId="4" fillId="11" borderId="5" xfId="2" applyFont="1" applyFill="1" applyBorder="1" applyAlignment="1">
      <alignment horizontal="center"/>
    </xf>
    <xf numFmtId="9" fontId="7" fillId="6" borderId="6" xfId="1" applyFont="1" applyFill="1" applyBorder="1" applyAlignment="1">
      <alignment horizontal="center"/>
    </xf>
    <xf numFmtId="0" fontId="4" fillId="11" borderId="6" xfId="2" applyFont="1" applyFill="1" applyBorder="1" applyAlignment="1">
      <alignment horizontal="center"/>
    </xf>
    <xf numFmtId="0" fontId="4" fillId="6" borderId="6" xfId="2" applyFont="1" applyFill="1" applyBorder="1" applyAlignment="1">
      <alignment horizontal="center" vertical="center"/>
    </xf>
    <xf numFmtId="9" fontId="4" fillId="6" borderId="3" xfId="1" applyFont="1" applyFill="1" applyBorder="1" applyAlignment="1">
      <alignment horizontal="center"/>
    </xf>
    <xf numFmtId="0" fontId="4" fillId="12" borderId="3" xfId="2" applyFont="1" applyFill="1" applyBorder="1" applyAlignment="1">
      <alignment horizontal="center"/>
    </xf>
    <xf numFmtId="9" fontId="4" fillId="6" borderId="7" xfId="1" applyFont="1" applyFill="1" applyBorder="1" applyAlignment="1">
      <alignment horizontal="center"/>
    </xf>
    <xf numFmtId="0" fontId="4" fillId="12" borderId="7" xfId="2" applyFont="1" applyFill="1" applyBorder="1" applyAlignment="1">
      <alignment horizontal="center"/>
    </xf>
    <xf numFmtId="9" fontId="7" fillId="6" borderId="4" xfId="1" applyFont="1" applyFill="1" applyBorder="1" applyAlignment="1">
      <alignment horizontal="center"/>
    </xf>
    <xf numFmtId="0" fontId="4" fillId="11" borderId="4" xfId="2" applyFont="1" applyFill="1" applyBorder="1" applyAlignment="1">
      <alignment horizontal="center"/>
    </xf>
    <xf numFmtId="9" fontId="7" fillId="6" borderId="3" xfId="1" applyFont="1" applyFill="1" applyBorder="1" applyAlignment="1">
      <alignment horizontal="center"/>
    </xf>
    <xf numFmtId="0" fontId="4" fillId="11" borderId="3" xfId="2" applyFont="1" applyFill="1" applyBorder="1" applyAlignment="1">
      <alignment horizontal="center"/>
    </xf>
    <xf numFmtId="0" fontId="3" fillId="6" borderId="9" xfId="2" applyFont="1" applyFill="1" applyBorder="1"/>
    <xf numFmtId="9" fontId="4" fillId="6" borderId="10" xfId="1" applyFont="1" applyFill="1" applyBorder="1" applyAlignment="1">
      <alignment horizontal="center"/>
    </xf>
    <xf numFmtId="0" fontId="4" fillId="11" borderId="10" xfId="2" applyFont="1" applyFill="1" applyBorder="1" applyAlignment="1">
      <alignment horizontal="center"/>
    </xf>
    <xf numFmtId="9" fontId="4" fillId="6" borderId="13" xfId="1" applyFont="1" applyFill="1" applyBorder="1" applyAlignment="1">
      <alignment horizontal="center"/>
    </xf>
    <xf numFmtId="0" fontId="4" fillId="12" borderId="13" xfId="2" applyFont="1" applyFill="1" applyBorder="1" applyAlignment="1">
      <alignment horizontal="center"/>
    </xf>
    <xf numFmtId="0" fontId="4" fillId="6" borderId="6" xfId="2" quotePrefix="1" applyFont="1" applyFill="1" applyBorder="1" applyAlignment="1">
      <alignment horizontal="center" vertical="center"/>
    </xf>
    <xf numFmtId="0" fontId="4" fillId="6" borderId="12" xfId="2" quotePrefix="1" applyFont="1" applyFill="1" applyBorder="1" applyAlignment="1">
      <alignment horizontal="center" vertical="center"/>
    </xf>
    <xf numFmtId="0" fontId="4" fillId="6" borderId="12" xfId="2" applyFont="1" applyFill="1" applyBorder="1" applyAlignment="1">
      <alignment horizontal="left"/>
    </xf>
    <xf numFmtId="0" fontId="4" fillId="6" borderId="10" xfId="2" applyFont="1" applyFill="1" applyBorder="1" applyAlignment="1">
      <alignment horizontal="center" vertical="center"/>
    </xf>
    <xf numFmtId="1" fontId="4" fillId="6" borderId="29" xfId="2" applyNumberFormat="1" applyFont="1" applyFill="1" applyBorder="1" applyAlignment="1">
      <alignment horizontal="center"/>
    </xf>
    <xf numFmtId="0" fontId="4" fillId="6" borderId="29" xfId="2" applyFont="1" applyFill="1" applyBorder="1" applyAlignment="1">
      <alignment horizontal="center"/>
    </xf>
    <xf numFmtId="0" fontId="4" fillId="6" borderId="29" xfId="2" applyFont="1" applyFill="1" applyBorder="1"/>
    <xf numFmtId="9" fontId="4" fillId="6" borderId="29" xfId="1" applyFont="1" applyFill="1" applyBorder="1" applyAlignment="1">
      <alignment horizontal="center"/>
    </xf>
    <xf numFmtId="0" fontId="4" fillId="8" borderId="29" xfId="2" applyFont="1" applyFill="1" applyBorder="1" applyAlignment="1">
      <alignment horizontal="center"/>
    </xf>
    <xf numFmtId="0" fontId="4" fillId="8" borderId="5" xfId="2" applyFont="1" applyFill="1" applyBorder="1" applyAlignment="1">
      <alignment horizontal="center"/>
    </xf>
    <xf numFmtId="0" fontId="4" fillId="8" borderId="6" xfId="2" applyFont="1" applyFill="1" applyBorder="1" applyAlignment="1">
      <alignment horizontal="center"/>
    </xf>
    <xf numFmtId="0" fontId="4" fillId="8" borderId="1" xfId="2" applyFont="1" applyFill="1" applyBorder="1" applyAlignment="1">
      <alignment horizontal="center"/>
    </xf>
    <xf numFmtId="0" fontId="4" fillId="11" borderId="1" xfId="2" applyFont="1" applyFill="1" applyBorder="1" applyAlignment="1">
      <alignment horizontal="center"/>
    </xf>
    <xf numFmtId="0" fontId="4" fillId="8" borderId="8" xfId="2" applyFont="1" applyFill="1" applyBorder="1" applyAlignment="1">
      <alignment horizontal="center"/>
    </xf>
    <xf numFmtId="0" fontId="4" fillId="8" borderId="4" xfId="2" applyFont="1" applyFill="1" applyBorder="1" applyAlignment="1">
      <alignment horizontal="center"/>
    </xf>
    <xf numFmtId="0" fontId="3" fillId="6" borderId="7" xfId="2" applyFont="1" applyFill="1" applyBorder="1"/>
    <xf numFmtId="0" fontId="4" fillId="8" borderId="7" xfId="2" applyFont="1" applyFill="1" applyBorder="1" applyAlignment="1">
      <alignment horizontal="center"/>
    </xf>
    <xf numFmtId="0" fontId="4" fillId="0" borderId="16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10" fillId="0" borderId="0" xfId="2" applyFont="1"/>
    <xf numFmtId="1" fontId="4" fillId="0" borderId="34" xfId="2" applyNumberFormat="1" applyFont="1" applyFill="1" applyBorder="1" applyAlignment="1">
      <alignment horizontal="center"/>
    </xf>
    <xf numFmtId="0" fontId="4" fillId="0" borderId="34" xfId="2" applyFont="1" applyFill="1" applyBorder="1"/>
    <xf numFmtId="1" fontId="4" fillId="0" borderId="20" xfId="2" applyNumberFormat="1" applyFont="1" applyFill="1" applyBorder="1" applyAlignment="1">
      <alignment horizontal="center"/>
    </xf>
    <xf numFmtId="0" fontId="4" fillId="0" borderId="20" xfId="2" applyFont="1" applyFill="1" applyBorder="1"/>
    <xf numFmtId="1" fontId="4" fillId="0" borderId="19" xfId="2" applyNumberFormat="1" applyFont="1" applyFill="1" applyBorder="1" applyAlignment="1">
      <alignment horizontal="center"/>
    </xf>
    <xf numFmtId="0" fontId="4" fillId="0" borderId="19" xfId="2" applyFont="1" applyFill="1" applyBorder="1"/>
    <xf numFmtId="0" fontId="4" fillId="0" borderId="4" xfId="2" quotePrefix="1" applyFont="1" applyFill="1" applyBorder="1" applyAlignment="1">
      <alignment horizontal="center" vertical="center"/>
    </xf>
    <xf numFmtId="0" fontId="4" fillId="0" borderId="10" xfId="2" applyFont="1" applyBorder="1" applyAlignment="1">
      <alignment horizontal="center"/>
    </xf>
    <xf numFmtId="0" fontId="4" fillId="0" borderId="10" xfId="2" applyFont="1" applyBorder="1" applyAlignment="1">
      <alignment horizontal="center" vertical="center"/>
    </xf>
    <xf numFmtId="0" fontId="4" fillId="0" borderId="10" xfId="2" applyFont="1" applyBorder="1" applyAlignment="1">
      <alignment horizontal="left"/>
    </xf>
    <xf numFmtId="1" fontId="4" fillId="0" borderId="29" xfId="2" applyNumberFormat="1" applyFont="1" applyFill="1" applyBorder="1" applyAlignment="1">
      <alignment horizontal="center"/>
    </xf>
    <xf numFmtId="0" fontId="4" fillId="0" borderId="29" xfId="2" applyFont="1" applyFill="1" applyBorder="1"/>
    <xf numFmtId="0" fontId="4" fillId="0" borderId="29" xfId="2" applyFont="1" applyFill="1" applyBorder="1" applyAlignment="1">
      <alignment horizontal="center"/>
    </xf>
    <xf numFmtId="0" fontId="4" fillId="0" borderId="29" xfId="2" applyFont="1" applyFill="1" applyBorder="1" applyAlignment="1">
      <alignment horizontal="left"/>
    </xf>
    <xf numFmtId="0" fontId="3" fillId="4" borderId="3" xfId="3" applyFont="1" applyFill="1" applyBorder="1" applyAlignment="1">
      <alignment horizontal="center"/>
    </xf>
    <xf numFmtId="1" fontId="4" fillId="0" borderId="5" xfId="3" applyNumberFormat="1" applyFont="1" applyFill="1" applyBorder="1" applyAlignment="1">
      <alignment horizontal="center"/>
    </xf>
    <xf numFmtId="0" fontId="4" fillId="0" borderId="5" xfId="3" applyFont="1" applyFill="1" applyBorder="1"/>
    <xf numFmtId="0" fontId="4" fillId="0" borderId="5" xfId="3" applyFont="1" applyFill="1" applyBorder="1" applyAlignment="1">
      <alignment horizontal="center"/>
    </xf>
    <xf numFmtId="0" fontId="10" fillId="0" borderId="0" xfId="3" applyFont="1"/>
    <xf numFmtId="0" fontId="4" fillId="0" borderId="5" xfId="3" applyFont="1" applyFill="1" applyBorder="1" applyAlignment="1">
      <alignment horizontal="left"/>
    </xf>
    <xf numFmtId="1" fontId="4" fillId="0" borderId="6" xfId="3" applyNumberFormat="1" applyFont="1" applyFill="1" applyBorder="1" applyAlignment="1">
      <alignment horizontal="center"/>
    </xf>
    <xf numFmtId="0" fontId="4" fillId="0" borderId="6" xfId="3" applyFont="1" applyFill="1" applyBorder="1"/>
    <xf numFmtId="0" fontId="4" fillId="0" borderId="6" xfId="3" applyFont="1" applyFill="1" applyBorder="1" applyAlignment="1">
      <alignment horizontal="center"/>
    </xf>
    <xf numFmtId="0" fontId="4" fillId="0" borderId="6" xfId="3" applyFont="1" applyFill="1" applyBorder="1" applyAlignment="1">
      <alignment horizontal="left"/>
    </xf>
    <xf numFmtId="1" fontId="4" fillId="0" borderId="4" xfId="3" applyNumberFormat="1" applyFont="1" applyFill="1" applyBorder="1" applyAlignment="1">
      <alignment horizontal="center"/>
    </xf>
    <xf numFmtId="0" fontId="4" fillId="0" borderId="4" xfId="3" applyFont="1" applyFill="1" applyBorder="1"/>
    <xf numFmtId="0" fontId="4" fillId="0" borderId="4" xfId="3" applyFont="1" applyFill="1" applyBorder="1" applyAlignment="1">
      <alignment horizontal="center"/>
    </xf>
    <xf numFmtId="0" fontId="4" fillId="0" borderId="4" xfId="3" applyFont="1" applyFill="1" applyBorder="1" applyAlignment="1">
      <alignment horizontal="left"/>
    </xf>
    <xf numFmtId="1" fontId="4" fillId="0" borderId="7" xfId="3" applyNumberFormat="1" applyFont="1" applyFill="1" applyBorder="1" applyAlignment="1">
      <alignment horizontal="center"/>
    </xf>
    <xf numFmtId="0" fontId="4" fillId="0" borderId="7" xfId="3" applyFont="1" applyFill="1" applyBorder="1"/>
    <xf numFmtId="0" fontId="4" fillId="0" borderId="7" xfId="3" applyFont="1" applyFill="1" applyBorder="1" applyAlignment="1">
      <alignment horizontal="center"/>
    </xf>
    <xf numFmtId="0" fontId="4" fillId="0" borderId="7" xfId="3" quotePrefix="1" applyFont="1" applyFill="1" applyBorder="1" applyAlignment="1">
      <alignment horizontal="center" vertical="center"/>
    </xf>
    <xf numFmtId="0" fontId="4" fillId="0" borderId="7" xfId="3" applyFont="1" applyFill="1" applyBorder="1" applyAlignment="1">
      <alignment horizontal="left"/>
    </xf>
    <xf numFmtId="0" fontId="3" fillId="4" borderId="9" xfId="3" applyFont="1" applyFill="1" applyBorder="1"/>
    <xf numFmtId="1" fontId="4" fillId="0" borderId="10" xfId="3" applyNumberFormat="1" applyFont="1" applyFill="1" applyBorder="1" applyAlignment="1">
      <alignment horizontal="center"/>
    </xf>
    <xf numFmtId="0" fontId="4" fillId="0" borderId="10" xfId="3" applyFont="1" applyFill="1" applyBorder="1"/>
    <xf numFmtId="0" fontId="4" fillId="0" borderId="10" xfId="3" applyFont="1" applyFill="1" applyBorder="1" applyAlignment="1">
      <alignment horizontal="center"/>
    </xf>
    <xf numFmtId="0" fontId="4" fillId="0" borderId="10" xfId="3" applyFont="1" applyFill="1" applyBorder="1" applyAlignment="1">
      <alignment horizontal="left"/>
    </xf>
    <xf numFmtId="1" fontId="4" fillId="0" borderId="3" xfId="3" applyNumberFormat="1" applyFont="1" applyFill="1" applyBorder="1" applyAlignment="1">
      <alignment horizontal="center"/>
    </xf>
    <xf numFmtId="0" fontId="4" fillId="0" borderId="3" xfId="3" applyFont="1" applyFill="1" applyBorder="1"/>
    <xf numFmtId="0" fontId="4" fillId="0" borderId="3" xfId="3" applyFont="1" applyFill="1" applyBorder="1" applyAlignment="1">
      <alignment horizontal="center"/>
    </xf>
    <xf numFmtId="0" fontId="4" fillId="0" borderId="3" xfId="3" quotePrefix="1" applyFont="1" applyFill="1" applyBorder="1" applyAlignment="1">
      <alignment horizontal="center" vertical="center"/>
    </xf>
    <xf numFmtId="0" fontId="4" fillId="0" borderId="3" xfId="3" applyFont="1" applyFill="1" applyBorder="1" applyAlignment="1">
      <alignment horizontal="left"/>
    </xf>
    <xf numFmtId="1" fontId="4" fillId="0" borderId="16" xfId="3" applyNumberFormat="1" applyFont="1" applyFill="1" applyBorder="1" applyAlignment="1">
      <alignment horizontal="center"/>
    </xf>
    <xf numFmtId="0" fontId="4" fillId="0" borderId="16" xfId="3" applyFont="1" applyFill="1" applyBorder="1"/>
    <xf numFmtId="0" fontId="4" fillId="0" borderId="16" xfId="3" applyFont="1" applyFill="1" applyBorder="1" applyAlignment="1">
      <alignment horizontal="center"/>
    </xf>
    <xf numFmtId="0" fontId="4" fillId="0" borderId="16" xfId="3" quotePrefix="1" applyFont="1" applyFill="1" applyBorder="1" applyAlignment="1">
      <alignment horizontal="center" vertical="center"/>
    </xf>
    <xf numFmtId="0" fontId="4" fillId="0" borderId="16" xfId="3" applyFont="1" applyFill="1" applyBorder="1" applyAlignment="1">
      <alignment horizontal="left"/>
    </xf>
    <xf numFmtId="1" fontId="4" fillId="0" borderId="13" xfId="3" applyNumberFormat="1" applyFont="1" applyFill="1" applyBorder="1" applyAlignment="1">
      <alignment horizontal="center"/>
    </xf>
    <xf numFmtId="0" fontId="4" fillId="0" borderId="13" xfId="3" applyFont="1" applyFill="1" applyBorder="1"/>
    <xf numFmtId="0" fontId="4" fillId="0" borderId="13" xfId="3" applyFont="1" applyFill="1" applyBorder="1" applyAlignment="1">
      <alignment horizontal="center"/>
    </xf>
    <xf numFmtId="0" fontId="4" fillId="0" borderId="13" xfId="3" quotePrefix="1" applyFont="1" applyFill="1" applyBorder="1" applyAlignment="1">
      <alignment horizontal="center" vertical="center"/>
    </xf>
    <xf numFmtId="0" fontId="4" fillId="0" borderId="13" xfId="3" applyFont="1" applyFill="1" applyBorder="1" applyAlignment="1">
      <alignment horizontal="left"/>
    </xf>
    <xf numFmtId="1" fontId="4" fillId="0" borderId="8" xfId="3" applyNumberFormat="1" applyFont="1" applyFill="1" applyBorder="1" applyAlignment="1">
      <alignment horizontal="center"/>
    </xf>
    <xf numFmtId="0" fontId="4" fillId="0" borderId="8" xfId="3" applyFont="1" applyFill="1" applyBorder="1"/>
    <xf numFmtId="0" fontId="4" fillId="0" borderId="8" xfId="3" applyFont="1" applyFill="1" applyBorder="1" applyAlignment="1">
      <alignment horizontal="center"/>
    </xf>
    <xf numFmtId="0" fontId="4" fillId="0" borderId="8" xfId="3" applyFont="1" applyFill="1" applyBorder="1" applyAlignment="1">
      <alignment horizontal="left"/>
    </xf>
    <xf numFmtId="1" fontId="4" fillId="0" borderId="12" xfId="3" applyNumberFormat="1" applyFont="1" applyFill="1" applyBorder="1" applyAlignment="1">
      <alignment horizontal="center"/>
    </xf>
    <xf numFmtId="0" fontId="4" fillId="0" borderId="12" xfId="3" applyFont="1" applyFill="1" applyBorder="1"/>
    <xf numFmtId="0" fontId="4" fillId="0" borderId="12" xfId="3" applyFont="1" applyFill="1" applyBorder="1" applyAlignment="1">
      <alignment horizontal="center"/>
    </xf>
    <xf numFmtId="0" fontId="4" fillId="0" borderId="12" xfId="3" applyFont="1" applyFill="1" applyBorder="1" applyAlignment="1">
      <alignment horizontal="left"/>
    </xf>
    <xf numFmtId="0" fontId="9" fillId="0" borderId="0" xfId="3" applyFont="1"/>
    <xf numFmtId="1" fontId="4" fillId="0" borderId="1" xfId="3" applyNumberFormat="1" applyFont="1" applyFill="1" applyBorder="1" applyAlignment="1">
      <alignment horizontal="center"/>
    </xf>
    <xf numFmtId="0" fontId="4" fillId="0" borderId="1" xfId="3" applyFont="1" applyFill="1" applyBorder="1"/>
    <xf numFmtId="0" fontId="4" fillId="0" borderId="1" xfId="3" applyFont="1" applyFill="1" applyBorder="1" applyAlignment="1">
      <alignment horizontal="center"/>
    </xf>
    <xf numFmtId="0" fontId="4" fillId="0" borderId="1" xfId="3" quotePrefix="1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left"/>
    </xf>
    <xf numFmtId="0" fontId="4" fillId="0" borderId="6" xfId="3" quotePrefix="1" applyFont="1" applyFill="1" applyBorder="1" applyAlignment="1">
      <alignment horizontal="center" vertical="center"/>
    </xf>
    <xf numFmtId="0" fontId="3" fillId="4" borderId="11" xfId="3" applyFont="1" applyFill="1" applyBorder="1" applyAlignment="1">
      <alignment horizontal="center"/>
    </xf>
    <xf numFmtId="0" fontId="3" fillId="4" borderId="11" xfId="3" applyFont="1" applyFill="1" applyBorder="1"/>
    <xf numFmtId="1" fontId="4" fillId="0" borderId="2" xfId="3" applyNumberFormat="1" applyFont="1" applyFill="1" applyBorder="1" applyAlignment="1">
      <alignment horizontal="center"/>
    </xf>
    <xf numFmtId="0" fontId="4" fillId="0" borderId="2" xfId="3" applyFont="1" applyFill="1" applyBorder="1"/>
    <xf numFmtId="0" fontId="4" fillId="0" borderId="2" xfId="3" applyFont="1" applyFill="1" applyBorder="1" applyAlignment="1">
      <alignment horizontal="center"/>
    </xf>
    <xf numFmtId="0" fontId="4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/>
    </xf>
    <xf numFmtId="0" fontId="4" fillId="0" borderId="10" xfId="3" quotePrefix="1" applyFont="1" applyFill="1" applyBorder="1" applyAlignment="1">
      <alignment horizontal="center" vertical="center"/>
    </xf>
    <xf numFmtId="0" fontId="10" fillId="6" borderId="0" xfId="3" applyFont="1" applyFill="1"/>
    <xf numFmtId="0" fontId="3" fillId="6" borderId="3" xfId="3" applyFont="1" applyFill="1" applyBorder="1"/>
    <xf numFmtId="0" fontId="10" fillId="0" borderId="0" xfId="3" applyFont="1" applyBorder="1"/>
    <xf numFmtId="0" fontId="15" fillId="0" borderId="0" xfId="3" applyFont="1"/>
    <xf numFmtId="1" fontId="4" fillId="9" borderId="7" xfId="3" applyNumberFormat="1" applyFont="1" applyFill="1" applyBorder="1" applyAlignment="1">
      <alignment horizontal="center"/>
    </xf>
    <xf numFmtId="0" fontId="4" fillId="0" borderId="7" xfId="3" applyFont="1" applyFill="1" applyBorder="1" applyAlignment="1">
      <alignment horizontal="center" vertical="center"/>
    </xf>
    <xf numFmtId="1" fontId="4" fillId="9" borderId="1" xfId="3" applyNumberFormat="1" applyFont="1" applyFill="1" applyBorder="1" applyAlignment="1">
      <alignment horizontal="center"/>
    </xf>
    <xf numFmtId="0" fontId="4" fillId="0" borderId="1" xfId="3" applyFont="1" applyFill="1" applyBorder="1" applyAlignment="1">
      <alignment horizontal="center" vertical="center"/>
    </xf>
    <xf numFmtId="1" fontId="4" fillId="9" borderId="16" xfId="3" applyNumberFormat="1" applyFont="1" applyFill="1" applyBorder="1" applyAlignment="1">
      <alignment horizontal="center"/>
    </xf>
    <xf numFmtId="0" fontId="4" fillId="0" borderId="16" xfId="3" applyFont="1" applyFill="1" applyBorder="1" applyAlignment="1">
      <alignment horizontal="center" vertical="center"/>
    </xf>
    <xf numFmtId="0" fontId="4" fillId="6" borderId="4" xfId="2" applyFont="1" applyFill="1" applyBorder="1" applyAlignment="1">
      <alignment horizontal="left"/>
    </xf>
    <xf numFmtId="1" fontId="4" fillId="6" borderId="9" xfId="2" applyNumberFormat="1" applyFont="1" applyFill="1" applyBorder="1" applyAlignment="1">
      <alignment horizontal="center"/>
    </xf>
    <xf numFmtId="0" fontId="4" fillId="6" borderId="9" xfId="2" applyFont="1" applyFill="1" applyBorder="1" applyAlignment="1">
      <alignment horizontal="center"/>
    </xf>
    <xf numFmtId="0" fontId="4" fillId="6" borderId="9" xfId="2" quotePrefix="1" applyFont="1" applyFill="1" applyBorder="1" applyAlignment="1">
      <alignment horizontal="center" vertical="center"/>
    </xf>
    <xf numFmtId="0" fontId="4" fillId="6" borderId="9" xfId="2" applyFont="1" applyFill="1" applyBorder="1" applyAlignment="1">
      <alignment horizontal="left"/>
    </xf>
    <xf numFmtId="0" fontId="4" fillId="6" borderId="10" xfId="2" applyFont="1" applyFill="1" applyBorder="1" applyAlignment="1">
      <alignment horizontal="left"/>
    </xf>
    <xf numFmtId="0" fontId="4" fillId="6" borderId="0" xfId="0" applyFont="1" applyFill="1"/>
    <xf numFmtId="0" fontId="4" fillId="6" borderId="8" xfId="2" applyFont="1" applyFill="1" applyBorder="1" applyAlignment="1">
      <alignment horizontal="left"/>
    </xf>
    <xf numFmtId="0" fontId="4" fillId="6" borderId="28" xfId="0" applyFont="1" applyFill="1" applyBorder="1"/>
    <xf numFmtId="0" fontId="3" fillId="4" borderId="0" xfId="2" applyFont="1" applyFill="1" applyBorder="1"/>
    <xf numFmtId="0" fontId="4" fillId="0" borderId="12" xfId="2" applyFont="1" applyFill="1" applyBorder="1" applyAlignment="1">
      <alignment horizontal="left"/>
    </xf>
    <xf numFmtId="0" fontId="4" fillId="0" borderId="16" xfId="2" applyFont="1" applyFill="1" applyBorder="1" applyAlignment="1">
      <alignment horizontal="center" vertical="center"/>
    </xf>
    <xf numFmtId="0" fontId="3" fillId="4" borderId="11" xfId="2" applyFont="1" applyFill="1" applyBorder="1"/>
    <xf numFmtId="16" fontId="3" fillId="4" borderId="3" xfId="2" applyNumberFormat="1" applyFont="1" applyFill="1" applyBorder="1"/>
    <xf numFmtId="0" fontId="4" fillId="0" borderId="12" xfId="2" quotePrefix="1" applyFont="1" applyFill="1" applyBorder="1" applyAlignment="1">
      <alignment horizontal="center" vertical="center"/>
    </xf>
    <xf numFmtId="0" fontId="4" fillId="0" borderId="8" xfId="2" applyFont="1" applyBorder="1"/>
    <xf numFmtId="0" fontId="4" fillId="0" borderId="8" xfId="2" applyFont="1" applyBorder="1" applyAlignment="1">
      <alignment horizontal="center"/>
    </xf>
    <xf numFmtId="0" fontId="4" fillId="0" borderId="8" xfId="2" applyFont="1" applyBorder="1" applyAlignment="1">
      <alignment horizontal="left"/>
    </xf>
    <xf numFmtId="0" fontId="4" fillId="0" borderId="5" xfId="2" applyFont="1" applyBorder="1" applyAlignment="1">
      <alignment horizontal="center"/>
    </xf>
    <xf numFmtId="0" fontId="4" fillId="0" borderId="5" xfId="2" applyFont="1" applyBorder="1" applyAlignment="1">
      <alignment horizontal="left"/>
    </xf>
    <xf numFmtId="0" fontId="4" fillId="0" borderId="6" xfId="2" applyFont="1" applyBorder="1"/>
    <xf numFmtId="0" fontId="4" fillId="0" borderId="6" xfId="2" applyFont="1" applyBorder="1" applyAlignment="1">
      <alignment horizontal="center"/>
    </xf>
    <xf numFmtId="0" fontId="4" fillId="0" borderId="6" xfId="2" applyFont="1" applyBorder="1" applyAlignment="1">
      <alignment horizontal="left"/>
    </xf>
    <xf numFmtId="0" fontId="4" fillId="0" borderId="4" xfId="2" applyFont="1" applyBorder="1" applyAlignment="1">
      <alignment horizontal="center"/>
    </xf>
    <xf numFmtId="0" fontId="4" fillId="0" borderId="4" xfId="2" applyFont="1" applyBorder="1" applyAlignment="1">
      <alignment horizontal="left"/>
    </xf>
    <xf numFmtId="0" fontId="4" fillId="0" borderId="3" xfId="2" applyFont="1" applyBorder="1"/>
    <xf numFmtId="0" fontId="4" fillId="0" borderId="3" xfId="2" applyFont="1" applyBorder="1" applyAlignment="1">
      <alignment horizontal="center"/>
    </xf>
    <xf numFmtId="0" fontId="4" fillId="0" borderId="3" xfId="2" applyFont="1" applyBorder="1" applyAlignment="1">
      <alignment horizontal="left"/>
    </xf>
    <xf numFmtId="0" fontId="4" fillId="0" borderId="13" xfId="2" applyFont="1" applyBorder="1"/>
    <xf numFmtId="0" fontId="4" fillId="0" borderId="13" xfId="2" applyFont="1" applyBorder="1" applyAlignment="1">
      <alignment horizontal="center"/>
    </xf>
    <xf numFmtId="0" fontId="4" fillId="0" borderId="13" xfId="2" applyFont="1" applyBorder="1" applyAlignment="1">
      <alignment horizontal="left"/>
    </xf>
    <xf numFmtId="0" fontId="4" fillId="0" borderId="10" xfId="2" applyFont="1" applyBorder="1"/>
    <xf numFmtId="0" fontId="4" fillId="0" borderId="7" xfId="2" applyFont="1" applyBorder="1"/>
    <xf numFmtId="0" fontId="4" fillId="0" borderId="7" xfId="2" applyFont="1" applyBorder="1" applyAlignment="1">
      <alignment horizontal="center"/>
    </xf>
    <xf numFmtId="0" fontId="4" fillId="0" borderId="7" xfId="2" applyFont="1" applyBorder="1" applyAlignment="1">
      <alignment horizontal="left"/>
    </xf>
    <xf numFmtId="0" fontId="4" fillId="0" borderId="29" xfId="2" applyFont="1" applyBorder="1" applyAlignment="1">
      <alignment horizontal="center"/>
    </xf>
    <xf numFmtId="0" fontId="4" fillId="0" borderId="29" xfId="2" applyFont="1" applyBorder="1" applyAlignment="1">
      <alignment horizontal="left"/>
    </xf>
    <xf numFmtId="0" fontId="4" fillId="0" borderId="1" xfId="2" applyFont="1" applyBorder="1" applyAlignment="1">
      <alignment horizontal="left"/>
    </xf>
    <xf numFmtId="0" fontId="4" fillId="0" borderId="9" xfId="2" applyFont="1" applyBorder="1"/>
    <xf numFmtId="0" fontId="4" fillId="0" borderId="9" xfId="2" applyFont="1" applyBorder="1" applyAlignment="1">
      <alignment horizontal="center"/>
    </xf>
    <xf numFmtId="0" fontId="4" fillId="0" borderId="9" xfId="2" applyFont="1" applyBorder="1" applyAlignment="1">
      <alignment horizontal="left"/>
    </xf>
    <xf numFmtId="0" fontId="4" fillId="0" borderId="1" xfId="2" applyFont="1" applyBorder="1"/>
    <xf numFmtId="0" fontId="4" fillId="0" borderId="21" xfId="2" applyFont="1" applyBorder="1" applyAlignment="1">
      <alignment horizontal="center"/>
    </xf>
    <xf numFmtId="0" fontId="10" fillId="0" borderId="21" xfId="2" applyFont="1" applyBorder="1"/>
    <xf numFmtId="0" fontId="4" fillId="0" borderId="9" xfId="2" applyFont="1" applyFill="1" applyBorder="1" applyAlignment="1"/>
    <xf numFmtId="0" fontId="4" fillId="0" borderId="21" xfId="2" applyFont="1" applyFill="1" applyBorder="1" applyAlignment="1">
      <alignment horizontal="center"/>
    </xf>
    <xf numFmtId="0" fontId="4" fillId="0" borderId="29" xfId="2" applyFont="1" applyBorder="1"/>
    <xf numFmtId="0" fontId="4" fillId="0" borderId="12" xfId="2" applyFont="1" applyBorder="1"/>
    <xf numFmtId="0" fontId="4" fillId="0" borderId="12" xfId="2" applyFont="1" applyBorder="1" applyAlignment="1">
      <alignment horizontal="center"/>
    </xf>
    <xf numFmtId="0" fontId="4" fillId="6" borderId="21" xfId="2" applyFont="1" applyFill="1" applyBorder="1" applyAlignment="1">
      <alignment horizontal="center"/>
    </xf>
    <xf numFmtId="0" fontId="14" fillId="13" borderId="1" xfId="2" applyFont="1" applyFill="1" applyBorder="1" applyAlignment="1">
      <alignment horizontal="center"/>
    </xf>
    <xf numFmtId="0" fontId="14" fillId="13" borderId="21" xfId="2" applyFont="1" applyFill="1" applyBorder="1" applyAlignment="1">
      <alignment horizontal="center"/>
    </xf>
    <xf numFmtId="0" fontId="10" fillId="0" borderId="0" xfId="2" applyFont="1" applyFill="1"/>
    <xf numFmtId="1" fontId="4" fillId="0" borderId="0" xfId="2" applyNumberFormat="1" applyFont="1" applyFill="1" applyAlignment="1">
      <alignment horizontal="center"/>
    </xf>
    <xf numFmtId="0" fontId="10" fillId="0" borderId="21" xfId="2" applyFont="1" applyFill="1" applyBorder="1"/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49" fontId="4" fillId="0" borderId="11" xfId="0" applyNumberFormat="1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3" fillId="4" borderId="17" xfId="2" applyFont="1" applyFill="1" applyBorder="1" applyAlignment="1">
      <alignment horizontal="left" vertical="top"/>
    </xf>
    <xf numFmtId="0" fontId="3" fillId="4" borderId="19" xfId="2" applyFont="1" applyFill="1" applyBorder="1" applyAlignment="1">
      <alignment horizontal="left" vertical="top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49" fontId="4" fillId="6" borderId="7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49" fontId="4" fillId="6" borderId="9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2" xfId="2" quotePrefix="1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0" fontId="4" fillId="0" borderId="7" xfId="2" applyFont="1" applyFill="1" applyBorder="1" applyAlignment="1">
      <alignment horizontal="center" vertical="center"/>
    </xf>
    <xf numFmtId="0" fontId="4" fillId="0" borderId="3" xfId="2" quotePrefix="1" applyFont="1" applyFill="1" applyBorder="1" applyAlignment="1">
      <alignment horizontal="center" vertical="center"/>
    </xf>
    <xf numFmtId="0" fontId="4" fillId="0" borderId="7" xfId="2" quotePrefix="1" applyFont="1" applyFill="1" applyBorder="1" applyAlignment="1">
      <alignment horizontal="center" vertical="center"/>
    </xf>
    <xf numFmtId="0" fontId="4" fillId="0" borderId="9" xfId="2" quotePrefix="1" applyFont="1" applyFill="1" applyBorder="1" applyAlignment="1">
      <alignment horizontal="center" vertical="center"/>
    </xf>
    <xf numFmtId="0" fontId="4" fillId="0" borderId="11" xfId="2" quotePrefix="1" applyFont="1" applyFill="1" applyBorder="1" applyAlignment="1">
      <alignment horizontal="center" vertical="center"/>
    </xf>
    <xf numFmtId="0" fontId="4" fillId="6" borderId="2" xfId="2" quotePrefix="1" applyFont="1" applyFill="1" applyBorder="1" applyAlignment="1">
      <alignment horizontal="center" vertical="center"/>
    </xf>
    <xf numFmtId="0" fontId="4" fillId="6" borderId="3" xfId="2" quotePrefix="1" applyFont="1" applyFill="1" applyBorder="1" applyAlignment="1">
      <alignment horizontal="center" vertical="center"/>
    </xf>
    <xf numFmtId="0" fontId="4" fillId="6" borderId="7" xfId="2" quotePrefix="1" applyFont="1" applyFill="1" applyBorder="1" applyAlignment="1">
      <alignment horizontal="center" vertical="center"/>
    </xf>
    <xf numFmtId="0" fontId="4" fillId="6" borderId="9" xfId="2" quotePrefix="1" applyFont="1" applyFill="1" applyBorder="1" applyAlignment="1">
      <alignment horizontal="center" vertical="center"/>
    </xf>
    <xf numFmtId="0" fontId="4" fillId="6" borderId="7" xfId="2" applyFont="1" applyFill="1" applyBorder="1" applyAlignment="1">
      <alignment horizontal="center" vertical="center"/>
    </xf>
    <xf numFmtId="0" fontId="4" fillId="6" borderId="11" xfId="2" quotePrefix="1" applyFont="1" applyFill="1" applyBorder="1" applyAlignment="1">
      <alignment horizontal="center" vertical="center"/>
    </xf>
    <xf numFmtId="0" fontId="4" fillId="0" borderId="2" xfId="2" quotePrefix="1" applyFont="1" applyFill="1" applyBorder="1" applyAlignment="1">
      <alignment horizontal="center" vertical="center" wrapText="1"/>
    </xf>
    <xf numFmtId="0" fontId="4" fillId="0" borderId="7" xfId="2" applyFont="1" applyFill="1" applyBorder="1" applyAlignment="1">
      <alignment horizontal="center" vertical="center" wrapText="1"/>
    </xf>
    <xf numFmtId="0" fontId="4" fillId="0" borderId="9" xfId="2" applyFont="1" applyFill="1" applyBorder="1" applyAlignment="1">
      <alignment horizontal="center" vertical="center"/>
    </xf>
    <xf numFmtId="0" fontId="4" fillId="0" borderId="11" xfId="2" applyFont="1" applyFill="1" applyBorder="1" applyAlignment="1">
      <alignment horizontal="center" vertical="center"/>
    </xf>
    <xf numFmtId="0" fontId="4" fillId="6" borderId="2" xfId="2" applyFont="1" applyFill="1" applyBorder="1" applyAlignment="1">
      <alignment horizontal="center" vertical="center"/>
    </xf>
    <xf numFmtId="0" fontId="4" fillId="6" borderId="3" xfId="2" applyFont="1" applyFill="1" applyBorder="1" applyAlignment="1">
      <alignment horizontal="center" vertical="center"/>
    </xf>
    <xf numFmtId="0" fontId="4" fillId="0" borderId="2" xfId="3" quotePrefix="1" applyFont="1" applyFill="1" applyBorder="1" applyAlignment="1">
      <alignment horizontal="center" vertical="center"/>
    </xf>
    <xf numFmtId="0" fontId="4" fillId="0" borderId="3" xfId="3" quotePrefix="1" applyFont="1" applyFill="1" applyBorder="1" applyAlignment="1">
      <alignment horizontal="center" vertical="center"/>
    </xf>
    <xf numFmtId="0" fontId="4" fillId="0" borderId="7" xfId="3" quotePrefix="1" applyFont="1" applyFill="1" applyBorder="1" applyAlignment="1">
      <alignment horizontal="center" vertical="center"/>
    </xf>
    <xf numFmtId="0" fontId="4" fillId="0" borderId="11" xfId="3" quotePrefix="1" applyFont="1" applyFill="1" applyBorder="1" applyAlignment="1">
      <alignment horizontal="center" vertical="center"/>
    </xf>
    <xf numFmtId="0" fontId="4" fillId="0" borderId="9" xfId="3" quotePrefix="1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2 2" xfId="3"/>
    <cellStyle name="Percent" xfId="1" builtinId="5"/>
  </cellStyles>
  <dxfs count="398"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lor theme="5"/>
      </font>
    </dxf>
    <dxf>
      <font>
        <color theme="5"/>
      </font>
    </dxf>
    <dxf>
      <font>
        <color theme="5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ill>
        <patternFill>
          <bgColor indexed="47"/>
        </patternFill>
      </fill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lor theme="5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lor theme="5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ngineer\PM%20Process\02-PM\00-Master%20Plan\Planning\Task%20list%20&amp;%20Maintenace%20pl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ufacturing\Weerawan\PM%20Cleansing%202018\01-MASTER%20ME%20PM%202018%20(Resource%20Planning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sk list &amp; Maintenace plan"/>
    </sheetNames>
    <sheetDataSet>
      <sheetData sheetId="0" refreshError="1"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</row>
        <row r="4">
          <cell r="B4" t="str">
            <v>MntPlan</v>
          </cell>
          <cell r="C4" t="str">
            <v>MntItem</v>
          </cell>
          <cell r="D4" t="str">
            <v>Mn.wk.ctr</v>
          </cell>
          <cell r="E4" t="str">
            <v>Strat.</v>
          </cell>
          <cell r="F4" t="str">
            <v>Maintenance item description</v>
          </cell>
          <cell r="G4" t="str">
            <v>Group</v>
          </cell>
        </row>
        <row r="5">
          <cell r="B5">
            <v>610000004809</v>
          </cell>
          <cell r="C5">
            <v>348835</v>
          </cell>
          <cell r="D5" t="str">
            <v>PRO001</v>
          </cell>
          <cell r="F5" t="str">
            <v>610000004809 &amp; BC0-WC-ME</v>
          </cell>
          <cell r="G5">
            <v>101243</v>
          </cell>
        </row>
        <row r="6">
          <cell r="B6">
            <v>610000004810</v>
          </cell>
          <cell r="C6">
            <v>348836</v>
          </cell>
          <cell r="D6" t="str">
            <v>PRO001</v>
          </cell>
          <cell r="F6" t="str">
            <v>610000004810 &amp; BC0-FC-ME</v>
          </cell>
          <cell r="G6">
            <v>101244</v>
          </cell>
        </row>
        <row r="7">
          <cell r="B7">
            <v>610000004811</v>
          </cell>
          <cell r="C7">
            <v>348837</v>
          </cell>
          <cell r="D7" t="str">
            <v>PRO001</v>
          </cell>
          <cell r="F7" t="str">
            <v>610000004811 &amp; BC0-FI-ME</v>
          </cell>
          <cell r="G7">
            <v>101245</v>
          </cell>
        </row>
        <row r="8">
          <cell r="B8">
            <v>610000004812</v>
          </cell>
          <cell r="C8">
            <v>348838</v>
          </cell>
          <cell r="D8" t="str">
            <v>PRO001</v>
          </cell>
          <cell r="F8" t="str">
            <v>610000004812 &amp; BC0-FL-ME</v>
          </cell>
          <cell r="G8">
            <v>101246</v>
          </cell>
        </row>
        <row r="9">
          <cell r="B9">
            <v>610000004813</v>
          </cell>
          <cell r="C9">
            <v>348839</v>
          </cell>
          <cell r="D9" t="str">
            <v>PRO001</v>
          </cell>
          <cell r="F9" t="str">
            <v>610000004813 &amp; BC0-QR-ME</v>
          </cell>
          <cell r="G9">
            <v>101247</v>
          </cell>
        </row>
        <row r="10">
          <cell r="B10">
            <v>610000004814</v>
          </cell>
          <cell r="C10">
            <v>348840</v>
          </cell>
          <cell r="D10" t="str">
            <v>PRO001</v>
          </cell>
          <cell r="F10" t="str">
            <v>610000004814 &amp; BC0-HC-ME</v>
          </cell>
          <cell r="G10">
            <v>101248</v>
          </cell>
        </row>
        <row r="11">
          <cell r="B11">
            <v>610000004835</v>
          </cell>
          <cell r="C11">
            <v>348841</v>
          </cell>
          <cell r="D11" t="str">
            <v>PRO001</v>
          </cell>
          <cell r="F11" t="str">
            <v>610000004835 &amp; BC5-FL-ME</v>
          </cell>
          <cell r="G11">
            <v>101269</v>
          </cell>
        </row>
        <row r="12">
          <cell r="B12">
            <v>610000004836</v>
          </cell>
          <cell r="C12">
            <v>348842</v>
          </cell>
          <cell r="D12" t="str">
            <v>PRO001</v>
          </cell>
          <cell r="F12" t="str">
            <v>610000004836 &amp; BC5-HL-ME</v>
          </cell>
          <cell r="G12">
            <v>101270</v>
          </cell>
        </row>
        <row r="13">
          <cell r="B13">
            <v>610000004837</v>
          </cell>
          <cell r="C13">
            <v>348843</v>
          </cell>
          <cell r="D13" t="str">
            <v>PRO002</v>
          </cell>
          <cell r="F13" t="str">
            <v>610000004837 &amp; BC0-FI-EE</v>
          </cell>
          <cell r="G13">
            <v>101271</v>
          </cell>
        </row>
        <row r="14">
          <cell r="B14">
            <v>610000004838</v>
          </cell>
          <cell r="C14">
            <v>348844</v>
          </cell>
          <cell r="D14" t="str">
            <v>PRO002</v>
          </cell>
          <cell r="F14" t="str">
            <v>610000004838 &amp; BC0-MC-EE</v>
          </cell>
          <cell r="G14">
            <v>101272</v>
          </cell>
        </row>
        <row r="15">
          <cell r="B15">
            <v>610000004839</v>
          </cell>
          <cell r="C15">
            <v>348845</v>
          </cell>
          <cell r="D15" t="str">
            <v>PRO002</v>
          </cell>
          <cell r="F15" t="str">
            <v>610000004839 &amp; BC0-MI-EE</v>
          </cell>
          <cell r="G15">
            <v>101273</v>
          </cell>
        </row>
        <row r="16">
          <cell r="B16">
            <v>610000004840</v>
          </cell>
          <cell r="C16">
            <v>348846</v>
          </cell>
          <cell r="D16" t="str">
            <v>PRO002</v>
          </cell>
          <cell r="F16" t="str">
            <v>610000004840 &amp; BC0-NC-EE</v>
          </cell>
          <cell r="G16">
            <v>101274</v>
          </cell>
        </row>
        <row r="17">
          <cell r="B17">
            <v>610000004841</v>
          </cell>
          <cell r="C17">
            <v>348847</v>
          </cell>
          <cell r="D17" t="str">
            <v>PRO002</v>
          </cell>
          <cell r="F17" t="str">
            <v>610000004841 &amp; BC1-FI-EE</v>
          </cell>
          <cell r="G17">
            <v>101275</v>
          </cell>
        </row>
        <row r="18">
          <cell r="B18">
            <v>610000004842</v>
          </cell>
          <cell r="C18">
            <v>348848</v>
          </cell>
          <cell r="D18" t="str">
            <v>PRO002</v>
          </cell>
          <cell r="F18" t="str">
            <v>610000004842 &amp; BC1-MI-EE</v>
          </cell>
          <cell r="G18">
            <v>101276</v>
          </cell>
        </row>
        <row r="19">
          <cell r="B19">
            <v>610000004843</v>
          </cell>
          <cell r="C19">
            <v>348849</v>
          </cell>
          <cell r="D19" t="str">
            <v>PRO002</v>
          </cell>
          <cell r="F19" t="str">
            <v>610000004843 &amp; BC1-NC-EE</v>
          </cell>
          <cell r="G19">
            <v>101277</v>
          </cell>
        </row>
        <row r="20">
          <cell r="B20">
            <v>610000004844</v>
          </cell>
          <cell r="C20">
            <v>348850</v>
          </cell>
          <cell r="D20" t="str">
            <v>PRO002</v>
          </cell>
          <cell r="F20" t="str">
            <v>610000004844 &amp; BC1-NR-EE</v>
          </cell>
          <cell r="G20">
            <v>101278</v>
          </cell>
        </row>
        <row r="21">
          <cell r="B21">
            <v>610000004845</v>
          </cell>
          <cell r="C21">
            <v>348851</v>
          </cell>
          <cell r="D21" t="str">
            <v>PRO002</v>
          </cell>
          <cell r="F21" t="str">
            <v>610000004845 &amp; BC1-HCB-EE</v>
          </cell>
          <cell r="G21">
            <v>101279</v>
          </cell>
        </row>
        <row r="22">
          <cell r="B22">
            <v>610000004846</v>
          </cell>
          <cell r="C22">
            <v>348852</v>
          </cell>
          <cell r="D22" t="str">
            <v>PRO002</v>
          </cell>
          <cell r="F22" t="str">
            <v>610000004846 &amp; BC2-FI-EE</v>
          </cell>
          <cell r="G22">
            <v>101280</v>
          </cell>
        </row>
        <row r="23">
          <cell r="B23">
            <v>610000004847</v>
          </cell>
          <cell r="C23">
            <v>348853</v>
          </cell>
          <cell r="D23" t="str">
            <v>PRO002</v>
          </cell>
          <cell r="F23" t="str">
            <v>610000004847 &amp; BC2-MI-EE</v>
          </cell>
          <cell r="G23">
            <v>101281</v>
          </cell>
        </row>
        <row r="24">
          <cell r="B24">
            <v>610000004848</v>
          </cell>
          <cell r="C24">
            <v>348854</v>
          </cell>
          <cell r="D24" t="str">
            <v>PRO002</v>
          </cell>
          <cell r="F24" t="str">
            <v>610000004848 &amp; BC2-NC-EE</v>
          </cell>
          <cell r="G24">
            <v>101282</v>
          </cell>
        </row>
        <row r="25">
          <cell r="B25">
            <v>610000004849</v>
          </cell>
          <cell r="C25">
            <v>348855</v>
          </cell>
          <cell r="D25" t="str">
            <v>PRO002</v>
          </cell>
          <cell r="F25" t="str">
            <v>610000004849 &amp; BC3-WC-EE</v>
          </cell>
          <cell r="G25">
            <v>101283</v>
          </cell>
        </row>
        <row r="26">
          <cell r="B26">
            <v>610000004850</v>
          </cell>
          <cell r="C26">
            <v>348856</v>
          </cell>
          <cell r="D26" t="str">
            <v>PRO002</v>
          </cell>
          <cell r="F26" t="str">
            <v>610000004850 &amp; BC3-FI-EE</v>
          </cell>
          <cell r="G26">
            <v>101284</v>
          </cell>
        </row>
        <row r="27">
          <cell r="B27">
            <v>610000004851</v>
          </cell>
          <cell r="C27">
            <v>348857</v>
          </cell>
          <cell r="D27" t="str">
            <v>PRO002</v>
          </cell>
          <cell r="F27" t="str">
            <v>610000004851 &amp; BC3-MC-EE</v>
          </cell>
          <cell r="G27">
            <v>101285</v>
          </cell>
        </row>
        <row r="28">
          <cell r="B28">
            <v>610000004852</v>
          </cell>
          <cell r="C28">
            <v>348858</v>
          </cell>
          <cell r="D28" t="str">
            <v>PRO002</v>
          </cell>
          <cell r="F28" t="str">
            <v>610000004852 &amp; BC3-MI-EE</v>
          </cell>
          <cell r="G28">
            <v>101286</v>
          </cell>
        </row>
        <row r="29">
          <cell r="B29">
            <v>610000004853</v>
          </cell>
          <cell r="C29">
            <v>348859</v>
          </cell>
          <cell r="D29" t="str">
            <v>PRO002</v>
          </cell>
          <cell r="F29" t="str">
            <v>610000004853 &amp; BC3-MI-EE2</v>
          </cell>
          <cell r="G29">
            <v>101287</v>
          </cell>
        </row>
        <row r="30">
          <cell r="B30">
            <v>610000004854</v>
          </cell>
          <cell r="C30">
            <v>348860</v>
          </cell>
          <cell r="D30" t="str">
            <v>PRO002</v>
          </cell>
          <cell r="F30" t="str">
            <v>610000004854 &amp; BC3-NC-EE</v>
          </cell>
          <cell r="G30">
            <v>101288</v>
          </cell>
        </row>
        <row r="31">
          <cell r="B31">
            <v>610000004815</v>
          </cell>
          <cell r="C31">
            <v>348934</v>
          </cell>
          <cell r="D31" t="str">
            <v>PRO001</v>
          </cell>
          <cell r="F31" t="str">
            <v>610000004815 &amp; BC1-FC-ME</v>
          </cell>
          <cell r="G31">
            <v>101249</v>
          </cell>
        </row>
        <row r="32">
          <cell r="B32">
            <v>610000004816</v>
          </cell>
          <cell r="C32">
            <v>348935</v>
          </cell>
          <cell r="D32" t="str">
            <v>PRO001</v>
          </cell>
          <cell r="F32" t="str">
            <v>610000004816 &amp; BC1-MA-ME</v>
          </cell>
          <cell r="G32">
            <v>101250</v>
          </cell>
        </row>
        <row r="33">
          <cell r="B33">
            <v>610000004817</v>
          </cell>
          <cell r="C33">
            <v>348936</v>
          </cell>
          <cell r="D33" t="str">
            <v>PRO001</v>
          </cell>
          <cell r="F33" t="str">
            <v>610000004817 &amp; BC1-MI-ME</v>
          </cell>
          <cell r="G33">
            <v>101251</v>
          </cell>
        </row>
        <row r="34">
          <cell r="B34">
            <v>610000004818</v>
          </cell>
          <cell r="C34">
            <v>348937</v>
          </cell>
          <cell r="D34" t="str">
            <v>PRO001</v>
          </cell>
          <cell r="F34" t="str">
            <v>610000004818 &amp; BC1-ML-ME</v>
          </cell>
          <cell r="G34">
            <v>101252</v>
          </cell>
        </row>
        <row r="35">
          <cell r="B35">
            <v>610000004819</v>
          </cell>
          <cell r="C35">
            <v>348938</v>
          </cell>
          <cell r="D35" t="str">
            <v>PRO001</v>
          </cell>
          <cell r="F35" t="str">
            <v>610000004819 &amp; BC1-MV-ME</v>
          </cell>
          <cell r="G35">
            <v>101253</v>
          </cell>
        </row>
        <row r="36">
          <cell r="B36">
            <v>610000004820</v>
          </cell>
          <cell r="C36">
            <v>348939</v>
          </cell>
          <cell r="D36" t="str">
            <v>PRO001</v>
          </cell>
          <cell r="F36" t="str">
            <v>610000004820 &amp; BC1-MA-ME</v>
          </cell>
          <cell r="G36">
            <v>101254</v>
          </cell>
        </row>
        <row r="37">
          <cell r="B37">
            <v>610000004821</v>
          </cell>
          <cell r="C37">
            <v>348940</v>
          </cell>
          <cell r="D37" t="str">
            <v>PRO001</v>
          </cell>
          <cell r="F37" t="str">
            <v>610000004821 &amp; BC1-HL-ME</v>
          </cell>
          <cell r="G37">
            <v>101255</v>
          </cell>
        </row>
        <row r="38">
          <cell r="B38">
            <v>610000004822</v>
          </cell>
          <cell r="C38">
            <v>348941</v>
          </cell>
          <cell r="D38" t="str">
            <v>PRO001</v>
          </cell>
          <cell r="F38" t="str">
            <v>610000004822 &amp; BC2-FI-ME</v>
          </cell>
          <cell r="G38">
            <v>101256</v>
          </cell>
        </row>
        <row r="39">
          <cell r="B39">
            <v>610000004823</v>
          </cell>
          <cell r="C39">
            <v>348942</v>
          </cell>
          <cell r="D39" t="str">
            <v>PRO001</v>
          </cell>
          <cell r="F39" t="str">
            <v>610000004823 &amp; BC2-FL-ME</v>
          </cell>
          <cell r="G39">
            <v>101257</v>
          </cell>
        </row>
        <row r="40">
          <cell r="B40">
            <v>610000004824</v>
          </cell>
          <cell r="C40">
            <v>348943</v>
          </cell>
          <cell r="D40" t="str">
            <v>PRO001</v>
          </cell>
          <cell r="F40" t="str">
            <v>610000004824 &amp; BC2-MI-ME</v>
          </cell>
          <cell r="G40">
            <v>101258</v>
          </cell>
        </row>
        <row r="41">
          <cell r="B41">
            <v>610000004825</v>
          </cell>
          <cell r="C41">
            <v>348944</v>
          </cell>
          <cell r="D41" t="str">
            <v>PRO001</v>
          </cell>
          <cell r="F41" t="str">
            <v>610000004825 &amp; BC2-HL-ME</v>
          </cell>
          <cell r="G41">
            <v>101259</v>
          </cell>
        </row>
        <row r="42">
          <cell r="B42">
            <v>610000004826</v>
          </cell>
          <cell r="C42">
            <v>348945</v>
          </cell>
          <cell r="D42" t="str">
            <v>PRO001</v>
          </cell>
          <cell r="F42" t="str">
            <v>610000004826 &amp; BC2-HR-ME</v>
          </cell>
          <cell r="G42">
            <v>101260</v>
          </cell>
        </row>
        <row r="43">
          <cell r="B43">
            <v>610000004827</v>
          </cell>
          <cell r="C43">
            <v>348946</v>
          </cell>
          <cell r="D43" t="str">
            <v>PRO001</v>
          </cell>
          <cell r="F43" t="str">
            <v>610000004827 &amp; BC3-FI-ME</v>
          </cell>
          <cell r="G43">
            <v>101261</v>
          </cell>
        </row>
        <row r="44">
          <cell r="B44">
            <v>610000004828</v>
          </cell>
          <cell r="C44">
            <v>348947</v>
          </cell>
          <cell r="D44" t="str">
            <v>PRO001</v>
          </cell>
          <cell r="F44" t="str">
            <v>610000004828 &amp; BC3-QC-ME</v>
          </cell>
          <cell r="G44">
            <v>101262</v>
          </cell>
        </row>
        <row r="45">
          <cell r="B45">
            <v>610000004829</v>
          </cell>
          <cell r="C45">
            <v>348948</v>
          </cell>
          <cell r="D45" t="str">
            <v>PRO001</v>
          </cell>
          <cell r="F45" t="str">
            <v>610000004829 &amp; BC3-ML-ME</v>
          </cell>
          <cell r="G45">
            <v>101263</v>
          </cell>
        </row>
        <row r="46">
          <cell r="B46">
            <v>610000004830</v>
          </cell>
          <cell r="C46">
            <v>348949</v>
          </cell>
          <cell r="D46" t="str">
            <v>PRO001</v>
          </cell>
          <cell r="F46" t="str">
            <v>610000004830 &amp; BC3-HL-ME</v>
          </cell>
          <cell r="G46">
            <v>101264</v>
          </cell>
        </row>
        <row r="47">
          <cell r="B47">
            <v>610000004831</v>
          </cell>
          <cell r="C47">
            <v>348950</v>
          </cell>
          <cell r="D47" t="str">
            <v>PRO001</v>
          </cell>
          <cell r="F47" t="str">
            <v>610000004831 &amp; BC4-FA-ME</v>
          </cell>
          <cell r="G47">
            <v>101265</v>
          </cell>
        </row>
        <row r="48">
          <cell r="B48">
            <v>610000004832</v>
          </cell>
          <cell r="C48">
            <v>348951</v>
          </cell>
          <cell r="D48" t="str">
            <v>PRO001</v>
          </cell>
          <cell r="F48" t="str">
            <v>610000004832 &amp; BC4-FI-ME</v>
          </cell>
          <cell r="G48">
            <v>101266</v>
          </cell>
        </row>
        <row r="49">
          <cell r="B49">
            <v>610000004833</v>
          </cell>
          <cell r="C49">
            <v>348952</v>
          </cell>
          <cell r="D49" t="str">
            <v>PRO001</v>
          </cell>
          <cell r="F49" t="str">
            <v>610000004833 &amp; BC4-FL-ME</v>
          </cell>
          <cell r="G49">
            <v>101267</v>
          </cell>
        </row>
        <row r="50">
          <cell r="B50">
            <v>610000004834</v>
          </cell>
          <cell r="C50">
            <v>348953</v>
          </cell>
          <cell r="D50" t="str">
            <v>PRO001</v>
          </cell>
          <cell r="F50" t="str">
            <v>610000004834 &amp; BC4-HL-ME</v>
          </cell>
          <cell r="G50">
            <v>101268</v>
          </cell>
        </row>
        <row r="51">
          <cell r="B51">
            <v>610000004855</v>
          </cell>
          <cell r="C51">
            <v>348954</v>
          </cell>
          <cell r="D51" t="str">
            <v>PRO002</v>
          </cell>
          <cell r="F51" t="str">
            <v>610000004855 &amp; BC3-NR-EE</v>
          </cell>
          <cell r="G51">
            <v>101289</v>
          </cell>
        </row>
        <row r="52">
          <cell r="B52">
            <v>610000004856</v>
          </cell>
          <cell r="C52">
            <v>348955</v>
          </cell>
          <cell r="D52" t="str">
            <v>PRO002</v>
          </cell>
          <cell r="F52" t="str">
            <v>610000004856 &amp; BC3-HCB-EE</v>
          </cell>
          <cell r="G52">
            <v>101290</v>
          </cell>
        </row>
        <row r="53">
          <cell r="B53">
            <v>610000004857</v>
          </cell>
          <cell r="C53">
            <v>348956</v>
          </cell>
          <cell r="D53" t="str">
            <v>PRO002</v>
          </cell>
          <cell r="F53" t="str">
            <v>610000004857 &amp; BC4-FI-EE</v>
          </cell>
          <cell r="G53">
            <v>101291</v>
          </cell>
        </row>
        <row r="54">
          <cell r="B54">
            <v>610000004858</v>
          </cell>
          <cell r="C54">
            <v>348957</v>
          </cell>
          <cell r="D54" t="str">
            <v>PRO002</v>
          </cell>
          <cell r="F54" t="str">
            <v>610000004858 &amp; BC4-MC-EE</v>
          </cell>
          <cell r="G54">
            <v>101292</v>
          </cell>
        </row>
        <row r="55">
          <cell r="B55">
            <v>610000004859</v>
          </cell>
          <cell r="C55">
            <v>348958</v>
          </cell>
          <cell r="D55" t="str">
            <v>PRO002</v>
          </cell>
          <cell r="F55" t="str">
            <v>610000004859 &amp; BC4-MI-EE</v>
          </cell>
          <cell r="G55">
            <v>101293</v>
          </cell>
        </row>
        <row r="56">
          <cell r="B56">
            <v>610000004860</v>
          </cell>
          <cell r="C56">
            <v>348959</v>
          </cell>
          <cell r="D56" t="str">
            <v>PRO002</v>
          </cell>
          <cell r="F56" t="str">
            <v>610000004860 &amp; BC4-NC-EE</v>
          </cell>
          <cell r="G56">
            <v>101294</v>
          </cell>
        </row>
        <row r="57">
          <cell r="B57">
            <v>610000004861</v>
          </cell>
          <cell r="C57">
            <v>348960</v>
          </cell>
          <cell r="D57" t="str">
            <v>PRO002</v>
          </cell>
          <cell r="F57" t="str">
            <v>610000004861 &amp; BC4-YCB-EE</v>
          </cell>
          <cell r="G57">
            <v>101295</v>
          </cell>
        </row>
        <row r="58">
          <cell r="B58">
            <v>610000004862</v>
          </cell>
          <cell r="C58">
            <v>348961</v>
          </cell>
          <cell r="D58" t="str">
            <v>PRO002</v>
          </cell>
          <cell r="F58" t="str">
            <v>610000004862 &amp; BC5-FI-EE</v>
          </cell>
          <cell r="G58">
            <v>101296</v>
          </cell>
        </row>
        <row r="59">
          <cell r="B59">
            <v>610000004863</v>
          </cell>
          <cell r="C59">
            <v>348962</v>
          </cell>
          <cell r="D59" t="str">
            <v>PRO002</v>
          </cell>
          <cell r="F59" t="str">
            <v>610000004863 &amp; BC5-MC-EE</v>
          </cell>
          <cell r="G59">
            <v>101297</v>
          </cell>
        </row>
        <row r="60">
          <cell r="B60">
            <v>610000004864</v>
          </cell>
          <cell r="C60">
            <v>348963</v>
          </cell>
          <cell r="D60" t="str">
            <v>PRO002</v>
          </cell>
          <cell r="F60" t="str">
            <v>610000004864 &amp; BC5-MI-EE</v>
          </cell>
          <cell r="G60">
            <v>101298</v>
          </cell>
        </row>
        <row r="61">
          <cell r="B61">
            <v>610000004865</v>
          </cell>
          <cell r="C61">
            <v>348964</v>
          </cell>
          <cell r="D61" t="str">
            <v>PRO002</v>
          </cell>
          <cell r="F61" t="str">
            <v>610000004865 &amp; BC5-NC-EE</v>
          </cell>
          <cell r="G61">
            <v>101299</v>
          </cell>
        </row>
        <row r="62">
          <cell r="B62">
            <v>342106</v>
          </cell>
          <cell r="C62">
            <v>350278</v>
          </cell>
          <cell r="D62" t="str">
            <v>PRO001</v>
          </cell>
          <cell r="F62" t="str">
            <v>342106 &amp; BC0-HI-ME</v>
          </cell>
          <cell r="G62">
            <v>438</v>
          </cell>
        </row>
        <row r="63">
          <cell r="B63">
            <v>342281</v>
          </cell>
          <cell r="C63">
            <v>350431</v>
          </cell>
          <cell r="D63" t="str">
            <v>PRO002</v>
          </cell>
          <cell r="F63" t="str">
            <v>342281 &amp; BC3-FC-EE2</v>
          </cell>
          <cell r="G63">
            <v>458</v>
          </cell>
        </row>
        <row r="64">
          <cell r="B64">
            <v>342277</v>
          </cell>
          <cell r="C64">
            <v>350457</v>
          </cell>
          <cell r="D64" t="str">
            <v>PRO001</v>
          </cell>
          <cell r="F64" t="str">
            <v>342277 &amp; BC0-MI-ME</v>
          </cell>
          <cell r="G64">
            <v>463</v>
          </cell>
        </row>
        <row r="65">
          <cell r="B65">
            <v>342361</v>
          </cell>
          <cell r="C65">
            <v>350531</v>
          </cell>
          <cell r="D65" t="str">
            <v>PRO001</v>
          </cell>
          <cell r="F65" t="str">
            <v>342361 &amp; BC1-HI-ME</v>
          </cell>
          <cell r="G65">
            <v>503</v>
          </cell>
        </row>
        <row r="66">
          <cell r="B66">
            <v>342389</v>
          </cell>
          <cell r="C66">
            <v>350589</v>
          </cell>
          <cell r="D66" t="str">
            <v>PRO001</v>
          </cell>
          <cell r="F66" t="str">
            <v>342389 &amp; BC0-FI-ME2</v>
          </cell>
          <cell r="G66">
            <v>517</v>
          </cell>
        </row>
        <row r="67">
          <cell r="B67">
            <v>342390</v>
          </cell>
          <cell r="C67">
            <v>350590</v>
          </cell>
          <cell r="D67" t="str">
            <v>PRO001</v>
          </cell>
          <cell r="F67" t="str">
            <v>342390 &amp; BC0-FL-ME2</v>
          </cell>
          <cell r="G67">
            <v>518</v>
          </cell>
        </row>
        <row r="68">
          <cell r="B68">
            <v>342411</v>
          </cell>
          <cell r="C68">
            <v>350591</v>
          </cell>
          <cell r="D68" t="str">
            <v>PRO001</v>
          </cell>
          <cell r="F68" t="str">
            <v>342411 &amp; BC0-MI-ME2</v>
          </cell>
          <cell r="G68">
            <v>519</v>
          </cell>
        </row>
        <row r="69">
          <cell r="B69">
            <v>342412</v>
          </cell>
          <cell r="C69">
            <v>350592</v>
          </cell>
          <cell r="D69" t="str">
            <v>PRO001</v>
          </cell>
          <cell r="F69" t="str">
            <v>342412 &amp; BC0-HL-ME</v>
          </cell>
          <cell r="G69">
            <v>520</v>
          </cell>
        </row>
        <row r="70">
          <cell r="B70">
            <v>342852</v>
          </cell>
          <cell r="C70">
            <v>351202</v>
          </cell>
          <cell r="D70" t="str">
            <v>PRO002</v>
          </cell>
          <cell r="F70" t="str">
            <v>342852 &amp; BC3-HCB-EE</v>
          </cell>
          <cell r="G70">
            <v>101290</v>
          </cell>
        </row>
        <row r="71">
          <cell r="B71">
            <v>343334</v>
          </cell>
          <cell r="C71">
            <v>351764</v>
          </cell>
          <cell r="D71" t="str">
            <v>PRO001</v>
          </cell>
          <cell r="F71" t="str">
            <v>343334 &amp; BC0-MC-ME</v>
          </cell>
          <cell r="G71">
            <v>714</v>
          </cell>
        </row>
        <row r="72">
          <cell r="B72">
            <v>344489</v>
          </cell>
          <cell r="C72">
            <v>353229</v>
          </cell>
          <cell r="D72" t="str">
            <v>PRO001</v>
          </cell>
          <cell r="F72" t="str">
            <v>344489 &amp; BC0-HC-ME</v>
          </cell>
          <cell r="G72">
            <v>816</v>
          </cell>
        </row>
        <row r="73">
          <cell r="B73">
            <v>351979</v>
          </cell>
          <cell r="C73">
            <v>364019</v>
          </cell>
          <cell r="D73" t="str">
            <v>PRO001</v>
          </cell>
          <cell r="F73" t="str">
            <v>351979 &amp; BC2-YR-ME</v>
          </cell>
          <cell r="G73">
            <v>1436</v>
          </cell>
        </row>
        <row r="74">
          <cell r="B74">
            <v>351980</v>
          </cell>
          <cell r="C74">
            <v>364020</v>
          </cell>
          <cell r="D74" t="str">
            <v>PRO001</v>
          </cell>
          <cell r="F74" t="str">
            <v>351980 &amp; BC4-QR-ME</v>
          </cell>
          <cell r="G74">
            <v>1437</v>
          </cell>
        </row>
        <row r="75">
          <cell r="B75">
            <v>355581</v>
          </cell>
          <cell r="C75">
            <v>368861</v>
          </cell>
          <cell r="D75" t="str">
            <v>PRO002</v>
          </cell>
          <cell r="F75" t="str">
            <v>355581 &amp; BC5-YI-EE</v>
          </cell>
          <cell r="G75">
            <v>1466</v>
          </cell>
        </row>
        <row r="76">
          <cell r="B76">
            <v>610000004727</v>
          </cell>
          <cell r="C76">
            <v>348791</v>
          </cell>
          <cell r="D76" t="str">
            <v>PRO001</v>
          </cell>
          <cell r="F76" t="str">
            <v>610000004727 &amp; FC0-FI-ME</v>
          </cell>
          <cell r="G76">
            <v>101161</v>
          </cell>
        </row>
        <row r="77">
          <cell r="B77">
            <v>610000004728</v>
          </cell>
          <cell r="C77">
            <v>348792</v>
          </cell>
          <cell r="D77" t="str">
            <v>PRO001</v>
          </cell>
          <cell r="F77" t="str">
            <v>610000004728 &amp; FC0-FL-ME</v>
          </cell>
          <cell r="G77">
            <v>101162</v>
          </cell>
        </row>
        <row r="78">
          <cell r="B78">
            <v>610000004729</v>
          </cell>
          <cell r="C78">
            <v>348793</v>
          </cell>
          <cell r="D78" t="str">
            <v>PRO001</v>
          </cell>
          <cell r="F78" t="str">
            <v>610000004729 &amp; FC1-FA-ME</v>
          </cell>
          <cell r="G78">
            <v>101163</v>
          </cell>
        </row>
        <row r="79">
          <cell r="B79">
            <v>610000004730</v>
          </cell>
          <cell r="C79">
            <v>348794</v>
          </cell>
          <cell r="D79" t="str">
            <v>PRO001</v>
          </cell>
          <cell r="F79" t="str">
            <v>610000004730 &amp; FC1-FI-ME</v>
          </cell>
          <cell r="G79">
            <v>101164</v>
          </cell>
        </row>
        <row r="80">
          <cell r="B80">
            <v>610000004731</v>
          </cell>
          <cell r="C80">
            <v>348795</v>
          </cell>
          <cell r="D80" t="str">
            <v>PRO001</v>
          </cell>
          <cell r="F80" t="str">
            <v>610000004731 &amp; FC1-FL-ME</v>
          </cell>
          <cell r="G80">
            <v>101165</v>
          </cell>
        </row>
        <row r="81">
          <cell r="B81">
            <v>610000004732</v>
          </cell>
          <cell r="C81">
            <v>348796</v>
          </cell>
          <cell r="D81" t="str">
            <v>PRO001</v>
          </cell>
          <cell r="F81" t="str">
            <v>610000004732 &amp; FC1-MI-ME</v>
          </cell>
          <cell r="G81">
            <v>101166</v>
          </cell>
        </row>
        <row r="82">
          <cell r="B82">
            <v>610000004733</v>
          </cell>
          <cell r="C82">
            <v>348797</v>
          </cell>
          <cell r="D82" t="str">
            <v>PRO001</v>
          </cell>
          <cell r="F82" t="str">
            <v>610000004733 &amp; FC1-ML-ME</v>
          </cell>
          <cell r="G82">
            <v>101167</v>
          </cell>
        </row>
        <row r="83">
          <cell r="B83">
            <v>610000004734</v>
          </cell>
          <cell r="C83">
            <v>348798</v>
          </cell>
          <cell r="D83" t="str">
            <v>PRO001</v>
          </cell>
          <cell r="F83" t="str">
            <v>610000004734 &amp; FC1-MV-ME</v>
          </cell>
          <cell r="G83">
            <v>101168</v>
          </cell>
        </row>
        <row r="84">
          <cell r="B84">
            <v>610000004735</v>
          </cell>
          <cell r="C84">
            <v>348799</v>
          </cell>
          <cell r="D84" t="str">
            <v>PRO001</v>
          </cell>
          <cell r="F84" t="str">
            <v>610000004735 &amp; FC1-QA-ME</v>
          </cell>
          <cell r="G84">
            <v>101169</v>
          </cell>
        </row>
        <row r="85">
          <cell r="B85">
            <v>610000004736</v>
          </cell>
          <cell r="C85">
            <v>348800</v>
          </cell>
          <cell r="D85" t="str">
            <v>PRO001</v>
          </cell>
          <cell r="F85" t="str">
            <v>610000004736 &amp; FC1-HL-ME</v>
          </cell>
          <cell r="G85">
            <v>101170</v>
          </cell>
        </row>
        <row r="86">
          <cell r="B86">
            <v>610000004737</v>
          </cell>
          <cell r="C86">
            <v>348801</v>
          </cell>
          <cell r="D86" t="str">
            <v>PRO001</v>
          </cell>
          <cell r="F86" t="str">
            <v>610000004737 &amp; FC2-FI-ME</v>
          </cell>
          <cell r="G86">
            <v>101171</v>
          </cell>
        </row>
        <row r="87">
          <cell r="B87">
            <v>610000004738</v>
          </cell>
          <cell r="C87">
            <v>348802</v>
          </cell>
          <cell r="D87" t="str">
            <v>PRO001</v>
          </cell>
          <cell r="F87" t="str">
            <v>610000004738 &amp; FC2-FL-ME</v>
          </cell>
          <cell r="G87">
            <v>101172</v>
          </cell>
        </row>
        <row r="88">
          <cell r="B88">
            <v>610000004758</v>
          </cell>
          <cell r="C88">
            <v>348803</v>
          </cell>
          <cell r="D88" t="str">
            <v>PRO001</v>
          </cell>
          <cell r="F88" t="str">
            <v>610000004758 &amp; FC7-FA-ME</v>
          </cell>
          <cell r="G88">
            <v>101192</v>
          </cell>
        </row>
        <row r="89">
          <cell r="B89">
            <v>610000004759</v>
          </cell>
          <cell r="C89">
            <v>348804</v>
          </cell>
          <cell r="D89" t="str">
            <v>PRO001</v>
          </cell>
          <cell r="F89" t="str">
            <v>610000004759 &amp; FC7-FI-ME</v>
          </cell>
          <cell r="G89">
            <v>101193</v>
          </cell>
        </row>
        <row r="90">
          <cell r="B90">
            <v>610000004760</v>
          </cell>
          <cell r="C90">
            <v>348805</v>
          </cell>
          <cell r="D90" t="str">
            <v>PRO001</v>
          </cell>
          <cell r="F90" t="str">
            <v>610000004760 &amp; FC7-FL-ME</v>
          </cell>
          <cell r="G90">
            <v>101194</v>
          </cell>
        </row>
        <row r="91">
          <cell r="B91">
            <v>610000004761</v>
          </cell>
          <cell r="C91">
            <v>348806</v>
          </cell>
          <cell r="D91" t="str">
            <v>PRO001</v>
          </cell>
          <cell r="F91" t="str">
            <v>610000004761 &amp; FC7-HL-ME</v>
          </cell>
          <cell r="G91">
            <v>101195</v>
          </cell>
        </row>
        <row r="92">
          <cell r="B92">
            <v>610000004762</v>
          </cell>
          <cell r="C92">
            <v>348807</v>
          </cell>
          <cell r="D92" t="str">
            <v>PRO001</v>
          </cell>
          <cell r="F92" t="str">
            <v>610000004762 &amp; FC8-FL-ME</v>
          </cell>
          <cell r="G92">
            <v>101196</v>
          </cell>
        </row>
        <row r="93">
          <cell r="B93">
            <v>610000004763</v>
          </cell>
          <cell r="C93">
            <v>348808</v>
          </cell>
          <cell r="D93" t="str">
            <v>PRO001</v>
          </cell>
          <cell r="F93" t="str">
            <v>610000004763 &amp; FC8-HL-ME</v>
          </cell>
          <cell r="G93">
            <v>101197</v>
          </cell>
        </row>
        <row r="94">
          <cell r="B94">
            <v>610000004764</v>
          </cell>
          <cell r="C94">
            <v>348809</v>
          </cell>
          <cell r="D94" t="str">
            <v>PRO002</v>
          </cell>
          <cell r="F94" t="str">
            <v>610000004764 &amp; FC0-FI-EE</v>
          </cell>
          <cell r="G94">
            <v>101198</v>
          </cell>
        </row>
        <row r="95">
          <cell r="B95">
            <v>610000004765</v>
          </cell>
          <cell r="C95">
            <v>348810</v>
          </cell>
          <cell r="D95" t="str">
            <v>PRO002</v>
          </cell>
          <cell r="F95" t="str">
            <v>610000004765 &amp; FC0-MI-EE</v>
          </cell>
          <cell r="G95">
            <v>101199</v>
          </cell>
        </row>
        <row r="96">
          <cell r="B96">
            <v>610000004766</v>
          </cell>
          <cell r="C96">
            <v>348811</v>
          </cell>
          <cell r="D96" t="str">
            <v>PRO002</v>
          </cell>
          <cell r="F96" t="str">
            <v>610000004766 &amp; FC0-MI-EE2</v>
          </cell>
          <cell r="G96">
            <v>101200</v>
          </cell>
        </row>
        <row r="97">
          <cell r="B97">
            <v>610000004767</v>
          </cell>
          <cell r="C97">
            <v>348812</v>
          </cell>
          <cell r="D97" t="str">
            <v>PRO002</v>
          </cell>
          <cell r="F97" t="str">
            <v>610000004767 &amp; FC0-MC-EE</v>
          </cell>
          <cell r="G97">
            <v>101201</v>
          </cell>
        </row>
        <row r="98">
          <cell r="B98">
            <v>610000004768</v>
          </cell>
          <cell r="C98">
            <v>348813</v>
          </cell>
          <cell r="D98" t="str">
            <v>PRO002</v>
          </cell>
          <cell r="F98" t="str">
            <v>610000004768 &amp; FC0-NC-EE</v>
          </cell>
          <cell r="G98">
            <v>101202</v>
          </cell>
        </row>
        <row r="99">
          <cell r="B99">
            <v>610000004769</v>
          </cell>
          <cell r="C99">
            <v>348814</v>
          </cell>
          <cell r="D99" t="str">
            <v>PRO002</v>
          </cell>
          <cell r="F99" t="str">
            <v>610000004769 &amp; FC1-FI-EE</v>
          </cell>
          <cell r="G99">
            <v>101203</v>
          </cell>
        </row>
        <row r="100">
          <cell r="B100">
            <v>610000004770</v>
          </cell>
          <cell r="C100">
            <v>348815</v>
          </cell>
          <cell r="D100" t="str">
            <v>PRO002</v>
          </cell>
          <cell r="F100" t="str">
            <v>610000004770 &amp; FC1-MI-EE</v>
          </cell>
          <cell r="G100">
            <v>101204</v>
          </cell>
        </row>
        <row r="101">
          <cell r="B101">
            <v>610000004771</v>
          </cell>
          <cell r="C101">
            <v>348816</v>
          </cell>
          <cell r="D101" t="str">
            <v>PRO002</v>
          </cell>
          <cell r="F101" t="str">
            <v>610000004771 &amp; FC1-NC-EE</v>
          </cell>
          <cell r="G101">
            <v>101205</v>
          </cell>
        </row>
        <row r="102">
          <cell r="B102">
            <v>610000004772</v>
          </cell>
          <cell r="C102">
            <v>348817</v>
          </cell>
          <cell r="D102" t="str">
            <v>PRO002</v>
          </cell>
          <cell r="F102" t="str">
            <v>610000004772 &amp; FC1-NC-EE2</v>
          </cell>
          <cell r="G102">
            <v>101206</v>
          </cell>
        </row>
        <row r="103">
          <cell r="B103">
            <v>610000004773</v>
          </cell>
          <cell r="C103">
            <v>348818</v>
          </cell>
          <cell r="D103" t="str">
            <v>PRO002</v>
          </cell>
          <cell r="F103" t="str">
            <v>610000004773 &amp; FC1-NR-EE</v>
          </cell>
          <cell r="G103">
            <v>101207</v>
          </cell>
        </row>
        <row r="104">
          <cell r="B104">
            <v>610000004774</v>
          </cell>
          <cell r="C104">
            <v>348819</v>
          </cell>
          <cell r="D104" t="str">
            <v>PRO002</v>
          </cell>
          <cell r="F104" t="str">
            <v>610000004774 &amp; FC2-FI-EE</v>
          </cell>
          <cell r="G104">
            <v>101208</v>
          </cell>
        </row>
        <row r="105">
          <cell r="B105">
            <v>610000004775</v>
          </cell>
          <cell r="C105">
            <v>348820</v>
          </cell>
          <cell r="D105" t="str">
            <v>PRO002</v>
          </cell>
          <cell r="F105" t="str">
            <v>610000004775 &amp; FC2-MC-EE</v>
          </cell>
          <cell r="G105">
            <v>101209</v>
          </cell>
        </row>
        <row r="106">
          <cell r="B106">
            <v>610000004776</v>
          </cell>
          <cell r="C106">
            <v>348821</v>
          </cell>
          <cell r="D106" t="str">
            <v>PRO002</v>
          </cell>
          <cell r="F106" t="str">
            <v>610000004776 &amp; FC2-MI-EE</v>
          </cell>
          <cell r="G106">
            <v>101210</v>
          </cell>
        </row>
        <row r="107">
          <cell r="B107">
            <v>610000004796</v>
          </cell>
          <cell r="C107">
            <v>348822</v>
          </cell>
          <cell r="D107" t="str">
            <v>PRO002</v>
          </cell>
          <cell r="F107" t="str">
            <v>610000004796 &amp; FC6-FI-EE</v>
          </cell>
          <cell r="G107">
            <v>101230</v>
          </cell>
        </row>
        <row r="108">
          <cell r="B108">
            <v>610000004797</v>
          </cell>
          <cell r="C108">
            <v>348823</v>
          </cell>
          <cell r="D108" t="str">
            <v>PRO002</v>
          </cell>
          <cell r="F108" t="str">
            <v>610000004797 &amp; FC6-MI-EE</v>
          </cell>
          <cell r="G108">
            <v>101231</v>
          </cell>
        </row>
        <row r="109">
          <cell r="B109">
            <v>610000004798</v>
          </cell>
          <cell r="C109">
            <v>348824</v>
          </cell>
          <cell r="D109" t="str">
            <v>PRO002</v>
          </cell>
          <cell r="F109" t="str">
            <v>610000004798 &amp; FC6-MC-EE</v>
          </cell>
          <cell r="G109">
            <v>101232</v>
          </cell>
        </row>
        <row r="110">
          <cell r="B110">
            <v>610000004799</v>
          </cell>
          <cell r="C110">
            <v>348825</v>
          </cell>
          <cell r="D110" t="str">
            <v>PRO002</v>
          </cell>
          <cell r="F110" t="str">
            <v>610000004799 &amp; FC6-NC-EE</v>
          </cell>
          <cell r="G110">
            <v>101233</v>
          </cell>
        </row>
        <row r="111">
          <cell r="B111">
            <v>610000004800</v>
          </cell>
          <cell r="C111">
            <v>348826</v>
          </cell>
          <cell r="D111" t="str">
            <v>PRO002</v>
          </cell>
          <cell r="F111" t="str">
            <v>610000004800 &amp; FC7-FI-EE</v>
          </cell>
          <cell r="G111">
            <v>101234</v>
          </cell>
        </row>
        <row r="112">
          <cell r="B112">
            <v>610000004801</v>
          </cell>
          <cell r="C112">
            <v>348827</v>
          </cell>
          <cell r="D112" t="str">
            <v>PRO002</v>
          </cell>
          <cell r="F112" t="str">
            <v>610000004801 &amp; FC7-MC-EE</v>
          </cell>
          <cell r="G112">
            <v>101235</v>
          </cell>
        </row>
        <row r="113">
          <cell r="B113">
            <v>610000004802</v>
          </cell>
          <cell r="C113">
            <v>348828</v>
          </cell>
          <cell r="D113" t="str">
            <v>PRO002</v>
          </cell>
          <cell r="F113" t="str">
            <v>610000004802 &amp; FC7-MI-EE</v>
          </cell>
          <cell r="G113">
            <v>101236</v>
          </cell>
        </row>
        <row r="114">
          <cell r="B114">
            <v>610000004803</v>
          </cell>
          <cell r="C114">
            <v>348829</v>
          </cell>
          <cell r="D114" t="str">
            <v>PRO002</v>
          </cell>
          <cell r="F114" t="str">
            <v>610000004803 &amp; FC7-NC-EE</v>
          </cell>
          <cell r="G114">
            <v>101237</v>
          </cell>
        </row>
        <row r="115">
          <cell r="B115">
            <v>610000004804</v>
          </cell>
          <cell r="C115">
            <v>348830</v>
          </cell>
          <cell r="D115" t="str">
            <v>PRO002</v>
          </cell>
          <cell r="F115" t="str">
            <v>610000004804 &amp; FC7-YCB-EE</v>
          </cell>
          <cell r="G115">
            <v>101238</v>
          </cell>
        </row>
        <row r="116">
          <cell r="B116">
            <v>610000004805</v>
          </cell>
          <cell r="C116">
            <v>348831</v>
          </cell>
          <cell r="D116" t="str">
            <v>PRO002</v>
          </cell>
          <cell r="F116" t="str">
            <v>610000004805 &amp; FC8-FI-EE</v>
          </cell>
          <cell r="G116">
            <v>101239</v>
          </cell>
        </row>
        <row r="117">
          <cell r="B117">
            <v>610000004806</v>
          </cell>
          <cell r="C117">
            <v>348832</v>
          </cell>
          <cell r="D117" t="str">
            <v>PRO002</v>
          </cell>
          <cell r="F117" t="str">
            <v>610000004806 &amp; FC8-MC-EE</v>
          </cell>
          <cell r="G117">
            <v>101240</v>
          </cell>
        </row>
        <row r="118">
          <cell r="B118">
            <v>610000004807</v>
          </cell>
          <cell r="C118">
            <v>348833</v>
          </cell>
          <cell r="D118" t="str">
            <v>PRO002</v>
          </cell>
          <cell r="F118" t="str">
            <v>610000004807 &amp; FC8-MI-EE</v>
          </cell>
          <cell r="G118">
            <v>101241</v>
          </cell>
        </row>
        <row r="119">
          <cell r="B119">
            <v>610000004808</v>
          </cell>
          <cell r="C119">
            <v>348834</v>
          </cell>
          <cell r="D119" t="str">
            <v>PRO002</v>
          </cell>
          <cell r="F119" t="str">
            <v>610000004808 &amp; FC8-NC-EE</v>
          </cell>
          <cell r="G119">
            <v>101242</v>
          </cell>
        </row>
        <row r="120">
          <cell r="B120">
            <v>610000004739</v>
          </cell>
          <cell r="C120">
            <v>348896</v>
          </cell>
          <cell r="D120" t="str">
            <v>PRO001</v>
          </cell>
          <cell r="F120" t="str">
            <v>610000004739 &amp; FC2-MI-ME</v>
          </cell>
          <cell r="G120">
            <v>101173</v>
          </cell>
        </row>
        <row r="121">
          <cell r="B121">
            <v>610000004740</v>
          </cell>
          <cell r="C121">
            <v>348897</v>
          </cell>
          <cell r="D121" t="str">
            <v>PRO001</v>
          </cell>
          <cell r="F121" t="str">
            <v>610000004740 &amp; FC2-HL-ME</v>
          </cell>
          <cell r="G121">
            <v>101174</v>
          </cell>
        </row>
        <row r="122">
          <cell r="B122">
            <v>610000004741</v>
          </cell>
          <cell r="C122">
            <v>348898</v>
          </cell>
          <cell r="D122" t="str">
            <v>PRO001</v>
          </cell>
          <cell r="F122" t="str">
            <v>610000004741 &amp; FC3-FC-ME</v>
          </cell>
          <cell r="G122">
            <v>101175</v>
          </cell>
        </row>
        <row r="123">
          <cell r="B123">
            <v>610000004742</v>
          </cell>
          <cell r="C123">
            <v>348899</v>
          </cell>
          <cell r="D123" t="str">
            <v>PRO001</v>
          </cell>
          <cell r="F123" t="str">
            <v>610000004742 &amp; FC3-FI-ME</v>
          </cell>
          <cell r="G123">
            <v>101176</v>
          </cell>
        </row>
        <row r="124">
          <cell r="B124">
            <v>610000004743</v>
          </cell>
          <cell r="C124">
            <v>348900</v>
          </cell>
          <cell r="D124" t="str">
            <v>PRO001</v>
          </cell>
          <cell r="F124" t="str">
            <v>610000004743 &amp; FC3-FL-ME</v>
          </cell>
          <cell r="G124">
            <v>101177</v>
          </cell>
        </row>
        <row r="125">
          <cell r="B125">
            <v>610000004744</v>
          </cell>
          <cell r="C125">
            <v>348901</v>
          </cell>
          <cell r="D125" t="str">
            <v>PRO001</v>
          </cell>
          <cell r="F125" t="str">
            <v>610000004744 &amp; FC3-HL-ME</v>
          </cell>
          <cell r="G125">
            <v>101178</v>
          </cell>
        </row>
        <row r="126">
          <cell r="B126">
            <v>610000004745</v>
          </cell>
          <cell r="C126">
            <v>348902</v>
          </cell>
          <cell r="D126" t="str">
            <v>PRO001</v>
          </cell>
          <cell r="F126" t="str">
            <v>610000004745 &amp; FC4-FI-ME</v>
          </cell>
          <cell r="G126">
            <v>101179</v>
          </cell>
        </row>
        <row r="127">
          <cell r="B127">
            <v>610000004746</v>
          </cell>
          <cell r="C127">
            <v>348903</v>
          </cell>
          <cell r="D127" t="str">
            <v>PRO001</v>
          </cell>
          <cell r="F127" t="str">
            <v>610000004746 &amp; FC4-FL-ME</v>
          </cell>
          <cell r="G127">
            <v>101180</v>
          </cell>
        </row>
        <row r="128">
          <cell r="B128">
            <v>610000004747</v>
          </cell>
          <cell r="C128">
            <v>348904</v>
          </cell>
          <cell r="D128" t="str">
            <v>PRO001</v>
          </cell>
          <cell r="F128" t="str">
            <v>610000004747 &amp; FC4-ML-ME</v>
          </cell>
          <cell r="G128">
            <v>101181</v>
          </cell>
        </row>
        <row r="129">
          <cell r="B129">
            <v>610000004748</v>
          </cell>
          <cell r="C129">
            <v>348905</v>
          </cell>
          <cell r="D129" t="str">
            <v>PRO001</v>
          </cell>
          <cell r="F129" t="str">
            <v>610000004748 &amp; FC4-HL-ME</v>
          </cell>
          <cell r="G129">
            <v>101182</v>
          </cell>
        </row>
        <row r="130">
          <cell r="B130">
            <v>610000004749</v>
          </cell>
          <cell r="C130">
            <v>348906</v>
          </cell>
          <cell r="D130" t="str">
            <v>PRO001</v>
          </cell>
          <cell r="F130" t="str">
            <v>610000004749 &amp; FC4-HR-ME</v>
          </cell>
          <cell r="G130">
            <v>101183</v>
          </cell>
        </row>
        <row r="131">
          <cell r="B131">
            <v>610000004750</v>
          </cell>
          <cell r="C131">
            <v>348907</v>
          </cell>
          <cell r="D131" t="str">
            <v>PRO001</v>
          </cell>
          <cell r="F131" t="str">
            <v>610000004750 &amp; FC5-FC-ME</v>
          </cell>
          <cell r="G131">
            <v>101184</v>
          </cell>
        </row>
        <row r="132">
          <cell r="B132">
            <v>610000004751</v>
          </cell>
          <cell r="C132">
            <v>348908</v>
          </cell>
          <cell r="D132" t="str">
            <v>PRO001</v>
          </cell>
          <cell r="F132" t="str">
            <v>610000004751 &amp; FC5-FI-ME</v>
          </cell>
          <cell r="G132">
            <v>101185</v>
          </cell>
        </row>
        <row r="133">
          <cell r="B133">
            <v>610000004752</v>
          </cell>
          <cell r="C133">
            <v>348909</v>
          </cell>
          <cell r="D133" t="str">
            <v>PRO001</v>
          </cell>
          <cell r="F133" t="str">
            <v>610000004752 &amp; FC5-FL-ME</v>
          </cell>
          <cell r="G133">
            <v>101186</v>
          </cell>
        </row>
        <row r="134">
          <cell r="B134">
            <v>610000004753</v>
          </cell>
          <cell r="C134">
            <v>348910</v>
          </cell>
          <cell r="D134" t="str">
            <v>PRO001</v>
          </cell>
          <cell r="F134" t="str">
            <v>610000004753 &amp; FC5-MV-ME</v>
          </cell>
          <cell r="G134">
            <v>101187</v>
          </cell>
        </row>
        <row r="135">
          <cell r="B135">
            <v>610000004754</v>
          </cell>
          <cell r="C135">
            <v>348911</v>
          </cell>
          <cell r="D135" t="str">
            <v>PRO001</v>
          </cell>
          <cell r="F135" t="str">
            <v>610000004754 &amp; FC5-HL-ME</v>
          </cell>
          <cell r="G135">
            <v>101188</v>
          </cell>
        </row>
        <row r="136">
          <cell r="B136">
            <v>610000004755</v>
          </cell>
          <cell r="C136">
            <v>348912</v>
          </cell>
          <cell r="D136" t="str">
            <v>PRO001</v>
          </cell>
          <cell r="F136" t="str">
            <v>610000004755 &amp; FC6-FC-ME</v>
          </cell>
          <cell r="G136">
            <v>101189</v>
          </cell>
        </row>
        <row r="137">
          <cell r="B137">
            <v>610000004756</v>
          </cell>
          <cell r="C137">
            <v>348913</v>
          </cell>
          <cell r="D137" t="str">
            <v>PRO001</v>
          </cell>
          <cell r="F137" t="str">
            <v>610000004756 &amp; FC6-FI-ME</v>
          </cell>
          <cell r="G137">
            <v>101190</v>
          </cell>
        </row>
        <row r="138">
          <cell r="B138">
            <v>610000004757</v>
          </cell>
          <cell r="C138">
            <v>348914</v>
          </cell>
          <cell r="D138" t="str">
            <v>PRO001</v>
          </cell>
          <cell r="F138" t="str">
            <v>610000004757 &amp; FC6-FL-ME</v>
          </cell>
          <cell r="G138">
            <v>101191</v>
          </cell>
        </row>
        <row r="139">
          <cell r="B139">
            <v>610000004777</v>
          </cell>
          <cell r="C139">
            <v>348915</v>
          </cell>
          <cell r="D139" t="str">
            <v>PRO002</v>
          </cell>
          <cell r="F139" t="str">
            <v>610000004777 &amp; FC2-NC-EE</v>
          </cell>
          <cell r="G139">
            <v>101211</v>
          </cell>
        </row>
        <row r="140">
          <cell r="B140">
            <v>610000004778</v>
          </cell>
          <cell r="C140">
            <v>348916</v>
          </cell>
          <cell r="D140" t="str">
            <v>PRO002</v>
          </cell>
          <cell r="F140" t="str">
            <v>610000004778 &amp; FC3-WC-EE</v>
          </cell>
          <cell r="G140">
            <v>101212</v>
          </cell>
        </row>
        <row r="141">
          <cell r="B141">
            <v>610000004779</v>
          </cell>
          <cell r="C141">
            <v>348917</v>
          </cell>
          <cell r="D141" t="str">
            <v>PRO002</v>
          </cell>
          <cell r="F141" t="str">
            <v>610000004779 &amp; FC3-FI-EE</v>
          </cell>
          <cell r="G141">
            <v>101213</v>
          </cell>
        </row>
        <row r="142">
          <cell r="B142">
            <v>610000004780</v>
          </cell>
          <cell r="C142">
            <v>348918</v>
          </cell>
          <cell r="D142" t="str">
            <v>PRO002</v>
          </cell>
          <cell r="F142" t="str">
            <v>610000004780 &amp; FC3-MI-EE</v>
          </cell>
          <cell r="G142">
            <v>101214</v>
          </cell>
        </row>
        <row r="143">
          <cell r="B143">
            <v>610000004781</v>
          </cell>
          <cell r="C143">
            <v>348919</v>
          </cell>
          <cell r="D143" t="str">
            <v>PRO002</v>
          </cell>
          <cell r="F143" t="str">
            <v>610000004781 &amp; FC3-MI-EE2</v>
          </cell>
          <cell r="G143">
            <v>101215</v>
          </cell>
        </row>
        <row r="144">
          <cell r="B144">
            <v>610000004782</v>
          </cell>
          <cell r="C144">
            <v>348920</v>
          </cell>
          <cell r="D144" t="str">
            <v>PRO002</v>
          </cell>
          <cell r="F144" t="str">
            <v>610000004782 &amp; FC3-MC-EE</v>
          </cell>
          <cell r="G144">
            <v>101216</v>
          </cell>
        </row>
        <row r="145">
          <cell r="B145">
            <v>610000004783</v>
          </cell>
          <cell r="C145">
            <v>348921</v>
          </cell>
          <cell r="D145" t="str">
            <v>PRO002</v>
          </cell>
          <cell r="F145" t="str">
            <v>610000004783 &amp; FC3-NC-EE</v>
          </cell>
          <cell r="G145">
            <v>101217</v>
          </cell>
        </row>
        <row r="146">
          <cell r="B146">
            <v>610000004784</v>
          </cell>
          <cell r="C146">
            <v>348922</v>
          </cell>
          <cell r="D146" t="str">
            <v>PRO002</v>
          </cell>
          <cell r="F146" t="str">
            <v>610000004784 &amp; FC3-NC-EE2</v>
          </cell>
          <cell r="G146">
            <v>101218</v>
          </cell>
        </row>
        <row r="147">
          <cell r="B147">
            <v>610000004785</v>
          </cell>
          <cell r="C147">
            <v>348923</v>
          </cell>
          <cell r="D147" t="str">
            <v>PRO002</v>
          </cell>
          <cell r="F147" t="str">
            <v>610000004785 &amp; FC3-NR-EE</v>
          </cell>
          <cell r="G147">
            <v>101219</v>
          </cell>
        </row>
        <row r="148">
          <cell r="B148">
            <v>610000004786</v>
          </cell>
          <cell r="C148">
            <v>348924</v>
          </cell>
          <cell r="D148" t="str">
            <v>PRO002</v>
          </cell>
          <cell r="F148" t="str">
            <v>610000004786 &amp; FC3-HCB-EE</v>
          </cell>
          <cell r="G148">
            <v>101220</v>
          </cell>
        </row>
        <row r="149">
          <cell r="B149">
            <v>610000004787</v>
          </cell>
          <cell r="C149">
            <v>348925</v>
          </cell>
          <cell r="D149" t="str">
            <v>PRO002</v>
          </cell>
          <cell r="F149" t="str">
            <v>610000004787 &amp; FC4-FI-EE</v>
          </cell>
          <cell r="G149">
            <v>101221</v>
          </cell>
        </row>
        <row r="150">
          <cell r="B150">
            <v>610000004788</v>
          </cell>
          <cell r="C150">
            <v>348926</v>
          </cell>
          <cell r="D150" t="str">
            <v>PRO002</v>
          </cell>
          <cell r="F150" t="str">
            <v>610000004788 &amp; FC4-MI-EE</v>
          </cell>
          <cell r="G150">
            <v>101222</v>
          </cell>
        </row>
        <row r="151">
          <cell r="B151">
            <v>610000004789</v>
          </cell>
          <cell r="C151">
            <v>348927</v>
          </cell>
          <cell r="D151" t="str">
            <v>PRO002</v>
          </cell>
          <cell r="F151" t="str">
            <v>610000004789 &amp; FC4-NC-EE</v>
          </cell>
          <cell r="G151">
            <v>101223</v>
          </cell>
        </row>
        <row r="152">
          <cell r="B152">
            <v>610000004790</v>
          </cell>
          <cell r="C152">
            <v>348928</v>
          </cell>
          <cell r="D152" t="str">
            <v>PRO002</v>
          </cell>
          <cell r="F152" t="str">
            <v>610000004790 &amp; FC5-WC-EE</v>
          </cell>
          <cell r="G152">
            <v>101224</v>
          </cell>
        </row>
        <row r="153">
          <cell r="B153">
            <v>610000004791</v>
          </cell>
          <cell r="C153">
            <v>348929</v>
          </cell>
          <cell r="D153" t="str">
            <v>PRO002</v>
          </cell>
          <cell r="F153" t="str">
            <v>610000004791 &amp; FC5-FI-EE</v>
          </cell>
          <cell r="G153">
            <v>101225</v>
          </cell>
        </row>
        <row r="154">
          <cell r="B154">
            <v>610000004792</v>
          </cell>
          <cell r="C154">
            <v>348930</v>
          </cell>
          <cell r="D154" t="str">
            <v>PRO002</v>
          </cell>
          <cell r="F154" t="str">
            <v>610000004792 &amp; FC5-MI-EE</v>
          </cell>
          <cell r="G154">
            <v>101226</v>
          </cell>
        </row>
        <row r="155">
          <cell r="B155">
            <v>610000004793</v>
          </cell>
          <cell r="C155">
            <v>348931</v>
          </cell>
          <cell r="D155" t="str">
            <v>PRO002</v>
          </cell>
          <cell r="F155" t="str">
            <v>610000004793 &amp; FC5-MI-EE2</v>
          </cell>
          <cell r="G155">
            <v>101227</v>
          </cell>
        </row>
        <row r="156">
          <cell r="B156">
            <v>610000004794</v>
          </cell>
          <cell r="C156">
            <v>348932</v>
          </cell>
          <cell r="D156" t="str">
            <v>PRO002</v>
          </cell>
          <cell r="F156" t="str">
            <v>610000004794 &amp; FC5-NC-EE</v>
          </cell>
          <cell r="G156">
            <v>101228</v>
          </cell>
        </row>
        <row r="157">
          <cell r="B157">
            <v>610000004795</v>
          </cell>
          <cell r="C157">
            <v>348933</v>
          </cell>
          <cell r="D157" t="str">
            <v>PRO002</v>
          </cell>
          <cell r="F157" t="str">
            <v>610000004795 &amp; FC5-HCB-EE</v>
          </cell>
          <cell r="G157">
            <v>101229</v>
          </cell>
        </row>
        <row r="158">
          <cell r="B158">
            <v>342260</v>
          </cell>
          <cell r="C158">
            <v>350430</v>
          </cell>
          <cell r="D158" t="str">
            <v>PRO002</v>
          </cell>
          <cell r="F158" t="str">
            <v>342260 &amp; FC3-FC-EE</v>
          </cell>
          <cell r="G158">
            <v>457</v>
          </cell>
        </row>
        <row r="159">
          <cell r="B159">
            <v>342286</v>
          </cell>
          <cell r="C159">
            <v>350436</v>
          </cell>
          <cell r="D159" t="str">
            <v>PRO002</v>
          </cell>
          <cell r="F159" t="str">
            <v>342286 &amp; FC5-HC-EE</v>
          </cell>
          <cell r="G159">
            <v>471</v>
          </cell>
        </row>
        <row r="160">
          <cell r="B160">
            <v>342271</v>
          </cell>
          <cell r="C160">
            <v>350451</v>
          </cell>
          <cell r="D160" t="str">
            <v>PRO002</v>
          </cell>
          <cell r="F160" t="str">
            <v>342271 &amp; FC5-FC-EE</v>
          </cell>
          <cell r="G160">
            <v>456</v>
          </cell>
        </row>
        <row r="161">
          <cell r="B161">
            <v>342278</v>
          </cell>
          <cell r="C161">
            <v>350458</v>
          </cell>
          <cell r="D161" t="str">
            <v>PRO001</v>
          </cell>
          <cell r="F161" t="str">
            <v>342278 &amp; FC0-MI-ME</v>
          </cell>
          <cell r="G161">
            <v>464</v>
          </cell>
        </row>
        <row r="162">
          <cell r="B162">
            <v>342726</v>
          </cell>
          <cell r="C162">
            <v>351076</v>
          </cell>
          <cell r="D162" t="str">
            <v>PRO002</v>
          </cell>
          <cell r="F162" t="str">
            <v>342726 &amp; FC6-HI-EE</v>
          </cell>
          <cell r="G162">
            <v>634</v>
          </cell>
        </row>
        <row r="163">
          <cell r="B163">
            <v>342727</v>
          </cell>
          <cell r="C163">
            <v>351077</v>
          </cell>
          <cell r="D163" t="str">
            <v>PRO002</v>
          </cell>
          <cell r="F163" t="str">
            <v>342727 &amp; FC6-YR-EE</v>
          </cell>
          <cell r="G163">
            <v>635</v>
          </cell>
        </row>
        <row r="164">
          <cell r="B164">
            <v>342841</v>
          </cell>
          <cell r="C164">
            <v>351181</v>
          </cell>
          <cell r="D164" t="str">
            <v>PRO002</v>
          </cell>
          <cell r="F164" t="str">
            <v>342841 &amp; FC3-HCB-EE</v>
          </cell>
          <cell r="G164">
            <v>101220</v>
          </cell>
        </row>
        <row r="165">
          <cell r="B165">
            <v>342851</v>
          </cell>
          <cell r="C165">
            <v>351201</v>
          </cell>
          <cell r="D165" t="str">
            <v>PRO002</v>
          </cell>
          <cell r="F165" t="str">
            <v>342851 &amp; FC5-HCB-EE</v>
          </cell>
          <cell r="G165">
            <v>101229</v>
          </cell>
        </row>
        <row r="166">
          <cell r="B166">
            <v>343335</v>
          </cell>
          <cell r="C166">
            <v>351765</v>
          </cell>
          <cell r="D166" t="str">
            <v>PRO001</v>
          </cell>
          <cell r="F166" t="str">
            <v>343335 &amp; FC0-MC-ME</v>
          </cell>
          <cell r="G166">
            <v>715</v>
          </cell>
        </row>
        <row r="167">
          <cell r="B167">
            <v>343633</v>
          </cell>
          <cell r="C167">
            <v>351993</v>
          </cell>
          <cell r="D167" t="str">
            <v>PRO001</v>
          </cell>
          <cell r="F167" t="str">
            <v>343633 &amp; FC4-WL-ME</v>
          </cell>
          <cell r="G167">
            <v>734</v>
          </cell>
        </row>
        <row r="168">
          <cell r="B168">
            <v>343745</v>
          </cell>
          <cell r="C168">
            <v>352265</v>
          </cell>
          <cell r="D168" t="str">
            <v>PRO001</v>
          </cell>
          <cell r="F168" t="str">
            <v>343745 &amp; FC4-RR-ME</v>
          </cell>
        </row>
        <row r="169">
          <cell r="B169">
            <v>343780</v>
          </cell>
          <cell r="C169">
            <v>352330</v>
          </cell>
          <cell r="D169" t="str">
            <v>PRO001</v>
          </cell>
          <cell r="F169" t="str">
            <v>3M - ME Frying Zone (FC4)</v>
          </cell>
          <cell r="G169">
            <v>743</v>
          </cell>
        </row>
        <row r="170">
          <cell r="B170">
            <v>610000004651</v>
          </cell>
          <cell r="C170">
            <v>347742</v>
          </cell>
          <cell r="D170" t="str">
            <v>PRO001</v>
          </cell>
          <cell r="F170" t="str">
            <v>610000004651 &amp; FR0-FI-ME</v>
          </cell>
          <cell r="G170">
            <v>101085</v>
          </cell>
        </row>
        <row r="171">
          <cell r="B171">
            <v>610000004652</v>
          </cell>
          <cell r="C171">
            <v>347743</v>
          </cell>
          <cell r="D171" t="str">
            <v>PRO001</v>
          </cell>
          <cell r="F171" t="str">
            <v>610000004652 &amp; FR0-FL-ME</v>
          </cell>
          <cell r="G171">
            <v>101086</v>
          </cell>
        </row>
        <row r="172">
          <cell r="B172">
            <v>610000004653</v>
          </cell>
          <cell r="C172">
            <v>347744</v>
          </cell>
          <cell r="D172" t="str">
            <v>PRO001</v>
          </cell>
          <cell r="F172" t="str">
            <v>610000004653 &amp; FR0-MI-ME</v>
          </cell>
          <cell r="G172">
            <v>101087</v>
          </cell>
        </row>
        <row r="173">
          <cell r="B173">
            <v>610000004654</v>
          </cell>
          <cell r="C173">
            <v>347745</v>
          </cell>
          <cell r="D173" t="str">
            <v>PRO001</v>
          </cell>
          <cell r="F173" t="str">
            <v>610000004654 &amp; FR0-HL-ME</v>
          </cell>
          <cell r="G173">
            <v>101088</v>
          </cell>
        </row>
        <row r="174">
          <cell r="B174">
            <v>610000004655</v>
          </cell>
          <cell r="C174">
            <v>347746</v>
          </cell>
          <cell r="D174" t="str">
            <v>PRO001</v>
          </cell>
          <cell r="F174" t="str">
            <v>610000004655 &amp; FR0-HR-ME</v>
          </cell>
          <cell r="G174">
            <v>101089</v>
          </cell>
        </row>
        <row r="175">
          <cell r="B175">
            <v>610000004656</v>
          </cell>
          <cell r="C175">
            <v>347747</v>
          </cell>
          <cell r="D175" t="str">
            <v>PRO001</v>
          </cell>
          <cell r="F175" t="str">
            <v>610000004656 &amp; FR1-FC-ME</v>
          </cell>
          <cell r="G175">
            <v>101090</v>
          </cell>
        </row>
        <row r="176">
          <cell r="B176">
            <v>610000004657</v>
          </cell>
          <cell r="C176">
            <v>347748</v>
          </cell>
          <cell r="D176" t="str">
            <v>PRO001</v>
          </cell>
          <cell r="F176" t="str">
            <v>610000004657 &amp; FR1-FL-ME</v>
          </cell>
          <cell r="G176">
            <v>101091</v>
          </cell>
        </row>
        <row r="177">
          <cell r="B177">
            <v>610000004658</v>
          </cell>
          <cell r="C177">
            <v>347749</v>
          </cell>
          <cell r="D177" t="str">
            <v>PRO001</v>
          </cell>
          <cell r="F177" t="str">
            <v>610000004658 &amp; FR1-MI-ME</v>
          </cell>
          <cell r="G177">
            <v>101092</v>
          </cell>
        </row>
        <row r="178">
          <cell r="B178">
            <v>610000004659</v>
          </cell>
          <cell r="C178">
            <v>347750</v>
          </cell>
          <cell r="D178" t="str">
            <v>PRO001</v>
          </cell>
          <cell r="F178" t="str">
            <v>610000004659 &amp; FR1-HL-ME</v>
          </cell>
          <cell r="G178">
            <v>101093</v>
          </cell>
        </row>
        <row r="179">
          <cell r="B179">
            <v>610000004660</v>
          </cell>
          <cell r="C179">
            <v>347751</v>
          </cell>
          <cell r="D179" t="str">
            <v>PRO001</v>
          </cell>
          <cell r="F179" t="str">
            <v>610000004660 &amp; FR2-WL-ME</v>
          </cell>
          <cell r="G179">
            <v>101094</v>
          </cell>
        </row>
        <row r="180">
          <cell r="B180">
            <v>610000004681</v>
          </cell>
          <cell r="C180">
            <v>347752</v>
          </cell>
          <cell r="D180" t="str">
            <v>PRO001</v>
          </cell>
          <cell r="F180" t="str">
            <v>610000004681 &amp; FR6-FI-ME</v>
          </cell>
          <cell r="G180">
            <v>101115</v>
          </cell>
        </row>
        <row r="181">
          <cell r="B181">
            <v>610000004682</v>
          </cell>
          <cell r="C181">
            <v>347753</v>
          </cell>
          <cell r="D181" t="str">
            <v>PRO001</v>
          </cell>
          <cell r="F181" t="str">
            <v>610000004682 &amp; FR6-FL-ME</v>
          </cell>
          <cell r="G181">
            <v>101116</v>
          </cell>
        </row>
        <row r="182">
          <cell r="B182">
            <v>610000004683</v>
          </cell>
          <cell r="C182">
            <v>347754</v>
          </cell>
          <cell r="D182" t="str">
            <v>PRO001</v>
          </cell>
          <cell r="F182" t="str">
            <v>610000004683 &amp; FR6-HL-ME</v>
          </cell>
          <cell r="G182">
            <v>101117</v>
          </cell>
        </row>
        <row r="183">
          <cell r="B183">
            <v>610000004684</v>
          </cell>
          <cell r="C183">
            <v>347755</v>
          </cell>
          <cell r="D183" t="str">
            <v>PRO002</v>
          </cell>
          <cell r="F183" t="str">
            <v>610000004684 &amp; FR0-NI_EE2</v>
          </cell>
          <cell r="G183">
            <v>101118</v>
          </cell>
        </row>
        <row r="184">
          <cell r="B184">
            <v>610000004685</v>
          </cell>
          <cell r="C184">
            <v>347756</v>
          </cell>
          <cell r="D184" t="str">
            <v>PRO002</v>
          </cell>
          <cell r="F184" t="str">
            <v>610000004685 &amp; FR0-FCB-EE</v>
          </cell>
          <cell r="G184">
            <v>101119</v>
          </cell>
        </row>
        <row r="185">
          <cell r="B185">
            <v>610000004686</v>
          </cell>
          <cell r="C185">
            <v>347757</v>
          </cell>
          <cell r="D185" t="str">
            <v>PRO002</v>
          </cell>
          <cell r="F185" t="str">
            <v>610000004686 &amp; FR0-MCB-EE</v>
          </cell>
          <cell r="G185">
            <v>101120</v>
          </cell>
        </row>
        <row r="186">
          <cell r="B186">
            <v>610000004687</v>
          </cell>
          <cell r="C186">
            <v>347758</v>
          </cell>
          <cell r="D186" t="str">
            <v>PRO002</v>
          </cell>
          <cell r="F186" t="str">
            <v>610000004687 &amp; FR0-NI-EE</v>
          </cell>
          <cell r="G186">
            <v>101121</v>
          </cell>
        </row>
        <row r="187">
          <cell r="B187">
            <v>610000004688</v>
          </cell>
          <cell r="C187">
            <v>347759</v>
          </cell>
          <cell r="D187" t="str">
            <v>PRO002</v>
          </cell>
          <cell r="F187" t="str">
            <v>610000004688 &amp; FR0-QT-EE</v>
          </cell>
          <cell r="G187">
            <v>101122</v>
          </cell>
        </row>
        <row r="188">
          <cell r="B188">
            <v>610000004689</v>
          </cell>
          <cell r="C188">
            <v>347760</v>
          </cell>
          <cell r="D188" t="str">
            <v>PRO002</v>
          </cell>
          <cell r="F188" t="str">
            <v>610000004689 &amp; FR0-NC-EE</v>
          </cell>
          <cell r="G188">
            <v>101123</v>
          </cell>
        </row>
        <row r="189">
          <cell r="B189">
            <v>610000004690</v>
          </cell>
          <cell r="C189">
            <v>347761</v>
          </cell>
          <cell r="D189" t="str">
            <v>PRO002</v>
          </cell>
          <cell r="F189" t="str">
            <v>610000004690 &amp; FR0-HI-EE</v>
          </cell>
          <cell r="G189">
            <v>101124</v>
          </cell>
        </row>
        <row r="190">
          <cell r="B190">
            <v>610000004691</v>
          </cell>
          <cell r="C190">
            <v>347762</v>
          </cell>
          <cell r="D190" t="str">
            <v>PRO002</v>
          </cell>
          <cell r="F190" t="str">
            <v>610000004691 &amp; FR1-FC-EE</v>
          </cell>
          <cell r="G190">
            <v>101125</v>
          </cell>
        </row>
        <row r="191">
          <cell r="B191">
            <v>610000004692</v>
          </cell>
          <cell r="C191">
            <v>347763</v>
          </cell>
          <cell r="D191" t="str">
            <v>PRO002</v>
          </cell>
          <cell r="F191" t="str">
            <v>610000004692 &amp; FR1-NI-EE2</v>
          </cell>
          <cell r="G191">
            <v>101126</v>
          </cell>
        </row>
        <row r="192">
          <cell r="B192">
            <v>610000004693</v>
          </cell>
          <cell r="C192">
            <v>347764</v>
          </cell>
          <cell r="D192" t="str">
            <v>PRO002</v>
          </cell>
          <cell r="F192" t="str">
            <v>610000004693 &amp; FR1-MI-EE</v>
          </cell>
          <cell r="G192">
            <v>101127</v>
          </cell>
        </row>
        <row r="193">
          <cell r="B193">
            <v>610000004694</v>
          </cell>
          <cell r="C193">
            <v>347765</v>
          </cell>
          <cell r="D193" t="str">
            <v>PRO002</v>
          </cell>
          <cell r="F193" t="str">
            <v>610000004694 &amp; FR1-NI-EE</v>
          </cell>
          <cell r="G193">
            <v>101128</v>
          </cell>
        </row>
        <row r="194">
          <cell r="B194">
            <v>610000004695</v>
          </cell>
          <cell r="C194">
            <v>347766</v>
          </cell>
          <cell r="D194" t="str">
            <v>PRO002</v>
          </cell>
          <cell r="F194" t="str">
            <v>610000004695 &amp; FR1-QT-EE</v>
          </cell>
          <cell r="G194">
            <v>101129</v>
          </cell>
        </row>
        <row r="195">
          <cell r="B195">
            <v>610000004696</v>
          </cell>
          <cell r="C195">
            <v>347767</v>
          </cell>
          <cell r="D195" t="str">
            <v>PRO002</v>
          </cell>
          <cell r="F195" t="str">
            <v>610000004696 &amp; FR1-NC-EE</v>
          </cell>
          <cell r="G195">
            <v>101130</v>
          </cell>
        </row>
        <row r="196">
          <cell r="B196">
            <v>610000004697</v>
          </cell>
          <cell r="C196">
            <v>347768</v>
          </cell>
          <cell r="D196" t="str">
            <v>PRO002</v>
          </cell>
          <cell r="F196" t="str">
            <v>610000004697 &amp; FR1-HI-EE</v>
          </cell>
          <cell r="G196">
            <v>101131</v>
          </cell>
        </row>
        <row r="197">
          <cell r="B197">
            <v>610000004698</v>
          </cell>
          <cell r="C197">
            <v>347769</v>
          </cell>
          <cell r="D197" t="str">
            <v>PRO002</v>
          </cell>
          <cell r="F197" t="str">
            <v>610000004698 &amp; FR1-YCB-EE</v>
          </cell>
          <cell r="G197">
            <v>101132</v>
          </cell>
        </row>
        <row r="198">
          <cell r="B198">
            <v>610000004699</v>
          </cell>
          <cell r="C198">
            <v>347770</v>
          </cell>
          <cell r="D198" t="str">
            <v>PRO002</v>
          </cell>
          <cell r="F198" t="str">
            <v>610000004699 &amp; FR2-NI-EE2</v>
          </cell>
          <cell r="G198">
            <v>101133</v>
          </cell>
        </row>
        <row r="199">
          <cell r="B199">
            <v>610000004720</v>
          </cell>
          <cell r="C199">
            <v>347771</v>
          </cell>
          <cell r="D199" t="str">
            <v>PRO002</v>
          </cell>
          <cell r="F199" t="str">
            <v>610000004720 &amp; FR5-NC-EE</v>
          </cell>
          <cell r="G199">
            <v>101154</v>
          </cell>
        </row>
        <row r="200">
          <cell r="B200">
            <v>610000004721</v>
          </cell>
          <cell r="C200">
            <v>347772</v>
          </cell>
          <cell r="D200" t="str">
            <v>PRO002</v>
          </cell>
          <cell r="F200" t="str">
            <v>610000004721 &amp; FR5-HI-EE</v>
          </cell>
          <cell r="G200">
            <v>101155</v>
          </cell>
        </row>
        <row r="201">
          <cell r="B201">
            <v>610000004722</v>
          </cell>
          <cell r="C201">
            <v>347773</v>
          </cell>
          <cell r="D201" t="str">
            <v>PRO002</v>
          </cell>
          <cell r="F201" t="str">
            <v>610000004722 &amp; FR6-NI-EE2</v>
          </cell>
          <cell r="G201">
            <v>101156</v>
          </cell>
        </row>
        <row r="202">
          <cell r="B202">
            <v>610000004723</v>
          </cell>
          <cell r="C202">
            <v>347774</v>
          </cell>
          <cell r="D202" t="str">
            <v>PRO002</v>
          </cell>
          <cell r="F202" t="str">
            <v>610000004723 &amp; FR6-NI-EE</v>
          </cell>
          <cell r="G202">
            <v>101157</v>
          </cell>
        </row>
        <row r="203">
          <cell r="B203">
            <v>610000004724</v>
          </cell>
          <cell r="C203">
            <v>347775</v>
          </cell>
          <cell r="D203" t="str">
            <v>PRO002</v>
          </cell>
          <cell r="F203" t="str">
            <v>610000004724 &amp; FR6-QT-EE</v>
          </cell>
          <cell r="G203">
            <v>101158</v>
          </cell>
        </row>
        <row r="204">
          <cell r="B204">
            <v>610000004725</v>
          </cell>
          <cell r="C204">
            <v>347776</v>
          </cell>
          <cell r="D204" t="str">
            <v>PRO002</v>
          </cell>
          <cell r="F204" t="str">
            <v>610000004725 &amp; FR6-NC-EE</v>
          </cell>
          <cell r="G204">
            <v>101159</v>
          </cell>
        </row>
        <row r="205">
          <cell r="B205">
            <v>610000004726</v>
          </cell>
          <cell r="C205">
            <v>347777</v>
          </cell>
          <cell r="D205" t="str">
            <v>PRO002</v>
          </cell>
          <cell r="F205" t="str">
            <v>610000004726 &amp; FR6-HI-EE</v>
          </cell>
          <cell r="G205">
            <v>101160</v>
          </cell>
        </row>
        <row r="206">
          <cell r="B206">
            <v>610000004661</v>
          </cell>
          <cell r="C206">
            <v>348472</v>
          </cell>
          <cell r="D206" t="str">
            <v>PRO001</v>
          </cell>
          <cell r="F206" t="str">
            <v>610000004661 &amp; FR2-FI-ME</v>
          </cell>
          <cell r="G206">
            <v>101095</v>
          </cell>
        </row>
        <row r="207">
          <cell r="B207">
            <v>610000004662</v>
          </cell>
          <cell r="C207">
            <v>348473</v>
          </cell>
          <cell r="D207" t="str">
            <v>PRO001</v>
          </cell>
          <cell r="F207" t="str">
            <v>610000004662 &amp; FR2-FL-ME</v>
          </cell>
          <cell r="G207">
            <v>101096</v>
          </cell>
        </row>
        <row r="208">
          <cell r="B208">
            <v>610000004663</v>
          </cell>
          <cell r="C208">
            <v>348474</v>
          </cell>
          <cell r="D208" t="str">
            <v>PRO001</v>
          </cell>
          <cell r="F208" t="str">
            <v>610000004663 &amp; FR2-ML-ME</v>
          </cell>
          <cell r="G208">
            <v>101097</v>
          </cell>
        </row>
        <row r="209">
          <cell r="B209">
            <v>610000004664</v>
          </cell>
          <cell r="C209">
            <v>348475</v>
          </cell>
          <cell r="D209" t="str">
            <v>PRO001</v>
          </cell>
          <cell r="F209" t="str">
            <v>610000004664 &amp; FR2-HR-ME2</v>
          </cell>
          <cell r="G209">
            <v>101098</v>
          </cell>
        </row>
        <row r="210">
          <cell r="B210">
            <v>610000004665</v>
          </cell>
          <cell r="C210">
            <v>348476</v>
          </cell>
          <cell r="D210" t="str">
            <v>PRO001</v>
          </cell>
          <cell r="F210" t="str">
            <v>610000004665 &amp; FR2-HL-ME</v>
          </cell>
          <cell r="G210">
            <v>101099</v>
          </cell>
        </row>
        <row r="211">
          <cell r="B211">
            <v>610000004666</v>
          </cell>
          <cell r="C211">
            <v>348477</v>
          </cell>
          <cell r="D211" t="str">
            <v>PRO001</v>
          </cell>
          <cell r="F211" t="str">
            <v>610000004666 &amp; FR2-HR-ME</v>
          </cell>
          <cell r="G211">
            <v>101100</v>
          </cell>
        </row>
        <row r="212">
          <cell r="B212">
            <v>610000004667</v>
          </cell>
          <cell r="C212">
            <v>348478</v>
          </cell>
          <cell r="D212" t="str">
            <v>PRO001</v>
          </cell>
          <cell r="F212" t="str">
            <v>610000004667 &amp; FR3-FI-ME</v>
          </cell>
          <cell r="G212">
            <v>101101</v>
          </cell>
        </row>
        <row r="213">
          <cell r="B213">
            <v>610000004668</v>
          </cell>
          <cell r="C213">
            <v>348479</v>
          </cell>
          <cell r="D213" t="str">
            <v>PRO001</v>
          </cell>
          <cell r="F213" t="str">
            <v>610000004668 &amp; FR3-FL-ME</v>
          </cell>
          <cell r="G213">
            <v>101102</v>
          </cell>
        </row>
        <row r="214">
          <cell r="B214">
            <v>610000004669</v>
          </cell>
          <cell r="C214">
            <v>348480</v>
          </cell>
          <cell r="D214" t="str">
            <v>PRO001</v>
          </cell>
          <cell r="F214" t="str">
            <v>610000004669 &amp; FR3-MV-ME</v>
          </cell>
          <cell r="G214">
            <v>101103</v>
          </cell>
        </row>
        <row r="215">
          <cell r="B215">
            <v>610000004670</v>
          </cell>
          <cell r="C215">
            <v>348481</v>
          </cell>
          <cell r="D215" t="str">
            <v>PRO001</v>
          </cell>
          <cell r="F215" t="str">
            <v>610000004670 &amp; FR3-QC-ME</v>
          </cell>
          <cell r="G215">
            <v>101104</v>
          </cell>
        </row>
        <row r="216">
          <cell r="B216">
            <v>610000004671</v>
          </cell>
          <cell r="C216">
            <v>348482</v>
          </cell>
          <cell r="D216" t="str">
            <v>PRO001</v>
          </cell>
          <cell r="F216" t="str">
            <v>610000004671 &amp; FR3-QL-ME</v>
          </cell>
          <cell r="G216">
            <v>101105</v>
          </cell>
        </row>
        <row r="217">
          <cell r="B217">
            <v>610000004672</v>
          </cell>
          <cell r="C217">
            <v>348483</v>
          </cell>
          <cell r="D217" t="str">
            <v>PRO001</v>
          </cell>
          <cell r="F217" t="str">
            <v>610000004672 &amp; FR3-HL-ME</v>
          </cell>
          <cell r="G217">
            <v>101106</v>
          </cell>
        </row>
        <row r="218">
          <cell r="B218">
            <v>610000004673</v>
          </cell>
          <cell r="C218">
            <v>348484</v>
          </cell>
          <cell r="D218" t="str">
            <v>PRO001</v>
          </cell>
          <cell r="F218" t="str">
            <v>610000004673 &amp; FR4-FC-ME</v>
          </cell>
          <cell r="G218">
            <v>101107</v>
          </cell>
        </row>
        <row r="219">
          <cell r="B219">
            <v>610000004674</v>
          </cell>
          <cell r="C219">
            <v>348485</v>
          </cell>
          <cell r="D219" t="str">
            <v>PRO001</v>
          </cell>
          <cell r="F219" t="str">
            <v>610000004674 &amp; FR4-FI-ME</v>
          </cell>
          <cell r="G219">
            <v>101108</v>
          </cell>
        </row>
        <row r="220">
          <cell r="B220">
            <v>610000004675</v>
          </cell>
          <cell r="C220">
            <v>348486</v>
          </cell>
          <cell r="D220" t="str">
            <v>PRO001</v>
          </cell>
          <cell r="F220" t="str">
            <v>610000004675 &amp; FR4-FL-ME</v>
          </cell>
          <cell r="G220">
            <v>101109</v>
          </cell>
        </row>
        <row r="221">
          <cell r="B221">
            <v>610000004676</v>
          </cell>
          <cell r="C221">
            <v>348487</v>
          </cell>
          <cell r="D221" t="str">
            <v>PRO001</v>
          </cell>
          <cell r="F221" t="str">
            <v>610000004676 &amp; FR5-FI-ME</v>
          </cell>
          <cell r="G221">
            <v>101110</v>
          </cell>
        </row>
        <row r="222">
          <cell r="B222">
            <v>610000004677</v>
          </cell>
          <cell r="C222">
            <v>348488</v>
          </cell>
          <cell r="D222" t="str">
            <v>PRO001</v>
          </cell>
          <cell r="F222" t="str">
            <v>610000004677 &amp; FR5-FL-ME</v>
          </cell>
          <cell r="G222">
            <v>101111</v>
          </cell>
        </row>
        <row r="223">
          <cell r="B223">
            <v>610000004678</v>
          </cell>
          <cell r="C223">
            <v>348489</v>
          </cell>
          <cell r="D223" t="str">
            <v>PRO001</v>
          </cell>
          <cell r="F223" t="str">
            <v>610000004678 &amp; FR5-MI-ME</v>
          </cell>
          <cell r="G223">
            <v>101112</v>
          </cell>
        </row>
        <row r="224">
          <cell r="B224">
            <v>610000004679</v>
          </cell>
          <cell r="C224">
            <v>348490</v>
          </cell>
          <cell r="D224" t="str">
            <v>PRO001</v>
          </cell>
          <cell r="F224" t="str">
            <v>610000004679 &amp; FR5-MR-ME</v>
          </cell>
          <cell r="G224">
            <v>101113</v>
          </cell>
        </row>
        <row r="225">
          <cell r="B225">
            <v>610000004680</v>
          </cell>
          <cell r="C225">
            <v>348491</v>
          </cell>
          <cell r="D225" t="str">
            <v>PRO001</v>
          </cell>
          <cell r="F225" t="str">
            <v>610000004680 &amp; FR5-YR-ME</v>
          </cell>
          <cell r="G225">
            <v>101114</v>
          </cell>
        </row>
        <row r="226">
          <cell r="B226">
            <v>610000004700</v>
          </cell>
          <cell r="C226">
            <v>348531</v>
          </cell>
          <cell r="D226" t="str">
            <v>PRO002</v>
          </cell>
          <cell r="F226" t="str">
            <v>610000004700 &amp; FR2-NI-EE</v>
          </cell>
          <cell r="G226">
            <v>101134</v>
          </cell>
        </row>
        <row r="227">
          <cell r="B227">
            <v>610000004701</v>
          </cell>
          <cell r="C227">
            <v>348532</v>
          </cell>
          <cell r="D227" t="str">
            <v>PRO002</v>
          </cell>
          <cell r="F227" t="str">
            <v>610000004701 &amp; FR2-QT-EE</v>
          </cell>
          <cell r="G227">
            <v>101135</v>
          </cell>
        </row>
        <row r="228">
          <cell r="B228">
            <v>610000004702</v>
          </cell>
          <cell r="C228">
            <v>348533</v>
          </cell>
          <cell r="D228" t="str">
            <v>PRO002</v>
          </cell>
          <cell r="F228" t="str">
            <v>610000004702 &amp; FR2-NC-EE</v>
          </cell>
          <cell r="G228">
            <v>101136</v>
          </cell>
        </row>
        <row r="229">
          <cell r="B229">
            <v>610000004703</v>
          </cell>
          <cell r="C229">
            <v>348534</v>
          </cell>
          <cell r="D229" t="str">
            <v>PRO002</v>
          </cell>
          <cell r="F229" t="str">
            <v>610000004703 &amp; FR2-HI-EE</v>
          </cell>
          <cell r="G229">
            <v>101137</v>
          </cell>
        </row>
        <row r="230">
          <cell r="B230">
            <v>610000004704</v>
          </cell>
          <cell r="C230">
            <v>348535</v>
          </cell>
          <cell r="D230" t="str">
            <v>PRO002</v>
          </cell>
          <cell r="F230" t="str">
            <v>610000004704 &amp; FR3-FC-EE</v>
          </cell>
          <cell r="G230">
            <v>101138</v>
          </cell>
        </row>
        <row r="231">
          <cell r="B231">
            <v>610000004705</v>
          </cell>
          <cell r="C231">
            <v>348536</v>
          </cell>
          <cell r="D231" t="str">
            <v>PRO002</v>
          </cell>
          <cell r="F231" t="str">
            <v>610000004705 &amp; FR3-FI-EE</v>
          </cell>
          <cell r="G231">
            <v>101139</v>
          </cell>
        </row>
        <row r="232">
          <cell r="B232">
            <v>610000004706</v>
          </cell>
          <cell r="C232">
            <v>348537</v>
          </cell>
          <cell r="D232" t="str">
            <v>PRO002</v>
          </cell>
          <cell r="F232" t="str">
            <v>610000004706 &amp; FR3-NI-EE3</v>
          </cell>
          <cell r="G232">
            <v>101140</v>
          </cell>
        </row>
        <row r="233">
          <cell r="B233">
            <v>610000004707</v>
          </cell>
          <cell r="C233">
            <v>348538</v>
          </cell>
          <cell r="D233" t="str">
            <v>PRO002</v>
          </cell>
          <cell r="F233" t="str">
            <v>610000004707 &amp; FR3-NI-EE</v>
          </cell>
          <cell r="G233">
            <v>101141</v>
          </cell>
        </row>
        <row r="234">
          <cell r="B234">
            <v>610000004708</v>
          </cell>
          <cell r="C234">
            <v>348539</v>
          </cell>
          <cell r="D234" t="str">
            <v>PRO002</v>
          </cell>
          <cell r="F234" t="str">
            <v>610000004708 &amp; FR3-QT-EE</v>
          </cell>
          <cell r="G234">
            <v>101142</v>
          </cell>
        </row>
        <row r="235">
          <cell r="B235">
            <v>610000004709</v>
          </cell>
          <cell r="C235">
            <v>348540</v>
          </cell>
          <cell r="D235" t="str">
            <v>PRO002</v>
          </cell>
          <cell r="F235" t="str">
            <v>610000004709 &amp; FR3-NC-EE</v>
          </cell>
          <cell r="G235">
            <v>101143</v>
          </cell>
        </row>
        <row r="236">
          <cell r="B236">
            <v>610000004710</v>
          </cell>
          <cell r="C236">
            <v>348541</v>
          </cell>
          <cell r="D236" t="str">
            <v>PRO002</v>
          </cell>
          <cell r="F236" t="str">
            <v>610000004710 &amp; FR3-HI-EE</v>
          </cell>
          <cell r="G236">
            <v>101144</v>
          </cell>
        </row>
        <row r="237">
          <cell r="B237">
            <v>610000004711</v>
          </cell>
          <cell r="C237">
            <v>348542</v>
          </cell>
          <cell r="D237" t="str">
            <v>PRO002</v>
          </cell>
          <cell r="F237" t="str">
            <v>610000004711 &amp; FR3-YCB-EE</v>
          </cell>
          <cell r="G237">
            <v>101145</v>
          </cell>
        </row>
        <row r="238">
          <cell r="B238">
            <v>610000004712</v>
          </cell>
          <cell r="C238">
            <v>348543</v>
          </cell>
          <cell r="D238" t="str">
            <v>PRO002</v>
          </cell>
          <cell r="F238" t="str">
            <v>610000004712 &amp; FR4-NI-EE2</v>
          </cell>
          <cell r="G238">
            <v>101146</v>
          </cell>
        </row>
        <row r="239">
          <cell r="B239">
            <v>610000004713</v>
          </cell>
          <cell r="C239">
            <v>348544</v>
          </cell>
          <cell r="D239" t="str">
            <v>PRO002</v>
          </cell>
          <cell r="F239" t="str">
            <v>610000004713 &amp; FR4-NI-EE</v>
          </cell>
          <cell r="G239">
            <v>101147</v>
          </cell>
        </row>
        <row r="240">
          <cell r="B240">
            <v>610000004714</v>
          </cell>
          <cell r="C240">
            <v>348545</v>
          </cell>
          <cell r="D240" t="str">
            <v>PRO002</v>
          </cell>
          <cell r="F240" t="str">
            <v>610000004714 &amp; FR4-QT-EE</v>
          </cell>
          <cell r="G240">
            <v>101148</v>
          </cell>
        </row>
        <row r="241">
          <cell r="B241">
            <v>610000004715</v>
          </cell>
          <cell r="C241">
            <v>348546</v>
          </cell>
          <cell r="D241" t="str">
            <v>PRO002</v>
          </cell>
          <cell r="F241" t="str">
            <v>610000004715 &amp; FR4-NC-EE</v>
          </cell>
          <cell r="G241">
            <v>101149</v>
          </cell>
        </row>
        <row r="242">
          <cell r="B242">
            <v>610000004716</v>
          </cell>
          <cell r="C242">
            <v>348547</v>
          </cell>
          <cell r="D242" t="str">
            <v>PRO002</v>
          </cell>
          <cell r="F242" t="str">
            <v>610000004716 &amp; FR4-HI-EE</v>
          </cell>
          <cell r="G242">
            <v>101150</v>
          </cell>
        </row>
        <row r="243">
          <cell r="B243">
            <v>610000004717</v>
          </cell>
          <cell r="C243">
            <v>348548</v>
          </cell>
          <cell r="D243" t="str">
            <v>PRO002</v>
          </cell>
          <cell r="F243" t="str">
            <v>610000004717 &amp; FR5-NI-EE2</v>
          </cell>
          <cell r="G243">
            <v>101151</v>
          </cell>
        </row>
        <row r="244">
          <cell r="B244">
            <v>610000004718</v>
          </cell>
          <cell r="C244">
            <v>348549</v>
          </cell>
          <cell r="D244" t="str">
            <v>PRO002</v>
          </cell>
          <cell r="F244" t="str">
            <v>610000004718 &amp; FR5-NI-EE</v>
          </cell>
          <cell r="G244">
            <v>101152</v>
          </cell>
        </row>
        <row r="245">
          <cell r="B245">
            <v>610000004719</v>
          </cell>
          <cell r="C245">
            <v>348550</v>
          </cell>
          <cell r="D245" t="str">
            <v>PRO002</v>
          </cell>
          <cell r="F245" t="str">
            <v>610000004719 &amp; FR5-QT-EE</v>
          </cell>
          <cell r="G245">
            <v>101153</v>
          </cell>
        </row>
        <row r="246">
          <cell r="B246">
            <v>342131</v>
          </cell>
          <cell r="C246">
            <v>350303</v>
          </cell>
          <cell r="D246" t="str">
            <v>PRO001</v>
          </cell>
          <cell r="F246" t="str">
            <v>342131 &amp; FR3-HR-ME</v>
          </cell>
          <cell r="G246">
            <v>444</v>
          </cell>
        </row>
        <row r="247">
          <cell r="B247">
            <v>342285</v>
          </cell>
          <cell r="C247">
            <v>350435</v>
          </cell>
          <cell r="D247" t="str">
            <v>PRO002</v>
          </cell>
          <cell r="F247" t="str">
            <v>342285 &amp; FR3-HC-EE</v>
          </cell>
          <cell r="G247">
            <v>470</v>
          </cell>
        </row>
        <row r="248">
          <cell r="B248">
            <v>342289</v>
          </cell>
          <cell r="C248">
            <v>350439</v>
          </cell>
          <cell r="D248" t="str">
            <v>PRO001</v>
          </cell>
          <cell r="F248" t="str">
            <v>342289 &amp; FR4-YR-ME</v>
          </cell>
          <cell r="G248">
            <v>474</v>
          </cell>
        </row>
        <row r="249">
          <cell r="B249">
            <v>342728</v>
          </cell>
          <cell r="C249">
            <v>351078</v>
          </cell>
          <cell r="D249" t="str">
            <v>PRO002</v>
          </cell>
          <cell r="F249" t="str">
            <v>342728 &amp; FR4-HI-EE2</v>
          </cell>
          <cell r="G249">
            <v>636</v>
          </cell>
        </row>
        <row r="250">
          <cell r="B250">
            <v>342729</v>
          </cell>
          <cell r="C250">
            <v>351079</v>
          </cell>
          <cell r="D250" t="str">
            <v>PRO002</v>
          </cell>
          <cell r="F250" t="str">
            <v>342729 &amp; FR4-YR-EE</v>
          </cell>
          <cell r="G250">
            <v>637</v>
          </cell>
        </row>
        <row r="251">
          <cell r="B251">
            <v>351977</v>
          </cell>
          <cell r="C251">
            <v>364017</v>
          </cell>
          <cell r="D251" t="str">
            <v>PRO001</v>
          </cell>
          <cell r="F251" t="str">
            <v>351977 &amp; FR0-YR-ME</v>
          </cell>
          <cell r="G251">
            <v>1434</v>
          </cell>
        </row>
        <row r="252">
          <cell r="B252">
            <v>351978</v>
          </cell>
          <cell r="C252">
            <v>364018</v>
          </cell>
          <cell r="D252" t="str">
            <v>PRO001</v>
          </cell>
          <cell r="F252" t="str">
            <v>351978 &amp; FR5-HR-ME</v>
          </cell>
          <cell r="G252">
            <v>1435</v>
          </cell>
        </row>
        <row r="253">
          <cell r="B253">
            <v>351959</v>
          </cell>
          <cell r="C253">
            <v>365250</v>
          </cell>
          <cell r="D253" t="str">
            <v>PRO002</v>
          </cell>
          <cell r="F253" t="str">
            <v>351959 &amp; FR3-YI-EE</v>
          </cell>
          <cell r="G253">
            <v>1432</v>
          </cell>
        </row>
        <row r="254">
          <cell r="B254">
            <v>355582</v>
          </cell>
          <cell r="C254">
            <v>368862</v>
          </cell>
          <cell r="D254" t="str">
            <v>PRO002</v>
          </cell>
          <cell r="F254" t="str">
            <v>355582 &amp; FR6-YI-EE</v>
          </cell>
          <cell r="G254">
            <v>1467</v>
          </cell>
        </row>
        <row r="255">
          <cell r="B255">
            <v>356702</v>
          </cell>
          <cell r="C255">
            <v>370162</v>
          </cell>
          <cell r="D255" t="str">
            <v>PRO001</v>
          </cell>
          <cell r="F255" t="str">
            <v>356702 &amp; FR5-HR-ME2</v>
          </cell>
          <cell r="G255">
            <v>1616</v>
          </cell>
        </row>
        <row r="256">
          <cell r="B256">
            <v>356727</v>
          </cell>
          <cell r="C256">
            <v>370207</v>
          </cell>
          <cell r="D256" t="str">
            <v>PRO001</v>
          </cell>
          <cell r="F256" t="str">
            <v>&amp; FR0-RR-ME</v>
          </cell>
          <cell r="G256">
            <v>1990</v>
          </cell>
        </row>
        <row r="257">
          <cell r="B257">
            <v>357813</v>
          </cell>
          <cell r="C257">
            <v>371793</v>
          </cell>
          <cell r="D257" t="str">
            <v>PRO002</v>
          </cell>
          <cell r="F257" t="str">
            <v>357813 &amp; FR5-HI-EE</v>
          </cell>
          <cell r="G257">
            <v>2739</v>
          </cell>
        </row>
        <row r="258">
          <cell r="B258">
            <v>610000004039</v>
          </cell>
          <cell r="C258">
            <v>347365</v>
          </cell>
          <cell r="D258" t="str">
            <v>PRO001</v>
          </cell>
          <cell r="F258" t="str">
            <v>610000004039 &amp; P12-RR-ME</v>
          </cell>
          <cell r="G258">
            <v>100473</v>
          </cell>
        </row>
        <row r="259">
          <cell r="B259">
            <v>610000004040</v>
          </cell>
          <cell r="C259">
            <v>347366</v>
          </cell>
          <cell r="D259" t="str">
            <v>PRO001</v>
          </cell>
          <cell r="F259" t="str">
            <v>610000004040 &amp; P12-RR-ME2</v>
          </cell>
          <cell r="G259">
            <v>100474</v>
          </cell>
        </row>
        <row r="260">
          <cell r="B260">
            <v>610000004041</v>
          </cell>
          <cell r="C260">
            <v>347367</v>
          </cell>
          <cell r="D260" t="str">
            <v>PRO001</v>
          </cell>
          <cell r="F260" t="str">
            <v>610000004041 &amp; P12-RR-ME3</v>
          </cell>
          <cell r="G260">
            <v>100475</v>
          </cell>
        </row>
        <row r="261">
          <cell r="B261">
            <v>610000004042</v>
          </cell>
          <cell r="C261">
            <v>347368</v>
          </cell>
          <cell r="D261" t="str">
            <v>PRO001</v>
          </cell>
          <cell r="F261" t="str">
            <v>610000004042 &amp; P12-RR-ME4</v>
          </cell>
          <cell r="G261">
            <v>100476</v>
          </cell>
        </row>
        <row r="262">
          <cell r="B262">
            <v>610000004043</v>
          </cell>
          <cell r="C262">
            <v>347369</v>
          </cell>
          <cell r="D262" t="str">
            <v>PRO001</v>
          </cell>
          <cell r="F262" t="str">
            <v>610000004043 &amp; P12-RR-ME5</v>
          </cell>
          <cell r="G262">
            <v>100477</v>
          </cell>
        </row>
        <row r="263">
          <cell r="B263">
            <v>610000004044</v>
          </cell>
          <cell r="C263">
            <v>347370</v>
          </cell>
          <cell r="D263" t="str">
            <v>PRO001</v>
          </cell>
          <cell r="F263" t="str">
            <v>610000004044 &amp; P12-HC-ME</v>
          </cell>
          <cell r="G263">
            <v>100478</v>
          </cell>
        </row>
        <row r="264">
          <cell r="B264">
            <v>610000004045</v>
          </cell>
          <cell r="C264">
            <v>347371</v>
          </cell>
          <cell r="D264" t="str">
            <v>PRO001</v>
          </cell>
          <cell r="F264" t="str">
            <v>610000004045 &amp; P12-HL-ME</v>
          </cell>
          <cell r="G264">
            <v>100479</v>
          </cell>
        </row>
        <row r="265">
          <cell r="B265">
            <v>610000004046</v>
          </cell>
          <cell r="C265">
            <v>347372</v>
          </cell>
          <cell r="D265" t="str">
            <v>PRO001</v>
          </cell>
          <cell r="F265" t="str">
            <v>610000004046 &amp; P12-HR-ME</v>
          </cell>
          <cell r="G265">
            <v>100480</v>
          </cell>
        </row>
        <row r="266">
          <cell r="B266">
            <v>610000004047</v>
          </cell>
          <cell r="C266">
            <v>347373</v>
          </cell>
          <cell r="D266" t="str">
            <v>PRO001</v>
          </cell>
          <cell r="F266" t="str">
            <v>610000004047 &amp; P12-YR-ME</v>
          </cell>
          <cell r="G266">
            <v>100481</v>
          </cell>
        </row>
        <row r="267">
          <cell r="B267">
            <v>610000004048</v>
          </cell>
          <cell r="C267">
            <v>347374</v>
          </cell>
          <cell r="D267" t="str">
            <v>PRO001</v>
          </cell>
          <cell r="F267" t="str">
            <v>610000004048 &amp; P12-YR-ME2</v>
          </cell>
          <cell r="G267">
            <v>100482</v>
          </cell>
        </row>
        <row r="268">
          <cell r="B268">
            <v>610000004049</v>
          </cell>
          <cell r="C268">
            <v>347375</v>
          </cell>
          <cell r="D268" t="str">
            <v>PRO001</v>
          </cell>
          <cell r="F268" t="str">
            <v>610000004049 &amp; P12-HR-ME4</v>
          </cell>
          <cell r="G268">
            <v>100483</v>
          </cell>
        </row>
        <row r="269">
          <cell r="B269">
            <v>610000004051</v>
          </cell>
          <cell r="C269">
            <v>347376</v>
          </cell>
          <cell r="D269" t="str">
            <v>PRO001</v>
          </cell>
          <cell r="F269" t="str">
            <v>610000004051 &amp; P13-FL-ME</v>
          </cell>
          <cell r="G269">
            <v>100485</v>
          </cell>
        </row>
        <row r="270">
          <cell r="B270">
            <v>610000004052</v>
          </cell>
          <cell r="C270">
            <v>347377</v>
          </cell>
          <cell r="D270" t="str">
            <v>PRO001</v>
          </cell>
          <cell r="F270" t="str">
            <v>610000004052 &amp; P13-MC-ME</v>
          </cell>
          <cell r="G270">
            <v>100486</v>
          </cell>
        </row>
        <row r="271">
          <cell r="B271">
            <v>610000004053</v>
          </cell>
          <cell r="C271">
            <v>347378</v>
          </cell>
          <cell r="D271" t="str">
            <v>PRO001</v>
          </cell>
          <cell r="F271" t="str">
            <v>610000004053 &amp; P13-MI-ME</v>
          </cell>
          <cell r="G271">
            <v>100487</v>
          </cell>
        </row>
        <row r="272">
          <cell r="B272">
            <v>610000004054</v>
          </cell>
          <cell r="C272">
            <v>347379</v>
          </cell>
          <cell r="D272" t="str">
            <v>PRO001</v>
          </cell>
          <cell r="F272" t="str">
            <v>610000004054 &amp; P13-MV-ME</v>
          </cell>
          <cell r="G272">
            <v>100488</v>
          </cell>
        </row>
        <row r="273">
          <cell r="B273">
            <v>610000004055</v>
          </cell>
          <cell r="C273">
            <v>347380</v>
          </cell>
          <cell r="D273" t="str">
            <v>PRO001</v>
          </cell>
          <cell r="F273" t="str">
            <v>610000004055 &amp; P13-QL-ME</v>
          </cell>
          <cell r="G273">
            <v>100489</v>
          </cell>
        </row>
        <row r="274">
          <cell r="B274">
            <v>610000004056</v>
          </cell>
          <cell r="C274">
            <v>347641</v>
          </cell>
          <cell r="D274" t="str">
            <v>PRO001</v>
          </cell>
          <cell r="F274" t="str">
            <v>610000004056 &amp; P13-QR-ME</v>
          </cell>
          <cell r="G274">
            <v>100490</v>
          </cell>
        </row>
        <row r="275">
          <cell r="B275">
            <v>610000004057</v>
          </cell>
          <cell r="C275">
            <v>347642</v>
          </cell>
          <cell r="D275" t="str">
            <v>PRO001</v>
          </cell>
          <cell r="F275" t="str">
            <v>610000004057 &amp; P13-HR-ME2</v>
          </cell>
          <cell r="G275">
            <v>100491</v>
          </cell>
        </row>
        <row r="276">
          <cell r="B276">
            <v>610000004078</v>
          </cell>
          <cell r="C276">
            <v>347643</v>
          </cell>
          <cell r="D276" t="str">
            <v>PRO001</v>
          </cell>
          <cell r="F276" t="str">
            <v>610000004078 &amp; P16-MC-ME</v>
          </cell>
          <cell r="G276">
            <v>100512</v>
          </cell>
        </row>
        <row r="277">
          <cell r="B277">
            <v>610000004079</v>
          </cell>
          <cell r="C277">
            <v>347644</v>
          </cell>
          <cell r="D277" t="str">
            <v>PRO001</v>
          </cell>
          <cell r="F277" t="str">
            <v>610000004079 &amp; P16-MI-ME</v>
          </cell>
          <cell r="G277">
            <v>100513</v>
          </cell>
        </row>
        <row r="278">
          <cell r="B278">
            <v>610000004080</v>
          </cell>
          <cell r="C278">
            <v>347645</v>
          </cell>
          <cell r="D278" t="str">
            <v>PRO001</v>
          </cell>
          <cell r="F278" t="str">
            <v>610000004080 &amp; P16-MV-ME</v>
          </cell>
          <cell r="G278">
            <v>100514</v>
          </cell>
        </row>
        <row r="279">
          <cell r="B279">
            <v>610000004081</v>
          </cell>
          <cell r="C279">
            <v>347646</v>
          </cell>
          <cell r="D279" t="str">
            <v>PRO001</v>
          </cell>
          <cell r="F279" t="str">
            <v>610000004081 &amp; P16-MR-ME</v>
          </cell>
          <cell r="G279">
            <v>100515</v>
          </cell>
        </row>
        <row r="280">
          <cell r="B280">
            <v>610000004082</v>
          </cell>
          <cell r="C280">
            <v>347647</v>
          </cell>
          <cell r="D280" t="str">
            <v>PRO001</v>
          </cell>
          <cell r="F280" t="str">
            <v>610000004082 &amp; P16-HL-ME</v>
          </cell>
          <cell r="G280">
            <v>100516</v>
          </cell>
        </row>
        <row r="281">
          <cell r="B281">
            <v>610000004083</v>
          </cell>
          <cell r="C281">
            <v>347648</v>
          </cell>
          <cell r="D281" t="str">
            <v>PRO001</v>
          </cell>
          <cell r="F281" t="str">
            <v>610000004083 &amp; P16-HR-ME</v>
          </cell>
          <cell r="G281">
            <v>100517</v>
          </cell>
        </row>
        <row r="282">
          <cell r="B282">
            <v>610000004084</v>
          </cell>
          <cell r="C282">
            <v>347649</v>
          </cell>
          <cell r="D282" t="str">
            <v>PRO001</v>
          </cell>
          <cell r="F282" t="str">
            <v>610000004084 &amp; P16-HR-ME2</v>
          </cell>
          <cell r="G282">
            <v>100518</v>
          </cell>
        </row>
        <row r="283">
          <cell r="B283">
            <v>610000004085</v>
          </cell>
          <cell r="C283">
            <v>347650</v>
          </cell>
          <cell r="D283" t="str">
            <v>PRO001</v>
          </cell>
          <cell r="F283" t="str">
            <v>610000004085 &amp; P17-FL-ME</v>
          </cell>
          <cell r="G283">
            <v>100519</v>
          </cell>
        </row>
        <row r="284">
          <cell r="B284">
            <v>610000004086</v>
          </cell>
          <cell r="C284">
            <v>347651</v>
          </cell>
          <cell r="D284" t="str">
            <v>PRO001</v>
          </cell>
          <cell r="F284" t="str">
            <v>610000004086 &amp; P17-FI-ME</v>
          </cell>
          <cell r="G284">
            <v>100520</v>
          </cell>
        </row>
        <row r="285">
          <cell r="B285">
            <v>610000004087</v>
          </cell>
          <cell r="C285">
            <v>347652</v>
          </cell>
          <cell r="D285" t="str">
            <v>PRO001</v>
          </cell>
          <cell r="F285" t="str">
            <v>610000004087 &amp; P17-MI-ME</v>
          </cell>
          <cell r="G285">
            <v>100521</v>
          </cell>
        </row>
        <row r="286">
          <cell r="B286">
            <v>610000004088</v>
          </cell>
          <cell r="C286">
            <v>347653</v>
          </cell>
          <cell r="D286" t="str">
            <v>PRO001</v>
          </cell>
          <cell r="F286" t="str">
            <v>610000004088 &amp; P17-MR-ME</v>
          </cell>
          <cell r="G286">
            <v>100522</v>
          </cell>
        </row>
        <row r="287">
          <cell r="B287">
            <v>610000004089</v>
          </cell>
          <cell r="C287">
            <v>347654</v>
          </cell>
          <cell r="D287" t="str">
            <v>PRO001</v>
          </cell>
          <cell r="F287" t="str">
            <v>610000004089 &amp; P17-HR-ME</v>
          </cell>
          <cell r="G287">
            <v>100523</v>
          </cell>
        </row>
        <row r="288">
          <cell r="B288">
            <v>610000004090</v>
          </cell>
          <cell r="C288">
            <v>347655</v>
          </cell>
          <cell r="D288" t="str">
            <v>PRO001</v>
          </cell>
          <cell r="F288" t="str">
            <v>610000004090 &amp; P17-HL-ME</v>
          </cell>
          <cell r="G288">
            <v>100524</v>
          </cell>
        </row>
        <row r="289">
          <cell r="B289">
            <v>610000004091</v>
          </cell>
          <cell r="C289">
            <v>347656</v>
          </cell>
          <cell r="D289" t="str">
            <v>PRO001</v>
          </cell>
          <cell r="F289" t="str">
            <v>610000004091 &amp; P18-FL-ME</v>
          </cell>
          <cell r="G289">
            <v>100525</v>
          </cell>
        </row>
        <row r="290">
          <cell r="B290">
            <v>610000004092</v>
          </cell>
          <cell r="C290">
            <v>347657</v>
          </cell>
          <cell r="D290" t="str">
            <v>PRO001</v>
          </cell>
          <cell r="F290" t="str">
            <v>610000004092 &amp; P18-MI-ME</v>
          </cell>
          <cell r="G290">
            <v>100526</v>
          </cell>
        </row>
        <row r="291">
          <cell r="B291">
            <v>610000004093</v>
          </cell>
          <cell r="C291">
            <v>347658</v>
          </cell>
          <cell r="D291" t="str">
            <v>PRO001</v>
          </cell>
          <cell r="F291" t="str">
            <v>610000004093 &amp; P18-HL-ME</v>
          </cell>
          <cell r="G291">
            <v>100527</v>
          </cell>
        </row>
        <row r="292">
          <cell r="B292">
            <v>610000004094</v>
          </cell>
          <cell r="C292">
            <v>347659</v>
          </cell>
          <cell r="D292" t="str">
            <v>PRO002</v>
          </cell>
          <cell r="F292" t="str">
            <v>610000004094 &amp; P10-NI-EE</v>
          </cell>
          <cell r="G292">
            <v>100528</v>
          </cell>
        </row>
        <row r="293">
          <cell r="B293">
            <v>610000004095</v>
          </cell>
          <cell r="C293">
            <v>347660</v>
          </cell>
          <cell r="D293" t="str">
            <v>PRO002</v>
          </cell>
          <cell r="F293" t="str">
            <v>610000004095 &amp; P10-MC-EE</v>
          </cell>
          <cell r="G293">
            <v>100529</v>
          </cell>
        </row>
        <row r="294">
          <cell r="B294">
            <v>610000004096</v>
          </cell>
          <cell r="C294">
            <v>347661</v>
          </cell>
          <cell r="D294" t="str">
            <v>PRO002</v>
          </cell>
          <cell r="F294" t="str">
            <v>610000004096 &amp; P10-NI-EE</v>
          </cell>
          <cell r="G294">
            <v>100530</v>
          </cell>
        </row>
        <row r="295">
          <cell r="B295">
            <v>610000004115</v>
          </cell>
          <cell r="C295">
            <v>347662</v>
          </cell>
          <cell r="D295" t="str">
            <v>PRO002</v>
          </cell>
          <cell r="F295" t="str">
            <v>610000004115 &amp; P12-NI-EE2</v>
          </cell>
          <cell r="G295">
            <v>100549</v>
          </cell>
        </row>
        <row r="296">
          <cell r="B296">
            <v>610000004116</v>
          </cell>
          <cell r="C296">
            <v>347663</v>
          </cell>
          <cell r="D296" t="str">
            <v>PRO002</v>
          </cell>
          <cell r="F296" t="str">
            <v>610000004116 &amp; P12-NT-EE</v>
          </cell>
          <cell r="G296">
            <v>100550</v>
          </cell>
        </row>
        <row r="297">
          <cell r="B297">
            <v>610000004117</v>
          </cell>
          <cell r="C297">
            <v>347664</v>
          </cell>
          <cell r="D297" t="str">
            <v>PRO002</v>
          </cell>
          <cell r="F297" t="str">
            <v>610000004117 &amp; P12-QI-EE</v>
          </cell>
          <cell r="G297">
            <v>100551</v>
          </cell>
        </row>
        <row r="298">
          <cell r="B298">
            <v>610000004118</v>
          </cell>
          <cell r="C298">
            <v>347665</v>
          </cell>
          <cell r="D298" t="str">
            <v>PRO002</v>
          </cell>
          <cell r="F298" t="str">
            <v>610000004118 &amp; P12-QT-EE</v>
          </cell>
          <cell r="G298">
            <v>100552</v>
          </cell>
        </row>
        <row r="299">
          <cell r="B299">
            <v>610000004119</v>
          </cell>
          <cell r="C299">
            <v>347666</v>
          </cell>
          <cell r="D299" t="str">
            <v>PRO002</v>
          </cell>
          <cell r="F299" t="str">
            <v>610000004119 &amp; P12-HR-EE</v>
          </cell>
          <cell r="G299">
            <v>100553</v>
          </cell>
        </row>
        <row r="300">
          <cell r="B300">
            <v>610000004120</v>
          </cell>
          <cell r="C300">
            <v>347667</v>
          </cell>
          <cell r="D300" t="str">
            <v>PRO002</v>
          </cell>
          <cell r="F300" t="str">
            <v>610000004120 &amp; P12-HI-EE</v>
          </cell>
          <cell r="G300">
            <v>100554</v>
          </cell>
        </row>
        <row r="301">
          <cell r="B301">
            <v>610000004121</v>
          </cell>
          <cell r="C301">
            <v>347668</v>
          </cell>
          <cell r="D301" t="str">
            <v>PRO002</v>
          </cell>
          <cell r="F301" t="str">
            <v>610000004121 &amp; P13-NI-EE2</v>
          </cell>
          <cell r="G301">
            <v>100555</v>
          </cell>
        </row>
        <row r="302">
          <cell r="B302">
            <v>610000004122</v>
          </cell>
          <cell r="C302">
            <v>347669</v>
          </cell>
          <cell r="D302" t="str">
            <v>PRO002</v>
          </cell>
          <cell r="F302" t="str">
            <v>610000004122 &amp; P13-NI-EE3</v>
          </cell>
          <cell r="G302">
            <v>100556</v>
          </cell>
        </row>
        <row r="303">
          <cell r="B303">
            <v>610000004123</v>
          </cell>
          <cell r="C303">
            <v>347670</v>
          </cell>
          <cell r="D303" t="str">
            <v>PRO002</v>
          </cell>
          <cell r="F303" t="str">
            <v>610000004123 &amp; P13-NC-EE</v>
          </cell>
          <cell r="G303">
            <v>100557</v>
          </cell>
        </row>
        <row r="304">
          <cell r="B304">
            <v>610000004124</v>
          </cell>
          <cell r="C304">
            <v>347671</v>
          </cell>
          <cell r="D304" t="str">
            <v>PRO002</v>
          </cell>
          <cell r="F304" t="str">
            <v>610000004124 &amp; P13-NI-EE</v>
          </cell>
          <cell r="G304">
            <v>100558</v>
          </cell>
        </row>
        <row r="305">
          <cell r="B305">
            <v>610000004125</v>
          </cell>
          <cell r="C305">
            <v>347672</v>
          </cell>
          <cell r="D305" t="str">
            <v>PRO002</v>
          </cell>
          <cell r="F305" t="str">
            <v>610000004125 &amp; P13-NT-EE</v>
          </cell>
          <cell r="G305">
            <v>100559</v>
          </cell>
        </row>
        <row r="306">
          <cell r="B306">
            <v>610000004126</v>
          </cell>
          <cell r="C306">
            <v>347673</v>
          </cell>
          <cell r="D306" t="str">
            <v>PRO002</v>
          </cell>
          <cell r="F306" t="str">
            <v>610000004126 &amp; P13-QI-EE</v>
          </cell>
          <cell r="G306">
            <v>100560</v>
          </cell>
        </row>
        <row r="307">
          <cell r="B307">
            <v>610000004127</v>
          </cell>
          <cell r="C307">
            <v>347674</v>
          </cell>
          <cell r="D307" t="str">
            <v>PRO002</v>
          </cell>
          <cell r="F307" t="str">
            <v>610000004127 &amp; P13-QT-EE</v>
          </cell>
          <cell r="G307">
            <v>100561</v>
          </cell>
        </row>
        <row r="308">
          <cell r="B308">
            <v>610000004128</v>
          </cell>
          <cell r="C308">
            <v>347675</v>
          </cell>
          <cell r="D308" t="str">
            <v>PRO002</v>
          </cell>
          <cell r="F308" t="str">
            <v>610000004128 &amp; P14-NI-EE2</v>
          </cell>
          <cell r="G308">
            <v>100562</v>
          </cell>
        </row>
        <row r="309">
          <cell r="B309">
            <v>610000004129</v>
          </cell>
          <cell r="C309">
            <v>347676</v>
          </cell>
          <cell r="D309" t="str">
            <v>PRO002</v>
          </cell>
          <cell r="F309" t="str">
            <v>610000004129 &amp; P14-MC-EE</v>
          </cell>
          <cell r="G309">
            <v>100563</v>
          </cell>
        </row>
        <row r="310">
          <cell r="B310">
            <v>610000004130</v>
          </cell>
          <cell r="C310">
            <v>347677</v>
          </cell>
          <cell r="D310" t="str">
            <v>PRO002</v>
          </cell>
          <cell r="F310" t="str">
            <v>610000004130 &amp; P14-NI-EE</v>
          </cell>
          <cell r="G310">
            <v>100564</v>
          </cell>
        </row>
        <row r="311">
          <cell r="B311">
            <v>610000004131</v>
          </cell>
          <cell r="C311">
            <v>347678</v>
          </cell>
          <cell r="D311" t="str">
            <v>PRO002</v>
          </cell>
          <cell r="F311" t="str">
            <v>610000004131 &amp; P14-NI-EE3</v>
          </cell>
          <cell r="G311">
            <v>100565</v>
          </cell>
        </row>
        <row r="312">
          <cell r="B312">
            <v>610000004132</v>
          </cell>
          <cell r="C312">
            <v>347679</v>
          </cell>
          <cell r="D312" t="str">
            <v>PRO002</v>
          </cell>
          <cell r="F312" t="str">
            <v>610000004132 &amp; P14-NC-EE</v>
          </cell>
          <cell r="G312">
            <v>100566</v>
          </cell>
        </row>
        <row r="313">
          <cell r="B313">
            <v>610000004133</v>
          </cell>
          <cell r="C313">
            <v>347680</v>
          </cell>
          <cell r="D313" t="str">
            <v>PRO002</v>
          </cell>
          <cell r="F313" t="str">
            <v>610000004133 &amp; P14-NI-EE</v>
          </cell>
          <cell r="G313">
            <v>100567</v>
          </cell>
        </row>
        <row r="314">
          <cell r="B314">
            <v>610000004154</v>
          </cell>
          <cell r="C314">
            <v>347681</v>
          </cell>
          <cell r="D314" t="str">
            <v>PRO002</v>
          </cell>
          <cell r="F314" t="str">
            <v>610000004154 &amp; P16-QI-EE2</v>
          </cell>
          <cell r="G314">
            <v>100588</v>
          </cell>
        </row>
        <row r="315">
          <cell r="B315">
            <v>610000004155</v>
          </cell>
          <cell r="C315">
            <v>347682</v>
          </cell>
          <cell r="D315" t="str">
            <v>PRO002</v>
          </cell>
          <cell r="F315" t="str">
            <v>610000004155 &amp; P16-NT-EE</v>
          </cell>
          <cell r="G315">
            <v>100589</v>
          </cell>
        </row>
        <row r="316">
          <cell r="B316">
            <v>610000004156</v>
          </cell>
          <cell r="C316">
            <v>347683</v>
          </cell>
          <cell r="D316" t="str">
            <v>PRO002</v>
          </cell>
          <cell r="F316" t="str">
            <v>610000004156 &amp; P16-QI-EE</v>
          </cell>
          <cell r="G316">
            <v>100590</v>
          </cell>
        </row>
        <row r="317">
          <cell r="B317">
            <v>610000004157</v>
          </cell>
          <cell r="C317">
            <v>347684</v>
          </cell>
          <cell r="D317" t="str">
            <v>PRO002</v>
          </cell>
          <cell r="F317" t="str">
            <v>610000004157 &amp; P16-QT-EE</v>
          </cell>
          <cell r="G317">
            <v>100591</v>
          </cell>
        </row>
        <row r="318">
          <cell r="B318">
            <v>610000004158</v>
          </cell>
          <cell r="C318">
            <v>347685</v>
          </cell>
          <cell r="D318" t="str">
            <v>PRO002</v>
          </cell>
          <cell r="F318" t="str">
            <v>610000004158 &amp; P17-NI-EE2</v>
          </cell>
          <cell r="G318">
            <v>100592</v>
          </cell>
        </row>
        <row r="319">
          <cell r="B319">
            <v>610000004159</v>
          </cell>
          <cell r="C319">
            <v>347686</v>
          </cell>
          <cell r="D319" t="str">
            <v>PRO002</v>
          </cell>
          <cell r="F319" t="str">
            <v>610000004159 &amp; P17-NI-EE3</v>
          </cell>
          <cell r="G319">
            <v>100593</v>
          </cell>
        </row>
        <row r="320">
          <cell r="B320">
            <v>610000004160</v>
          </cell>
          <cell r="C320">
            <v>347687</v>
          </cell>
          <cell r="D320" t="str">
            <v>PRO002</v>
          </cell>
          <cell r="F320" t="str">
            <v>610000004160 &amp; P17-FI-EE3</v>
          </cell>
          <cell r="G320">
            <v>100594</v>
          </cell>
        </row>
        <row r="321">
          <cell r="B321">
            <v>610000004161</v>
          </cell>
          <cell r="C321">
            <v>347688</v>
          </cell>
          <cell r="D321" t="str">
            <v>PRO002</v>
          </cell>
          <cell r="F321" t="str">
            <v>610000004161 &amp; P17-FC-EE</v>
          </cell>
          <cell r="G321">
            <v>100595</v>
          </cell>
        </row>
        <row r="322">
          <cell r="B322">
            <v>610000004162</v>
          </cell>
          <cell r="C322">
            <v>347689</v>
          </cell>
          <cell r="D322" t="str">
            <v>PRO002</v>
          </cell>
          <cell r="F322" t="str">
            <v>610000004162 &amp; P17-MI-EE</v>
          </cell>
          <cell r="G322">
            <v>100596</v>
          </cell>
        </row>
        <row r="323">
          <cell r="B323">
            <v>610000004163</v>
          </cell>
          <cell r="C323">
            <v>347690</v>
          </cell>
          <cell r="D323" t="str">
            <v>PRO002</v>
          </cell>
          <cell r="F323" t="str">
            <v>610000004163 &amp; P17-MC-EE</v>
          </cell>
          <cell r="G323">
            <v>100597</v>
          </cell>
        </row>
        <row r="324">
          <cell r="B324">
            <v>610000004164</v>
          </cell>
          <cell r="C324">
            <v>347691</v>
          </cell>
          <cell r="D324" t="str">
            <v>PRO002</v>
          </cell>
          <cell r="F324" t="str">
            <v>610000004164 &amp; P17-MR-EE</v>
          </cell>
          <cell r="G324">
            <v>100598</v>
          </cell>
        </row>
        <row r="325">
          <cell r="B325">
            <v>610000004165</v>
          </cell>
          <cell r="C325">
            <v>347692</v>
          </cell>
          <cell r="D325" t="str">
            <v>PRO002</v>
          </cell>
          <cell r="F325" t="str">
            <v>610000004165 &amp; P17-NC-EE</v>
          </cell>
          <cell r="G325">
            <v>100599</v>
          </cell>
        </row>
        <row r="326">
          <cell r="B326">
            <v>610000004166</v>
          </cell>
          <cell r="C326">
            <v>347693</v>
          </cell>
          <cell r="D326" t="str">
            <v>PRO002</v>
          </cell>
          <cell r="F326" t="str">
            <v>610000004166 &amp; P17-NI-EE</v>
          </cell>
          <cell r="G326">
            <v>100600</v>
          </cell>
        </row>
        <row r="327">
          <cell r="B327">
            <v>610000004167</v>
          </cell>
          <cell r="C327">
            <v>347694</v>
          </cell>
          <cell r="D327" t="str">
            <v>PRO002</v>
          </cell>
          <cell r="F327" t="str">
            <v>610000004167 &amp; P17-QC-EE</v>
          </cell>
          <cell r="G327">
            <v>100601</v>
          </cell>
        </row>
        <row r="328">
          <cell r="B328">
            <v>610000004168</v>
          </cell>
          <cell r="C328">
            <v>347695</v>
          </cell>
          <cell r="D328" t="str">
            <v>PRO002</v>
          </cell>
          <cell r="F328" t="str">
            <v>610000004168 &amp; P17-QI-EE</v>
          </cell>
          <cell r="G328">
            <v>100602</v>
          </cell>
        </row>
        <row r="329">
          <cell r="B329">
            <v>610000004169</v>
          </cell>
          <cell r="C329">
            <v>347696</v>
          </cell>
          <cell r="D329" t="str">
            <v>PRO002</v>
          </cell>
          <cell r="F329" t="str">
            <v>610000004169 &amp; P17-QT-EE</v>
          </cell>
          <cell r="G329">
            <v>100603</v>
          </cell>
        </row>
        <row r="330">
          <cell r="B330">
            <v>610000004170</v>
          </cell>
          <cell r="C330">
            <v>347697</v>
          </cell>
          <cell r="D330" t="str">
            <v>PRO002</v>
          </cell>
          <cell r="F330" t="str">
            <v>610000004170 &amp; P17-HR-EE</v>
          </cell>
          <cell r="G330">
            <v>100604</v>
          </cell>
        </row>
        <row r="331">
          <cell r="B331">
            <v>610000004171</v>
          </cell>
          <cell r="C331">
            <v>347698</v>
          </cell>
          <cell r="D331" t="str">
            <v>PRO002</v>
          </cell>
          <cell r="F331" t="str">
            <v>610000004171 &amp; P17-HR-EE2</v>
          </cell>
          <cell r="G331">
            <v>100605</v>
          </cell>
        </row>
        <row r="332">
          <cell r="B332">
            <v>610000004172</v>
          </cell>
          <cell r="C332">
            <v>347699</v>
          </cell>
          <cell r="D332" t="str">
            <v>PRO002</v>
          </cell>
          <cell r="F332" t="str">
            <v>610000004172 &amp; P17-YR-EE</v>
          </cell>
          <cell r="G332">
            <v>100606</v>
          </cell>
        </row>
        <row r="333">
          <cell r="B333">
            <v>610000004173</v>
          </cell>
          <cell r="C333">
            <v>347700</v>
          </cell>
          <cell r="D333" t="str">
            <v>PRO002</v>
          </cell>
          <cell r="F333" t="str">
            <v>610000004173 &amp; P18-NI-EE2</v>
          </cell>
          <cell r="G333">
            <v>100607</v>
          </cell>
        </row>
        <row r="334">
          <cell r="B334">
            <v>610000004097</v>
          </cell>
          <cell r="C334">
            <v>348097</v>
          </cell>
          <cell r="D334" t="str">
            <v>PRO002</v>
          </cell>
          <cell r="F334" t="str">
            <v>610000004097 &amp; P10-NC-EE</v>
          </cell>
          <cell r="G334">
            <v>100531</v>
          </cell>
        </row>
        <row r="335">
          <cell r="B335">
            <v>610000004098</v>
          </cell>
          <cell r="C335">
            <v>348098</v>
          </cell>
          <cell r="D335" t="str">
            <v>PRO002</v>
          </cell>
          <cell r="F335" t="str">
            <v>610000004098 &amp; P10-NI-EE</v>
          </cell>
          <cell r="G335">
            <v>100532</v>
          </cell>
        </row>
        <row r="336">
          <cell r="B336">
            <v>610000004099</v>
          </cell>
          <cell r="C336">
            <v>348099</v>
          </cell>
          <cell r="D336" t="str">
            <v>PRO002</v>
          </cell>
          <cell r="F336" t="str">
            <v>610000004099 &amp; P10-QI-EE</v>
          </cell>
          <cell r="G336">
            <v>100533</v>
          </cell>
        </row>
        <row r="337">
          <cell r="B337">
            <v>610000004100</v>
          </cell>
          <cell r="C337">
            <v>348100</v>
          </cell>
          <cell r="D337" t="str">
            <v>PRO002</v>
          </cell>
          <cell r="F337" t="str">
            <v>610000004100 &amp; P10-HI-EE</v>
          </cell>
          <cell r="G337">
            <v>100534</v>
          </cell>
        </row>
        <row r="338">
          <cell r="B338">
            <v>610000004101</v>
          </cell>
          <cell r="C338">
            <v>348101</v>
          </cell>
          <cell r="D338" t="str">
            <v>PRO002</v>
          </cell>
          <cell r="F338" t="str">
            <v>610000004101 &amp; P11-NI-EE2</v>
          </cell>
          <cell r="G338">
            <v>100535</v>
          </cell>
        </row>
        <row r="339">
          <cell r="B339">
            <v>610000004102</v>
          </cell>
          <cell r="C339">
            <v>348102</v>
          </cell>
          <cell r="D339" t="str">
            <v>PRO002</v>
          </cell>
          <cell r="F339" t="str">
            <v>610000004102 &amp; P11-MC-EE</v>
          </cell>
          <cell r="G339">
            <v>100536</v>
          </cell>
        </row>
        <row r="340">
          <cell r="B340">
            <v>610000004103</v>
          </cell>
          <cell r="C340">
            <v>348103</v>
          </cell>
          <cell r="D340" t="str">
            <v>PRO002</v>
          </cell>
          <cell r="F340" t="str">
            <v>610000004103 &amp; P11-NI-EE</v>
          </cell>
          <cell r="G340">
            <v>100537</v>
          </cell>
        </row>
        <row r="341">
          <cell r="B341">
            <v>610000004104</v>
          </cell>
          <cell r="C341">
            <v>348104</v>
          </cell>
          <cell r="D341" t="str">
            <v>PRO002</v>
          </cell>
          <cell r="F341" t="str">
            <v>610000004104 &amp; P11-NC-EE</v>
          </cell>
          <cell r="G341">
            <v>100538</v>
          </cell>
        </row>
        <row r="342">
          <cell r="B342">
            <v>610000004105</v>
          </cell>
          <cell r="C342">
            <v>348105</v>
          </cell>
          <cell r="D342" t="str">
            <v>PRO002</v>
          </cell>
          <cell r="F342" t="str">
            <v>610000004105 &amp; P11-NI-EE</v>
          </cell>
          <cell r="G342">
            <v>100539</v>
          </cell>
        </row>
        <row r="343">
          <cell r="B343">
            <v>610000004106</v>
          </cell>
          <cell r="C343">
            <v>348106</v>
          </cell>
          <cell r="D343" t="str">
            <v>PRO002</v>
          </cell>
          <cell r="F343" t="str">
            <v>610000004106 &amp; P11-NT-EE</v>
          </cell>
          <cell r="G343">
            <v>100540</v>
          </cell>
        </row>
        <row r="344">
          <cell r="B344">
            <v>610000004107</v>
          </cell>
          <cell r="C344">
            <v>348107</v>
          </cell>
          <cell r="D344" t="str">
            <v>PRO002</v>
          </cell>
          <cell r="F344" t="str">
            <v>610000004107 &amp; P11-QI-EE</v>
          </cell>
          <cell r="G344">
            <v>100541</v>
          </cell>
        </row>
        <row r="345">
          <cell r="B345">
            <v>610000004108</v>
          </cell>
          <cell r="C345">
            <v>348108</v>
          </cell>
          <cell r="D345" t="str">
            <v>PRO002</v>
          </cell>
          <cell r="F345" t="str">
            <v>610000004108 &amp; P11-QT-EE</v>
          </cell>
          <cell r="G345">
            <v>100542</v>
          </cell>
        </row>
        <row r="346">
          <cell r="B346">
            <v>610000004109</v>
          </cell>
          <cell r="C346">
            <v>348109</v>
          </cell>
          <cell r="D346" t="str">
            <v>PRO002</v>
          </cell>
          <cell r="F346" t="str">
            <v>610000004109 &amp; P11-HR-EE</v>
          </cell>
          <cell r="G346">
            <v>100543</v>
          </cell>
        </row>
        <row r="347">
          <cell r="B347">
            <v>610000004110</v>
          </cell>
          <cell r="C347">
            <v>348110</v>
          </cell>
          <cell r="D347" t="str">
            <v>PRO002</v>
          </cell>
          <cell r="F347" t="str">
            <v>610000004110 &amp; P12-NI-EE3</v>
          </cell>
          <cell r="G347">
            <v>100544</v>
          </cell>
        </row>
        <row r="348">
          <cell r="B348">
            <v>610000004111</v>
          </cell>
          <cell r="C348">
            <v>348111</v>
          </cell>
          <cell r="D348" t="str">
            <v>PRO002</v>
          </cell>
          <cell r="F348" t="str">
            <v>610000004111 &amp; P12-NC-EE</v>
          </cell>
          <cell r="G348">
            <v>100545</v>
          </cell>
        </row>
        <row r="349">
          <cell r="B349">
            <v>610000004112</v>
          </cell>
          <cell r="C349">
            <v>348112</v>
          </cell>
          <cell r="D349" t="str">
            <v>PRO002</v>
          </cell>
          <cell r="F349" t="str">
            <v>610000004112 &amp; P12-NI-EE4</v>
          </cell>
          <cell r="G349">
            <v>100546</v>
          </cell>
        </row>
        <row r="350">
          <cell r="B350">
            <v>610000004113</v>
          </cell>
          <cell r="C350">
            <v>348113</v>
          </cell>
          <cell r="D350" t="str">
            <v>PRO002</v>
          </cell>
          <cell r="F350" t="str">
            <v>610000004113 &amp; P12-NC-EE</v>
          </cell>
          <cell r="G350">
            <v>100547</v>
          </cell>
        </row>
        <row r="351">
          <cell r="B351">
            <v>610000004114</v>
          </cell>
          <cell r="C351">
            <v>348114</v>
          </cell>
          <cell r="D351" t="str">
            <v>PRO002</v>
          </cell>
          <cell r="F351" t="str">
            <v>610000004114 &amp; P12-NI-EE</v>
          </cell>
          <cell r="G351">
            <v>100548</v>
          </cell>
        </row>
        <row r="352">
          <cell r="B352">
            <v>610000004021</v>
          </cell>
          <cell r="C352">
            <v>348115</v>
          </cell>
          <cell r="D352" t="str">
            <v>PRO001</v>
          </cell>
          <cell r="F352" t="str">
            <v>610000004021 &amp; P10-MI-ME</v>
          </cell>
          <cell r="G352">
            <v>100455</v>
          </cell>
        </row>
        <row r="353">
          <cell r="B353">
            <v>610000004022</v>
          </cell>
          <cell r="C353">
            <v>348116</v>
          </cell>
          <cell r="D353" t="str">
            <v>PRO001</v>
          </cell>
          <cell r="F353" t="str">
            <v>610000004022 &amp; P10-ML-ME</v>
          </cell>
          <cell r="G353">
            <v>100456</v>
          </cell>
        </row>
        <row r="354">
          <cell r="B354">
            <v>610000004023</v>
          </cell>
          <cell r="C354">
            <v>348117</v>
          </cell>
          <cell r="D354" t="str">
            <v>PRO001</v>
          </cell>
          <cell r="F354" t="str">
            <v>610000004023 &amp; P10-HR-ME</v>
          </cell>
          <cell r="G354">
            <v>100457</v>
          </cell>
        </row>
        <row r="355">
          <cell r="B355">
            <v>610000004024</v>
          </cell>
          <cell r="C355">
            <v>348118</v>
          </cell>
          <cell r="D355" t="str">
            <v>PRO001</v>
          </cell>
          <cell r="F355" t="str">
            <v>610000004024 &amp; P10-HL-ME</v>
          </cell>
          <cell r="G355">
            <v>100458</v>
          </cell>
        </row>
        <row r="356">
          <cell r="B356">
            <v>610000004025</v>
          </cell>
          <cell r="C356">
            <v>348119</v>
          </cell>
          <cell r="D356" t="str">
            <v>PRO001</v>
          </cell>
          <cell r="F356" t="str">
            <v>610000004025 &amp; P11-ML-ME</v>
          </cell>
          <cell r="G356">
            <v>100459</v>
          </cell>
        </row>
        <row r="357">
          <cell r="B357">
            <v>610000004026</v>
          </cell>
          <cell r="C357">
            <v>348120</v>
          </cell>
          <cell r="D357" t="str">
            <v>PRO001</v>
          </cell>
          <cell r="F357" t="str">
            <v>610000004026 &amp; P11-MI-ME</v>
          </cell>
          <cell r="G357">
            <v>100460</v>
          </cell>
        </row>
        <row r="358">
          <cell r="B358">
            <v>610000004027</v>
          </cell>
          <cell r="C358">
            <v>348121</v>
          </cell>
          <cell r="D358" t="str">
            <v>PRO001</v>
          </cell>
          <cell r="F358" t="str">
            <v>610000004027 &amp; P11-ML-ME</v>
          </cell>
          <cell r="G358">
            <v>100461</v>
          </cell>
        </row>
        <row r="359">
          <cell r="B359">
            <v>610000004028</v>
          </cell>
          <cell r="C359">
            <v>348122</v>
          </cell>
          <cell r="D359" t="str">
            <v>PRO001</v>
          </cell>
          <cell r="F359" t="str">
            <v>610000004028 &amp; P11-MV-ME</v>
          </cell>
          <cell r="G359">
            <v>100462</v>
          </cell>
        </row>
        <row r="360">
          <cell r="B360">
            <v>610000004029</v>
          </cell>
          <cell r="C360">
            <v>348123</v>
          </cell>
          <cell r="D360" t="str">
            <v>PRO001</v>
          </cell>
          <cell r="F360" t="str">
            <v>610000004029 &amp; P11-HL-ME</v>
          </cell>
          <cell r="G360">
            <v>100463</v>
          </cell>
        </row>
        <row r="361">
          <cell r="B361">
            <v>610000004030</v>
          </cell>
          <cell r="C361">
            <v>348124</v>
          </cell>
          <cell r="D361" t="str">
            <v>PRO001</v>
          </cell>
          <cell r="F361" t="str">
            <v>610000004030 &amp; P11-YR-ME</v>
          </cell>
          <cell r="G361">
            <v>100464</v>
          </cell>
        </row>
        <row r="362">
          <cell r="B362">
            <v>610000004031</v>
          </cell>
          <cell r="C362">
            <v>348125</v>
          </cell>
          <cell r="D362" t="str">
            <v>PRO001</v>
          </cell>
          <cell r="F362" t="str">
            <v>610000004031 &amp; P12-FI-ME</v>
          </cell>
          <cell r="G362">
            <v>100465</v>
          </cell>
        </row>
        <row r="363">
          <cell r="B363">
            <v>610000004032</v>
          </cell>
          <cell r="C363">
            <v>348126</v>
          </cell>
          <cell r="D363" t="str">
            <v>PRO001</v>
          </cell>
          <cell r="F363" t="str">
            <v>610000004032 &amp; P12-ML-ME</v>
          </cell>
          <cell r="G363">
            <v>100466</v>
          </cell>
        </row>
        <row r="364">
          <cell r="B364">
            <v>610000004033</v>
          </cell>
          <cell r="C364">
            <v>348127</v>
          </cell>
          <cell r="D364" t="str">
            <v>PRO001</v>
          </cell>
          <cell r="F364" t="str">
            <v>610000004033 &amp; P12-MI-ME</v>
          </cell>
          <cell r="G364">
            <v>100467</v>
          </cell>
        </row>
        <row r="365">
          <cell r="B365">
            <v>610000004034</v>
          </cell>
          <cell r="C365">
            <v>348128</v>
          </cell>
          <cell r="D365" t="str">
            <v>PRO001</v>
          </cell>
          <cell r="F365" t="str">
            <v>610000004034 &amp; P12-ML-ME</v>
          </cell>
          <cell r="G365">
            <v>100468</v>
          </cell>
        </row>
        <row r="366">
          <cell r="B366">
            <v>610000004035</v>
          </cell>
          <cell r="C366">
            <v>348129</v>
          </cell>
          <cell r="D366" t="str">
            <v>PRO001</v>
          </cell>
          <cell r="F366" t="str">
            <v>610000004035 &amp; P12-MV-ME</v>
          </cell>
          <cell r="G366">
            <v>100469</v>
          </cell>
        </row>
        <row r="367">
          <cell r="B367">
            <v>610000004036</v>
          </cell>
          <cell r="C367">
            <v>348130</v>
          </cell>
          <cell r="D367" t="str">
            <v>PRO001</v>
          </cell>
          <cell r="F367" t="str">
            <v>610000004036 &amp; P12-MC-ME</v>
          </cell>
          <cell r="G367">
            <v>100470</v>
          </cell>
        </row>
        <row r="368">
          <cell r="B368">
            <v>610000004037</v>
          </cell>
          <cell r="C368">
            <v>348131</v>
          </cell>
          <cell r="D368" t="str">
            <v>PRO001</v>
          </cell>
          <cell r="F368" t="str">
            <v>610000004037 &amp; P12-QC-ME</v>
          </cell>
          <cell r="G368">
            <v>100471</v>
          </cell>
        </row>
        <row r="369">
          <cell r="B369">
            <v>610000004038</v>
          </cell>
          <cell r="C369">
            <v>348132</v>
          </cell>
          <cell r="D369" t="str">
            <v>PRO001</v>
          </cell>
          <cell r="F369" t="str">
            <v>610000004038 &amp; P12-QI-ME</v>
          </cell>
          <cell r="G369">
            <v>100472</v>
          </cell>
        </row>
        <row r="370">
          <cell r="B370">
            <v>610000004134</v>
          </cell>
          <cell r="C370">
            <v>348403</v>
          </cell>
          <cell r="D370" t="str">
            <v>PRO002</v>
          </cell>
          <cell r="F370" t="str">
            <v>610000004134 &amp; P14-NT-EE</v>
          </cell>
          <cell r="G370">
            <v>100568</v>
          </cell>
        </row>
        <row r="371">
          <cell r="B371">
            <v>610000004135</v>
          </cell>
          <cell r="C371">
            <v>348404</v>
          </cell>
          <cell r="D371" t="str">
            <v>PRO002</v>
          </cell>
          <cell r="F371" t="str">
            <v>610000004135 &amp; P14-QC-EE</v>
          </cell>
          <cell r="G371">
            <v>100569</v>
          </cell>
        </row>
        <row r="372">
          <cell r="B372">
            <v>610000004136</v>
          </cell>
          <cell r="C372">
            <v>348405</v>
          </cell>
          <cell r="D372" t="str">
            <v>PRO002</v>
          </cell>
          <cell r="F372" t="str">
            <v>610000004136 &amp; P14-QI-EE</v>
          </cell>
          <cell r="G372">
            <v>100570</v>
          </cell>
        </row>
        <row r="373">
          <cell r="B373">
            <v>610000004137</v>
          </cell>
          <cell r="C373">
            <v>348406</v>
          </cell>
          <cell r="D373" t="str">
            <v>PRO002</v>
          </cell>
          <cell r="F373" t="str">
            <v>610000004137 &amp; P14-QT-EE</v>
          </cell>
          <cell r="G373">
            <v>100571</v>
          </cell>
        </row>
        <row r="374">
          <cell r="B374">
            <v>610000004138</v>
          </cell>
          <cell r="C374">
            <v>348407</v>
          </cell>
          <cell r="D374" t="str">
            <v>PRO002</v>
          </cell>
          <cell r="F374" t="str">
            <v>610000004138 &amp; P14-HI-EE</v>
          </cell>
          <cell r="G374">
            <v>100572</v>
          </cell>
        </row>
        <row r="375">
          <cell r="B375">
            <v>610000004139</v>
          </cell>
          <cell r="C375">
            <v>348408</v>
          </cell>
          <cell r="D375" t="str">
            <v>PRO002</v>
          </cell>
          <cell r="F375" t="str">
            <v>610000004139 &amp; P14-HI-EE2</v>
          </cell>
          <cell r="G375">
            <v>100573</v>
          </cell>
        </row>
        <row r="376">
          <cell r="B376">
            <v>610000004140</v>
          </cell>
          <cell r="C376">
            <v>348409</v>
          </cell>
          <cell r="D376" t="str">
            <v>PRO002</v>
          </cell>
          <cell r="F376" t="str">
            <v>610000004140 &amp; P14-HT-EE</v>
          </cell>
          <cell r="G376">
            <v>100574</v>
          </cell>
        </row>
        <row r="377">
          <cell r="B377">
            <v>610000004141</v>
          </cell>
          <cell r="C377">
            <v>348410</v>
          </cell>
          <cell r="D377" t="str">
            <v>PRO002</v>
          </cell>
          <cell r="F377" t="str">
            <v>610000004141 &amp; P14-YCB-EE</v>
          </cell>
          <cell r="G377">
            <v>100575</v>
          </cell>
        </row>
        <row r="378">
          <cell r="B378">
            <v>610000004142</v>
          </cell>
          <cell r="C378">
            <v>348411</v>
          </cell>
          <cell r="D378" t="str">
            <v>PRO002</v>
          </cell>
          <cell r="F378" t="str">
            <v>610000004142 &amp; P15-NI-EE2</v>
          </cell>
          <cell r="G378">
            <v>100576</v>
          </cell>
        </row>
        <row r="379">
          <cell r="B379">
            <v>610000004143</v>
          </cell>
          <cell r="C379">
            <v>348412</v>
          </cell>
          <cell r="D379" t="str">
            <v>PRO002</v>
          </cell>
          <cell r="F379" t="str">
            <v>610000004143 &amp; P15-NC-EE</v>
          </cell>
          <cell r="G379">
            <v>100577</v>
          </cell>
        </row>
        <row r="380">
          <cell r="B380">
            <v>610000004144</v>
          </cell>
          <cell r="C380">
            <v>348413</v>
          </cell>
          <cell r="D380" t="str">
            <v>PRO002</v>
          </cell>
          <cell r="F380" t="str">
            <v>610000004144 &amp; P15-NI-EE</v>
          </cell>
          <cell r="G380">
            <v>100578</v>
          </cell>
        </row>
        <row r="381">
          <cell r="B381">
            <v>610000004145</v>
          </cell>
          <cell r="C381">
            <v>348414</v>
          </cell>
          <cell r="D381" t="str">
            <v>PRO002</v>
          </cell>
          <cell r="F381" t="str">
            <v>610000004145 &amp; P15-NT-EE</v>
          </cell>
          <cell r="G381">
            <v>100579</v>
          </cell>
        </row>
        <row r="382">
          <cell r="B382">
            <v>610000004146</v>
          </cell>
          <cell r="C382">
            <v>348415</v>
          </cell>
          <cell r="D382" t="str">
            <v>PRO002</v>
          </cell>
          <cell r="F382" t="str">
            <v>610000004146 &amp; P15-QI-EE</v>
          </cell>
          <cell r="G382">
            <v>100580</v>
          </cell>
        </row>
        <row r="383">
          <cell r="B383">
            <v>610000004147</v>
          </cell>
          <cell r="C383">
            <v>348416</v>
          </cell>
          <cell r="D383" t="str">
            <v>PRO002</v>
          </cell>
          <cell r="F383" t="str">
            <v>610000004147 &amp; P15-HC-EE</v>
          </cell>
          <cell r="G383">
            <v>100581</v>
          </cell>
        </row>
        <row r="384">
          <cell r="B384">
            <v>610000004148</v>
          </cell>
          <cell r="C384">
            <v>348417</v>
          </cell>
          <cell r="D384" t="str">
            <v>PRO002</v>
          </cell>
          <cell r="F384" t="str">
            <v>610000004148 &amp; P15-HI-EE</v>
          </cell>
          <cell r="G384">
            <v>100582</v>
          </cell>
        </row>
        <row r="385">
          <cell r="B385">
            <v>610000004149</v>
          </cell>
          <cell r="C385">
            <v>348418</v>
          </cell>
          <cell r="D385" t="str">
            <v>PRO002</v>
          </cell>
          <cell r="F385" t="str">
            <v>610000004149 &amp; P15-HR-EE</v>
          </cell>
          <cell r="G385">
            <v>100583</v>
          </cell>
        </row>
        <row r="386">
          <cell r="B386">
            <v>610000004150</v>
          </cell>
          <cell r="C386">
            <v>348419</v>
          </cell>
          <cell r="D386" t="str">
            <v>PRO002</v>
          </cell>
          <cell r="F386" t="str">
            <v>610000004150 &amp; P15-HT-EE</v>
          </cell>
          <cell r="G386">
            <v>100584</v>
          </cell>
        </row>
        <row r="387">
          <cell r="B387">
            <v>610000004151</v>
          </cell>
          <cell r="C387">
            <v>348420</v>
          </cell>
          <cell r="D387" t="str">
            <v>PRO002</v>
          </cell>
          <cell r="F387" t="str">
            <v>610000004151 &amp; P16-NI-EE2</v>
          </cell>
          <cell r="G387">
            <v>100585</v>
          </cell>
        </row>
        <row r="388">
          <cell r="B388">
            <v>610000004152</v>
          </cell>
          <cell r="C388">
            <v>348421</v>
          </cell>
          <cell r="D388" t="str">
            <v>PRO002</v>
          </cell>
          <cell r="F388" t="str">
            <v>610000004152 &amp; P16-MC-EE</v>
          </cell>
          <cell r="G388">
            <v>100586</v>
          </cell>
        </row>
        <row r="389">
          <cell r="B389">
            <v>610000004153</v>
          </cell>
          <cell r="C389">
            <v>348422</v>
          </cell>
          <cell r="D389" t="str">
            <v>PRO002</v>
          </cell>
          <cell r="F389" t="str">
            <v>610000004153 &amp; P16-NC-EE</v>
          </cell>
          <cell r="G389">
            <v>100587</v>
          </cell>
        </row>
        <row r="390">
          <cell r="B390">
            <v>610000004174</v>
          </cell>
          <cell r="C390">
            <v>348444</v>
          </cell>
          <cell r="D390" t="str">
            <v>PRO002</v>
          </cell>
          <cell r="F390" t="str">
            <v>610000004174 &amp; P18-NI-EE3</v>
          </cell>
          <cell r="G390">
            <v>100608</v>
          </cell>
        </row>
        <row r="391">
          <cell r="B391">
            <v>610000004175</v>
          </cell>
          <cell r="C391">
            <v>348445</v>
          </cell>
          <cell r="D391" t="str">
            <v>PRO002</v>
          </cell>
          <cell r="F391" t="str">
            <v>610000004175 &amp; P18-FI-EE3</v>
          </cell>
          <cell r="G391">
            <v>100609</v>
          </cell>
        </row>
        <row r="392">
          <cell r="B392">
            <v>610000004176</v>
          </cell>
          <cell r="C392">
            <v>348446</v>
          </cell>
          <cell r="D392" t="str">
            <v>PRO002</v>
          </cell>
          <cell r="F392" t="str">
            <v>610000004176 &amp; P18-NI-EE</v>
          </cell>
          <cell r="G392">
            <v>100610</v>
          </cell>
        </row>
        <row r="393">
          <cell r="B393">
            <v>610000004177</v>
          </cell>
          <cell r="C393">
            <v>348447</v>
          </cell>
          <cell r="D393" t="str">
            <v>PRO002</v>
          </cell>
          <cell r="F393" t="str">
            <v>610000004177 &amp; P18-MC-EE</v>
          </cell>
          <cell r="G393">
            <v>100611</v>
          </cell>
        </row>
        <row r="394">
          <cell r="B394">
            <v>610000004178</v>
          </cell>
          <cell r="C394">
            <v>348448</v>
          </cell>
          <cell r="D394" t="str">
            <v>PRO002</v>
          </cell>
          <cell r="F394" t="str">
            <v>610000004178 &amp; P18-NC-EE</v>
          </cell>
          <cell r="G394">
            <v>100612</v>
          </cell>
        </row>
        <row r="395">
          <cell r="B395">
            <v>610000004179</v>
          </cell>
          <cell r="C395">
            <v>348449</v>
          </cell>
          <cell r="D395" t="str">
            <v>PRO002</v>
          </cell>
          <cell r="F395" t="str">
            <v>610000004179 &amp; P18-NI-EE</v>
          </cell>
          <cell r="G395">
            <v>100613</v>
          </cell>
        </row>
        <row r="396">
          <cell r="B396">
            <v>610000004180</v>
          </cell>
          <cell r="C396">
            <v>348450</v>
          </cell>
          <cell r="D396" t="str">
            <v>PRO002</v>
          </cell>
          <cell r="F396" t="str">
            <v>610000004180 &amp; P18-NT-EE</v>
          </cell>
          <cell r="G396">
            <v>100614</v>
          </cell>
        </row>
        <row r="397">
          <cell r="B397">
            <v>610000004181</v>
          </cell>
          <cell r="C397">
            <v>348451</v>
          </cell>
          <cell r="D397" t="str">
            <v>PRO002</v>
          </cell>
          <cell r="F397" t="str">
            <v>610000004181 &amp; P18-QT-EE</v>
          </cell>
          <cell r="G397">
            <v>100615</v>
          </cell>
        </row>
        <row r="398">
          <cell r="B398">
            <v>610000004058</v>
          </cell>
          <cell r="C398">
            <v>348551</v>
          </cell>
          <cell r="D398" t="str">
            <v>PRO001</v>
          </cell>
          <cell r="F398" t="str">
            <v>610000004058 &amp; P13-HR-ME</v>
          </cell>
          <cell r="G398">
            <v>100492</v>
          </cell>
        </row>
        <row r="399">
          <cell r="B399">
            <v>610000004059</v>
          </cell>
          <cell r="C399">
            <v>348552</v>
          </cell>
          <cell r="D399" t="str">
            <v>PRO001</v>
          </cell>
          <cell r="F399" t="str">
            <v>610000004059 &amp; P13-HL-ME</v>
          </cell>
          <cell r="G399">
            <v>100493</v>
          </cell>
        </row>
        <row r="400">
          <cell r="B400">
            <v>610000004060</v>
          </cell>
          <cell r="C400">
            <v>348553</v>
          </cell>
          <cell r="D400" t="str">
            <v>PRO001</v>
          </cell>
          <cell r="F400" t="str">
            <v>610000004060 &amp; P14-FL-ME</v>
          </cell>
          <cell r="G400">
            <v>100494</v>
          </cell>
        </row>
        <row r="401">
          <cell r="B401">
            <v>610000004061</v>
          </cell>
          <cell r="C401">
            <v>348554</v>
          </cell>
          <cell r="D401" t="str">
            <v>PRO001</v>
          </cell>
          <cell r="F401" t="str">
            <v>610000004061 &amp; P14-MI-ME</v>
          </cell>
          <cell r="G401">
            <v>100495</v>
          </cell>
        </row>
        <row r="402">
          <cell r="B402">
            <v>610000004062</v>
          </cell>
          <cell r="C402">
            <v>348555</v>
          </cell>
          <cell r="D402" t="str">
            <v>PRO001</v>
          </cell>
          <cell r="F402" t="str">
            <v>610000004062 &amp; P14-ML-ME</v>
          </cell>
          <cell r="G402">
            <v>100496</v>
          </cell>
        </row>
        <row r="403">
          <cell r="B403">
            <v>610000004063</v>
          </cell>
          <cell r="C403">
            <v>348556</v>
          </cell>
          <cell r="D403" t="str">
            <v>PRO001</v>
          </cell>
          <cell r="F403" t="str">
            <v>610000004063 &amp; P14-MV-ME</v>
          </cell>
          <cell r="G403">
            <v>100497</v>
          </cell>
        </row>
        <row r="404">
          <cell r="B404">
            <v>610000004064</v>
          </cell>
          <cell r="C404">
            <v>348557</v>
          </cell>
          <cell r="D404" t="str">
            <v>PRO001</v>
          </cell>
          <cell r="F404" t="str">
            <v>610000004064 &amp; P14-MC-ME</v>
          </cell>
          <cell r="G404">
            <v>100498</v>
          </cell>
        </row>
        <row r="405">
          <cell r="B405">
            <v>610000004065</v>
          </cell>
          <cell r="C405">
            <v>348558</v>
          </cell>
          <cell r="D405" t="str">
            <v>PRO001</v>
          </cell>
          <cell r="F405" t="str">
            <v>610000004065 &amp; P14-QI-ME</v>
          </cell>
          <cell r="G405">
            <v>100499</v>
          </cell>
        </row>
        <row r="406">
          <cell r="B406">
            <v>610000004066</v>
          </cell>
          <cell r="C406">
            <v>348559</v>
          </cell>
          <cell r="D406" t="str">
            <v>PRO001</v>
          </cell>
          <cell r="F406" t="str">
            <v>610000004066 &amp; P14-HR-ME</v>
          </cell>
          <cell r="G406">
            <v>100500</v>
          </cell>
        </row>
        <row r="407">
          <cell r="B407">
            <v>610000004067</v>
          </cell>
          <cell r="C407">
            <v>348560</v>
          </cell>
          <cell r="D407" t="str">
            <v>PRO001</v>
          </cell>
          <cell r="F407" t="str">
            <v>610000004067 &amp; P14-HL-ME</v>
          </cell>
          <cell r="G407">
            <v>100501</v>
          </cell>
        </row>
        <row r="408">
          <cell r="B408">
            <v>610000004068</v>
          </cell>
          <cell r="C408">
            <v>348561</v>
          </cell>
          <cell r="D408" t="str">
            <v>PRO001</v>
          </cell>
          <cell r="F408" t="str">
            <v>610000004068 &amp; P15-WL-ME</v>
          </cell>
          <cell r="G408">
            <v>100502</v>
          </cell>
        </row>
        <row r="409">
          <cell r="B409">
            <v>610000004069</v>
          </cell>
          <cell r="C409">
            <v>348562</v>
          </cell>
          <cell r="D409" t="str">
            <v>PRO001</v>
          </cell>
          <cell r="F409" t="str">
            <v>610000004069 &amp; P15-FI-ME</v>
          </cell>
          <cell r="G409">
            <v>100503</v>
          </cell>
        </row>
        <row r="410">
          <cell r="B410">
            <v>610000004070</v>
          </cell>
          <cell r="C410">
            <v>348563</v>
          </cell>
          <cell r="D410" t="str">
            <v>PRO001</v>
          </cell>
          <cell r="F410" t="str">
            <v>610000004070 &amp; P15-FL-ME</v>
          </cell>
          <cell r="G410">
            <v>100504</v>
          </cell>
        </row>
        <row r="411">
          <cell r="B411">
            <v>610000004071</v>
          </cell>
          <cell r="C411">
            <v>348564</v>
          </cell>
          <cell r="D411" t="str">
            <v>PRO001</v>
          </cell>
          <cell r="F411" t="str">
            <v>610000004071 &amp; P15-MI-ME</v>
          </cell>
          <cell r="G411">
            <v>100505</v>
          </cell>
        </row>
        <row r="412">
          <cell r="B412">
            <v>610000004072</v>
          </cell>
          <cell r="C412">
            <v>348565</v>
          </cell>
          <cell r="D412" t="str">
            <v>PRO001</v>
          </cell>
          <cell r="F412" t="str">
            <v>610000004072 &amp; P15-MV-ME</v>
          </cell>
          <cell r="G412">
            <v>100506</v>
          </cell>
        </row>
        <row r="413">
          <cell r="B413">
            <v>610000004073</v>
          </cell>
          <cell r="C413">
            <v>348566</v>
          </cell>
          <cell r="D413" t="str">
            <v>PRO001</v>
          </cell>
          <cell r="F413" t="str">
            <v>610000004073 &amp; P15-ML-ME</v>
          </cell>
          <cell r="G413">
            <v>100507</v>
          </cell>
        </row>
        <row r="414">
          <cell r="B414">
            <v>610000004074</v>
          </cell>
          <cell r="C414">
            <v>348567</v>
          </cell>
          <cell r="D414" t="str">
            <v>PRO001</v>
          </cell>
          <cell r="F414" t="str">
            <v>610000004074 &amp; P15-QL-ME</v>
          </cell>
          <cell r="G414">
            <v>100508</v>
          </cell>
        </row>
        <row r="415">
          <cell r="B415">
            <v>610000004075</v>
          </cell>
          <cell r="C415">
            <v>348568</v>
          </cell>
          <cell r="D415" t="str">
            <v>PRO001</v>
          </cell>
          <cell r="F415" t="str">
            <v>610000004075 &amp; P15-HR-ME</v>
          </cell>
          <cell r="G415">
            <v>100509</v>
          </cell>
        </row>
        <row r="416">
          <cell r="B416">
            <v>610000004076</v>
          </cell>
          <cell r="C416">
            <v>348569</v>
          </cell>
          <cell r="D416" t="str">
            <v>PRO001</v>
          </cell>
          <cell r="F416" t="str">
            <v>610000004076 &amp; P15-YR-ME</v>
          </cell>
          <cell r="G416">
            <v>100510</v>
          </cell>
        </row>
        <row r="417">
          <cell r="B417">
            <v>610000004077</v>
          </cell>
          <cell r="C417">
            <v>348570</v>
          </cell>
          <cell r="D417" t="str">
            <v>PRO001</v>
          </cell>
          <cell r="F417" t="str">
            <v>610000004077 &amp; P16-FL-ME</v>
          </cell>
          <cell r="G417">
            <v>100511</v>
          </cell>
        </row>
        <row r="418">
          <cell r="B418">
            <v>610000004050</v>
          </cell>
          <cell r="C418">
            <v>348621</v>
          </cell>
          <cell r="D418" t="str">
            <v>PRO001</v>
          </cell>
          <cell r="F418" t="str">
            <v>610000004050 &amp; P13-FC-ME</v>
          </cell>
          <cell r="G418">
            <v>100484</v>
          </cell>
        </row>
        <row r="419">
          <cell r="B419">
            <v>341715</v>
          </cell>
          <cell r="C419">
            <v>349823</v>
          </cell>
          <cell r="D419" t="str">
            <v>PRO002</v>
          </cell>
          <cell r="F419" t="str">
            <v>6M - EE Oil Heating Zone (P14)</v>
          </cell>
          <cell r="G419">
            <v>377</v>
          </cell>
        </row>
        <row r="420">
          <cell r="B420">
            <v>342254</v>
          </cell>
          <cell r="C420">
            <v>350424</v>
          </cell>
          <cell r="D420" t="str">
            <v>PRO001</v>
          </cell>
          <cell r="F420" t="str">
            <v>342254 &amp; P11-HR-ME</v>
          </cell>
          <cell r="G420">
            <v>450</v>
          </cell>
        </row>
        <row r="421">
          <cell r="B421">
            <v>342256</v>
          </cell>
          <cell r="C421">
            <v>350426</v>
          </cell>
          <cell r="D421" t="str">
            <v>PRO002</v>
          </cell>
          <cell r="F421" t="str">
            <v>342256 &amp; P17-FI-EE4</v>
          </cell>
          <cell r="G421">
            <v>452</v>
          </cell>
        </row>
        <row r="422">
          <cell r="B422">
            <v>342257</v>
          </cell>
          <cell r="C422">
            <v>350427</v>
          </cell>
          <cell r="D422" t="str">
            <v>PRO001</v>
          </cell>
          <cell r="F422" t="str">
            <v>342257 &amp; P17-WC-ME</v>
          </cell>
          <cell r="G422">
            <v>453</v>
          </cell>
        </row>
        <row r="423">
          <cell r="B423">
            <v>342258</v>
          </cell>
          <cell r="C423">
            <v>350428</v>
          </cell>
          <cell r="D423" t="str">
            <v>PRO001</v>
          </cell>
          <cell r="F423" t="str">
            <v>342258 &amp; P17-FI-ME2</v>
          </cell>
          <cell r="G423">
            <v>454</v>
          </cell>
        </row>
        <row r="424">
          <cell r="B424">
            <v>342279</v>
          </cell>
          <cell r="C424">
            <v>350459</v>
          </cell>
          <cell r="D424" t="str">
            <v>PRO001</v>
          </cell>
          <cell r="F424" t="str">
            <v>342279 &amp; P14-ML-ME2</v>
          </cell>
          <cell r="G424">
            <v>465</v>
          </cell>
        </row>
        <row r="425">
          <cell r="B425">
            <v>342299</v>
          </cell>
          <cell r="C425">
            <v>350471</v>
          </cell>
          <cell r="D425" t="str">
            <v>PRO002</v>
          </cell>
          <cell r="F425" t="str">
            <v>342299 &amp; P14-QR-EE</v>
          </cell>
          <cell r="G425">
            <v>490</v>
          </cell>
        </row>
        <row r="426">
          <cell r="B426">
            <v>342300</v>
          </cell>
          <cell r="C426">
            <v>350472</v>
          </cell>
          <cell r="D426" t="str">
            <v>PRO002</v>
          </cell>
          <cell r="F426" t="str">
            <v>342300 &amp; P14-HR-EE</v>
          </cell>
          <cell r="G426">
            <v>491</v>
          </cell>
        </row>
        <row r="427">
          <cell r="B427">
            <v>342331</v>
          </cell>
          <cell r="C427">
            <v>350473</v>
          </cell>
          <cell r="D427" t="str">
            <v>PRO002</v>
          </cell>
          <cell r="F427" t="str">
            <v>342331 &amp; P14-HR-EE2</v>
          </cell>
          <cell r="G427">
            <v>492</v>
          </cell>
        </row>
        <row r="428">
          <cell r="B428">
            <v>342336</v>
          </cell>
          <cell r="C428">
            <v>350478</v>
          </cell>
          <cell r="D428" t="str">
            <v>PRO001</v>
          </cell>
          <cell r="F428" t="str">
            <v>342336 &amp; P12-YR-ME3</v>
          </cell>
          <cell r="G428">
            <v>499</v>
          </cell>
        </row>
        <row r="429">
          <cell r="B429">
            <v>342337</v>
          </cell>
          <cell r="C429">
            <v>350479</v>
          </cell>
          <cell r="D429" t="str">
            <v>PRO001</v>
          </cell>
          <cell r="F429" t="str">
            <v>342337 &amp; P12-YR-ME4</v>
          </cell>
          <cell r="G429">
            <v>500</v>
          </cell>
        </row>
        <row r="430">
          <cell r="B430">
            <v>342347</v>
          </cell>
          <cell r="C430">
            <v>350527</v>
          </cell>
          <cell r="D430" t="str">
            <v>PRO001</v>
          </cell>
          <cell r="F430" t="str">
            <v>342347 &amp; P18-YR-ME</v>
          </cell>
          <cell r="G430">
            <v>495</v>
          </cell>
        </row>
        <row r="431">
          <cell r="B431">
            <v>342348</v>
          </cell>
          <cell r="C431">
            <v>350528</v>
          </cell>
          <cell r="D431" t="str">
            <v>PRO001</v>
          </cell>
          <cell r="F431" t="str">
            <v>342348 &amp; P18-YR-ME2</v>
          </cell>
          <cell r="G431">
            <v>496</v>
          </cell>
        </row>
        <row r="432">
          <cell r="B432">
            <v>342349</v>
          </cell>
          <cell r="C432">
            <v>350529</v>
          </cell>
          <cell r="D432" t="str">
            <v>PRO001</v>
          </cell>
          <cell r="F432" t="str">
            <v>342349 &amp; P18-YR-ME3</v>
          </cell>
          <cell r="G432">
            <v>497</v>
          </cell>
        </row>
        <row r="433">
          <cell r="B433">
            <v>342350</v>
          </cell>
          <cell r="C433">
            <v>350530</v>
          </cell>
          <cell r="D433" t="str">
            <v>PRO001</v>
          </cell>
          <cell r="F433" t="str">
            <v>342350 &amp; P18-YR-ME4</v>
          </cell>
          <cell r="G433">
            <v>498</v>
          </cell>
        </row>
        <row r="434">
          <cell r="B434">
            <v>342450</v>
          </cell>
          <cell r="C434">
            <v>350672</v>
          </cell>
          <cell r="D434" t="str">
            <v>PRO002</v>
          </cell>
          <cell r="F434" t="str">
            <v>342450 &amp; P17-HR-EE3</v>
          </cell>
          <cell r="G434">
            <v>545</v>
          </cell>
        </row>
        <row r="435">
          <cell r="B435">
            <v>342461</v>
          </cell>
          <cell r="C435">
            <v>350673</v>
          </cell>
          <cell r="D435" t="str">
            <v>PRO002</v>
          </cell>
          <cell r="F435" t="str">
            <v>342461 &amp; P17-HR-EE4</v>
          </cell>
          <cell r="G435">
            <v>546</v>
          </cell>
        </row>
        <row r="436">
          <cell r="B436">
            <v>342462</v>
          </cell>
          <cell r="C436">
            <v>350674</v>
          </cell>
          <cell r="D436" t="str">
            <v>PRO002</v>
          </cell>
          <cell r="F436" t="str">
            <v>342462 &amp; P17-HR-EE5</v>
          </cell>
          <cell r="G436">
            <v>547</v>
          </cell>
        </row>
        <row r="437">
          <cell r="B437">
            <v>342572</v>
          </cell>
          <cell r="C437">
            <v>350862</v>
          </cell>
          <cell r="D437" t="str">
            <v>PRO001</v>
          </cell>
          <cell r="F437" t="str">
            <v>342572 &amp; P12-SR-ME</v>
          </cell>
          <cell r="G437">
            <v>578</v>
          </cell>
        </row>
        <row r="438">
          <cell r="B438">
            <v>342573</v>
          </cell>
          <cell r="C438">
            <v>350863</v>
          </cell>
          <cell r="D438" t="str">
            <v>PRO001</v>
          </cell>
          <cell r="F438" t="str">
            <v>342573 &amp; P12-SR-ME2</v>
          </cell>
          <cell r="G438">
            <v>579</v>
          </cell>
        </row>
        <row r="439">
          <cell r="B439">
            <v>342574</v>
          </cell>
          <cell r="C439">
            <v>350864</v>
          </cell>
          <cell r="D439" t="str">
            <v>PRO001</v>
          </cell>
          <cell r="F439" t="str">
            <v>342574 &amp; P12-SR-ME3</v>
          </cell>
          <cell r="G439">
            <v>580</v>
          </cell>
        </row>
        <row r="440">
          <cell r="B440">
            <v>342575</v>
          </cell>
          <cell r="C440">
            <v>350865</v>
          </cell>
          <cell r="D440" t="str">
            <v>PRO001</v>
          </cell>
          <cell r="F440" t="str">
            <v>342575 &amp; P12-SR-ME4</v>
          </cell>
          <cell r="G440">
            <v>581</v>
          </cell>
        </row>
        <row r="441">
          <cell r="B441">
            <v>342576</v>
          </cell>
          <cell r="C441">
            <v>350866</v>
          </cell>
          <cell r="D441" t="str">
            <v>PRO001</v>
          </cell>
          <cell r="F441" t="str">
            <v>342576 &amp; P12-SR-ME5</v>
          </cell>
          <cell r="G441">
            <v>582</v>
          </cell>
        </row>
        <row r="442">
          <cell r="B442">
            <v>342586</v>
          </cell>
          <cell r="C442">
            <v>350886</v>
          </cell>
          <cell r="D442" t="str">
            <v>PRO002</v>
          </cell>
          <cell r="F442" t="str">
            <v>342586 &amp; P16-MCB-EE</v>
          </cell>
          <cell r="G442">
            <v>591</v>
          </cell>
        </row>
        <row r="443">
          <cell r="B443">
            <v>342587</v>
          </cell>
          <cell r="C443">
            <v>350887</v>
          </cell>
          <cell r="D443" t="str">
            <v>PRO001</v>
          </cell>
          <cell r="F443" t="str">
            <v>342587 &amp; P17-HA-ME</v>
          </cell>
          <cell r="G443">
            <v>592</v>
          </cell>
        </row>
        <row r="444">
          <cell r="B444">
            <v>342588</v>
          </cell>
          <cell r="C444">
            <v>350888</v>
          </cell>
          <cell r="D444" t="str">
            <v>PRO002</v>
          </cell>
          <cell r="F444" t="str">
            <v>342588 &amp; P17-MI-EE2</v>
          </cell>
          <cell r="G444">
            <v>593</v>
          </cell>
        </row>
        <row r="445">
          <cell r="B445">
            <v>342595</v>
          </cell>
          <cell r="C445">
            <v>350905</v>
          </cell>
          <cell r="D445" t="str">
            <v>PRO001</v>
          </cell>
          <cell r="F445" t="str">
            <v>342595 &amp; P16-QR-ME2</v>
          </cell>
          <cell r="G445">
            <v>595</v>
          </cell>
        </row>
        <row r="446">
          <cell r="B446">
            <v>342596</v>
          </cell>
          <cell r="C446">
            <v>350906</v>
          </cell>
          <cell r="D446" t="str">
            <v>PRO001</v>
          </cell>
          <cell r="F446" t="str">
            <v>342596 &amp; P17-HR-ME2</v>
          </cell>
          <cell r="G446">
            <v>596</v>
          </cell>
        </row>
        <row r="447">
          <cell r="B447">
            <v>342631</v>
          </cell>
          <cell r="C447">
            <v>350961</v>
          </cell>
          <cell r="D447" t="str">
            <v>PRO002</v>
          </cell>
          <cell r="F447" t="str">
            <v>342631 &amp; P17-QI-EE2</v>
          </cell>
          <cell r="G447">
            <v>594</v>
          </cell>
        </row>
        <row r="448">
          <cell r="B448">
            <v>342694</v>
          </cell>
          <cell r="C448">
            <v>351024</v>
          </cell>
          <cell r="D448" t="str">
            <v>PRO001</v>
          </cell>
          <cell r="F448" t="str">
            <v>342694 &amp; P12-MC-ME2</v>
          </cell>
          <cell r="G448">
            <v>618</v>
          </cell>
        </row>
        <row r="449">
          <cell r="B449">
            <v>342695</v>
          </cell>
          <cell r="C449">
            <v>351025</v>
          </cell>
          <cell r="D449" t="str">
            <v>PRO002</v>
          </cell>
          <cell r="F449" t="str">
            <v>342695 &amp; P17-QR-EE2</v>
          </cell>
          <cell r="G449">
            <v>624</v>
          </cell>
        </row>
        <row r="450">
          <cell r="B450">
            <v>342696</v>
          </cell>
          <cell r="C450">
            <v>351026</v>
          </cell>
          <cell r="D450" t="str">
            <v>PRO002</v>
          </cell>
          <cell r="F450" t="str">
            <v>342696 &amp; P17-QR-EE3</v>
          </cell>
          <cell r="G450">
            <v>625</v>
          </cell>
        </row>
        <row r="451">
          <cell r="B451">
            <v>342697</v>
          </cell>
          <cell r="C451">
            <v>351027</v>
          </cell>
          <cell r="D451" t="str">
            <v>PRO002</v>
          </cell>
          <cell r="F451" t="str">
            <v>342697 &amp; P17-QR-EE4</v>
          </cell>
          <cell r="G451">
            <v>626</v>
          </cell>
        </row>
        <row r="452">
          <cell r="B452">
            <v>342698</v>
          </cell>
          <cell r="C452">
            <v>351028</v>
          </cell>
          <cell r="D452" t="str">
            <v>PRO002</v>
          </cell>
          <cell r="F452" t="str">
            <v>342698 &amp; P17-YR-EE2</v>
          </cell>
          <cell r="G452">
            <v>627</v>
          </cell>
        </row>
        <row r="453">
          <cell r="B453">
            <v>342699</v>
          </cell>
          <cell r="C453">
            <v>351029</v>
          </cell>
          <cell r="D453" t="str">
            <v>PRO002</v>
          </cell>
          <cell r="F453" t="str">
            <v>342699 &amp; P17-YR-EE3</v>
          </cell>
          <cell r="G453">
            <v>628</v>
          </cell>
        </row>
        <row r="454">
          <cell r="B454">
            <v>342700</v>
          </cell>
          <cell r="C454">
            <v>351030</v>
          </cell>
          <cell r="D454" t="str">
            <v>PRO002</v>
          </cell>
          <cell r="F454" t="str">
            <v>342700 &amp; P17-YR-EE4</v>
          </cell>
          <cell r="G454">
            <v>629</v>
          </cell>
        </row>
        <row r="455">
          <cell r="B455">
            <v>342741</v>
          </cell>
          <cell r="C455">
            <v>351031</v>
          </cell>
          <cell r="D455" t="str">
            <v>PRO002</v>
          </cell>
          <cell r="F455" t="str">
            <v>342741 &amp; P17-HCB-EE</v>
          </cell>
          <cell r="G455">
            <v>630</v>
          </cell>
        </row>
        <row r="456">
          <cell r="B456">
            <v>342742</v>
          </cell>
          <cell r="C456">
            <v>351032</v>
          </cell>
          <cell r="D456" t="str">
            <v>PRO002</v>
          </cell>
          <cell r="F456" t="str">
            <v>342742 &amp; P17-HCB-EE2</v>
          </cell>
          <cell r="G456">
            <v>631</v>
          </cell>
        </row>
        <row r="457">
          <cell r="B457">
            <v>342743</v>
          </cell>
          <cell r="C457">
            <v>351033</v>
          </cell>
          <cell r="D457" t="str">
            <v>PRO002</v>
          </cell>
          <cell r="F457" t="str">
            <v>342743 &amp; P17-HCB-EE3</v>
          </cell>
          <cell r="G457">
            <v>632</v>
          </cell>
        </row>
        <row r="458">
          <cell r="B458">
            <v>342744</v>
          </cell>
          <cell r="C458">
            <v>351034</v>
          </cell>
          <cell r="D458" t="str">
            <v>PRO002</v>
          </cell>
          <cell r="F458" t="str">
            <v>342744 &amp; P17-HCB-EE4</v>
          </cell>
          <cell r="G458">
            <v>633</v>
          </cell>
        </row>
        <row r="459">
          <cell r="B459">
            <v>342730</v>
          </cell>
          <cell r="C459">
            <v>351080</v>
          </cell>
          <cell r="D459" t="str">
            <v>PRO002</v>
          </cell>
          <cell r="F459" t="str">
            <v>342730 &amp; P16-HI-EE</v>
          </cell>
          <cell r="G459">
            <v>638</v>
          </cell>
        </row>
        <row r="460">
          <cell r="B460">
            <v>342761</v>
          </cell>
          <cell r="C460">
            <v>351101</v>
          </cell>
          <cell r="D460" t="str">
            <v>PRO002</v>
          </cell>
          <cell r="F460" t="str">
            <v>342761 &amp; P16-YR-EE</v>
          </cell>
          <cell r="G460">
            <v>639</v>
          </cell>
        </row>
        <row r="461">
          <cell r="B461">
            <v>343825</v>
          </cell>
          <cell r="C461">
            <v>352355</v>
          </cell>
          <cell r="D461" t="str">
            <v>PRO002</v>
          </cell>
          <cell r="F461" t="str">
            <v>343825 &amp; P15-HR-EE2</v>
          </cell>
          <cell r="G461">
            <v>750</v>
          </cell>
        </row>
        <row r="462">
          <cell r="B462">
            <v>343826</v>
          </cell>
          <cell r="C462">
            <v>352356</v>
          </cell>
          <cell r="D462" t="str">
            <v>PRO002</v>
          </cell>
          <cell r="F462" t="str">
            <v>343826 &amp; P16-HI-EE2</v>
          </cell>
          <cell r="G462">
            <v>751</v>
          </cell>
        </row>
        <row r="463">
          <cell r="B463">
            <v>343914</v>
          </cell>
          <cell r="C463">
            <v>352524</v>
          </cell>
          <cell r="D463" t="str">
            <v>PRO002</v>
          </cell>
          <cell r="F463" t="str">
            <v>343914 &amp; P16-HC-EE</v>
          </cell>
          <cell r="G463">
            <v>775</v>
          </cell>
        </row>
        <row r="464">
          <cell r="B464">
            <v>343915</v>
          </cell>
          <cell r="C464">
            <v>352525</v>
          </cell>
          <cell r="D464" t="str">
            <v>PRO002</v>
          </cell>
          <cell r="F464" t="str">
            <v>343915 &amp; P17-HC-EE</v>
          </cell>
          <cell r="G464">
            <v>776</v>
          </cell>
        </row>
        <row r="465">
          <cell r="B465">
            <v>344810</v>
          </cell>
          <cell r="C465">
            <v>353520</v>
          </cell>
          <cell r="D465" t="str">
            <v>PRO002</v>
          </cell>
          <cell r="F465" t="str">
            <v>344810 &amp; P14-YCB-EE2</v>
          </cell>
          <cell r="G465">
            <v>847</v>
          </cell>
        </row>
        <row r="466">
          <cell r="B466">
            <v>345906</v>
          </cell>
          <cell r="C466">
            <v>354676</v>
          </cell>
          <cell r="D466" t="str">
            <v>PRO001</v>
          </cell>
          <cell r="F466" t="str">
            <v>345906 &amp; P15-YR-ME2</v>
          </cell>
          <cell r="G466">
            <v>1184</v>
          </cell>
        </row>
        <row r="467">
          <cell r="B467">
            <v>345907</v>
          </cell>
          <cell r="C467">
            <v>354677</v>
          </cell>
          <cell r="D467" t="str">
            <v>PRO001</v>
          </cell>
          <cell r="F467" t="str">
            <v>345907 &amp; P15-FL-ME2</v>
          </cell>
          <cell r="G467">
            <v>1185</v>
          </cell>
        </row>
        <row r="468">
          <cell r="B468">
            <v>345908</v>
          </cell>
          <cell r="C468">
            <v>354678</v>
          </cell>
          <cell r="D468" t="str">
            <v>PRO001</v>
          </cell>
          <cell r="F468" t="str">
            <v>2W- ME Fryer Zone (P15)</v>
          </cell>
          <cell r="G468">
            <v>1186</v>
          </cell>
        </row>
        <row r="469">
          <cell r="B469">
            <v>347637</v>
          </cell>
          <cell r="C469">
            <v>356457</v>
          </cell>
          <cell r="D469" t="str">
            <v>PRO001</v>
          </cell>
          <cell r="F469" t="str">
            <v>347637 &amp; P12-WL-ME</v>
          </cell>
          <cell r="G469">
            <v>1216</v>
          </cell>
        </row>
        <row r="470">
          <cell r="B470">
            <v>347638</v>
          </cell>
          <cell r="C470">
            <v>356458</v>
          </cell>
          <cell r="D470" t="str">
            <v>PRO001</v>
          </cell>
          <cell r="F470" t="str">
            <v>347638 &amp; P12-FI-ME2</v>
          </cell>
          <cell r="G470">
            <v>1217</v>
          </cell>
        </row>
        <row r="471">
          <cell r="B471">
            <v>347639</v>
          </cell>
          <cell r="C471">
            <v>356459</v>
          </cell>
          <cell r="D471" t="str">
            <v>PRO001</v>
          </cell>
          <cell r="F471" t="str">
            <v>347639 &amp; P12-MI-ME2</v>
          </cell>
          <cell r="G471">
            <v>1218</v>
          </cell>
        </row>
        <row r="472">
          <cell r="B472">
            <v>347640</v>
          </cell>
          <cell r="C472">
            <v>356460</v>
          </cell>
          <cell r="D472" t="str">
            <v>PRO001</v>
          </cell>
          <cell r="F472" t="str">
            <v>347640 &amp; P12-HL-ME2</v>
          </cell>
          <cell r="G472">
            <v>1219</v>
          </cell>
        </row>
        <row r="473">
          <cell r="B473">
            <v>347677</v>
          </cell>
          <cell r="C473">
            <v>356567</v>
          </cell>
          <cell r="D473" t="str">
            <v>PRO002</v>
          </cell>
          <cell r="F473" t="str">
            <v>347677 &amp; P12-QI-EE</v>
          </cell>
          <cell r="G473">
            <v>1228</v>
          </cell>
        </row>
        <row r="474">
          <cell r="B474">
            <v>347678</v>
          </cell>
          <cell r="C474">
            <v>356568</v>
          </cell>
          <cell r="D474" t="str">
            <v>PRO002</v>
          </cell>
          <cell r="F474" t="str">
            <v>347678 &amp; P12-MI-EE</v>
          </cell>
          <cell r="G474">
            <v>1229</v>
          </cell>
        </row>
        <row r="475">
          <cell r="B475">
            <v>347679</v>
          </cell>
          <cell r="C475">
            <v>356569</v>
          </cell>
          <cell r="D475" t="str">
            <v>PRO002</v>
          </cell>
          <cell r="F475" t="str">
            <v>347679 &amp; P12-NCB-EE</v>
          </cell>
          <cell r="G475">
            <v>1230</v>
          </cell>
        </row>
        <row r="476">
          <cell r="B476">
            <v>347716</v>
          </cell>
          <cell r="C476">
            <v>356589</v>
          </cell>
          <cell r="D476" t="str">
            <v>PRO002</v>
          </cell>
          <cell r="F476" t="str">
            <v>347716 &amp; P12-MC-EE2</v>
          </cell>
          <cell r="G476">
            <v>1233</v>
          </cell>
        </row>
        <row r="477">
          <cell r="B477">
            <v>347741</v>
          </cell>
          <cell r="C477">
            <v>357101</v>
          </cell>
          <cell r="D477" t="str">
            <v>PRO002</v>
          </cell>
          <cell r="F477" t="str">
            <v>347741 &amp; P12-MC-EE</v>
          </cell>
          <cell r="G477">
            <v>1232</v>
          </cell>
        </row>
        <row r="478">
          <cell r="B478">
            <v>350834</v>
          </cell>
          <cell r="C478">
            <v>363674</v>
          </cell>
          <cell r="D478" t="str">
            <v>PRO001</v>
          </cell>
          <cell r="F478" t="str">
            <v>350834 &amp; P14-MC-ME2</v>
          </cell>
          <cell r="G478">
            <v>1421</v>
          </cell>
        </row>
        <row r="479">
          <cell r="B479">
            <v>351883</v>
          </cell>
          <cell r="C479">
            <v>365163</v>
          </cell>
          <cell r="D479" t="str">
            <v>PRO001</v>
          </cell>
          <cell r="F479" t="str">
            <v>351883 &amp; P17-QR-ME</v>
          </cell>
          <cell r="G479">
            <v>1424</v>
          </cell>
        </row>
        <row r="480">
          <cell r="B480">
            <v>351884</v>
          </cell>
          <cell r="C480">
            <v>365164</v>
          </cell>
          <cell r="D480" t="str">
            <v>PRO001</v>
          </cell>
          <cell r="F480" t="str">
            <v>351884 &amp; P17-QR-ME2</v>
          </cell>
          <cell r="G480">
            <v>1425</v>
          </cell>
        </row>
        <row r="481">
          <cell r="B481">
            <v>351885</v>
          </cell>
          <cell r="C481">
            <v>365165</v>
          </cell>
          <cell r="D481" t="str">
            <v>PRO001</v>
          </cell>
          <cell r="F481" t="str">
            <v>351885 &amp; P17-QR-ME3</v>
          </cell>
          <cell r="G481">
            <v>1426</v>
          </cell>
        </row>
        <row r="482">
          <cell r="B482">
            <v>351886</v>
          </cell>
          <cell r="C482">
            <v>365166</v>
          </cell>
          <cell r="D482" t="str">
            <v>PRO001</v>
          </cell>
          <cell r="F482" t="str">
            <v>351886 &amp; P17-QR-ME4</v>
          </cell>
          <cell r="G482">
            <v>1427</v>
          </cell>
        </row>
        <row r="483">
          <cell r="B483">
            <v>351910</v>
          </cell>
          <cell r="C483">
            <v>365190</v>
          </cell>
          <cell r="D483" t="str">
            <v>PRO002</v>
          </cell>
          <cell r="F483" t="str">
            <v>351910 &amp; P14-YI-EE</v>
          </cell>
          <cell r="G483">
            <v>1430</v>
          </cell>
        </row>
        <row r="484">
          <cell r="B484">
            <v>351960</v>
          </cell>
          <cell r="C484">
            <v>365251</v>
          </cell>
          <cell r="D484" t="str">
            <v>PRO001</v>
          </cell>
          <cell r="F484" t="str">
            <v>351960 &amp; P13-HR-ME3</v>
          </cell>
          <cell r="G484">
            <v>1433</v>
          </cell>
        </row>
        <row r="485">
          <cell r="B485">
            <v>356121</v>
          </cell>
          <cell r="C485">
            <v>369431</v>
          </cell>
          <cell r="D485" t="str">
            <v>PRO001</v>
          </cell>
          <cell r="F485" t="str">
            <v>356121 &amp; P17-HR-ME3</v>
          </cell>
          <cell r="G485">
            <v>1546</v>
          </cell>
        </row>
        <row r="486">
          <cell r="B486">
            <v>356602</v>
          </cell>
          <cell r="C486">
            <v>369893</v>
          </cell>
          <cell r="D486" t="str">
            <v>PRO002</v>
          </cell>
          <cell r="F486" t="str">
            <v>356602 &amp; P14-HI-EE3</v>
          </cell>
          <cell r="G486">
            <v>1606</v>
          </cell>
        </row>
        <row r="487">
          <cell r="B487">
            <v>356603</v>
          </cell>
          <cell r="C487">
            <v>369894</v>
          </cell>
          <cell r="D487" t="str">
            <v>PRO002</v>
          </cell>
          <cell r="F487" t="str">
            <v>356603 &amp; P14-YR-EE</v>
          </cell>
          <cell r="G487">
            <v>1607</v>
          </cell>
        </row>
        <row r="488">
          <cell r="B488">
            <v>356711</v>
          </cell>
          <cell r="C488">
            <v>370181</v>
          </cell>
          <cell r="D488" t="str">
            <v>PRO002</v>
          </cell>
          <cell r="F488" t="str">
            <v>356711 &amp; P17-MC-EE3</v>
          </cell>
          <cell r="G488">
            <v>1618</v>
          </cell>
        </row>
        <row r="489">
          <cell r="B489">
            <v>356773</v>
          </cell>
          <cell r="C489">
            <v>370193</v>
          </cell>
          <cell r="D489" t="str">
            <v>PRO002</v>
          </cell>
          <cell r="F489" t="str">
            <v>356773 &amp; P17-RI-EE2</v>
          </cell>
          <cell r="G489">
            <v>2020</v>
          </cell>
        </row>
        <row r="490">
          <cell r="B490">
            <v>356774</v>
          </cell>
          <cell r="C490">
            <v>370194</v>
          </cell>
          <cell r="D490" t="str">
            <v>PRO002</v>
          </cell>
          <cell r="F490" t="str">
            <v>356774 &amp; P16-HI-EE</v>
          </cell>
          <cell r="G490">
            <v>1997</v>
          </cell>
        </row>
        <row r="491">
          <cell r="B491">
            <v>356775</v>
          </cell>
          <cell r="C491">
            <v>370195</v>
          </cell>
          <cell r="D491" t="str">
            <v>PRO002</v>
          </cell>
          <cell r="F491" t="str">
            <v>356775 &amp; P18-RI-EE</v>
          </cell>
          <cell r="G491">
            <v>2026</v>
          </cell>
        </row>
        <row r="492">
          <cell r="B492">
            <v>356776</v>
          </cell>
          <cell r="C492">
            <v>370196</v>
          </cell>
          <cell r="D492" t="str">
            <v>PRO002</v>
          </cell>
          <cell r="F492" t="str">
            <v>356776 &amp; P17-HI-EE</v>
          </cell>
          <cell r="G492">
            <v>1998</v>
          </cell>
        </row>
        <row r="493">
          <cell r="B493">
            <v>356777</v>
          </cell>
          <cell r="C493">
            <v>370197</v>
          </cell>
          <cell r="D493" t="str">
            <v>PRO002</v>
          </cell>
          <cell r="F493" t="str">
            <v>356777 &amp; P17-HI-EE2</v>
          </cell>
          <cell r="G493">
            <v>1999</v>
          </cell>
        </row>
        <row r="494">
          <cell r="B494">
            <v>356778</v>
          </cell>
          <cell r="C494">
            <v>370198</v>
          </cell>
          <cell r="D494" t="str">
            <v>PRO002</v>
          </cell>
          <cell r="F494" t="str">
            <v>356778 &amp; P17-HI-EE3</v>
          </cell>
          <cell r="G494">
            <v>2000</v>
          </cell>
        </row>
        <row r="495">
          <cell r="B495">
            <v>356779</v>
          </cell>
          <cell r="C495">
            <v>370199</v>
          </cell>
          <cell r="D495" t="str">
            <v>PRO002</v>
          </cell>
          <cell r="F495" t="str">
            <v>356779 &amp; P17-HI-EE4</v>
          </cell>
          <cell r="G495">
            <v>2001</v>
          </cell>
        </row>
        <row r="496">
          <cell r="B496">
            <v>356780</v>
          </cell>
          <cell r="C496">
            <v>370200</v>
          </cell>
          <cell r="D496" t="str">
            <v>PRO002</v>
          </cell>
          <cell r="F496" t="str">
            <v>356780 &amp; P17-HI-EE5</v>
          </cell>
          <cell r="G496">
            <v>2002</v>
          </cell>
        </row>
        <row r="497">
          <cell r="B497">
            <v>356726</v>
          </cell>
          <cell r="C497">
            <v>370206</v>
          </cell>
          <cell r="D497" t="str">
            <v>PRO002</v>
          </cell>
          <cell r="F497" t="str">
            <v>356726 &amp; P17-YC-EE1</v>
          </cell>
          <cell r="G497">
            <v>1970</v>
          </cell>
        </row>
        <row r="498">
          <cell r="B498">
            <v>356728</v>
          </cell>
          <cell r="C498">
            <v>370208</v>
          </cell>
          <cell r="D498" t="str">
            <v>PRO002</v>
          </cell>
          <cell r="F498" t="str">
            <v>356728 &amp; P17-RI-EE</v>
          </cell>
          <cell r="G498">
            <v>1991</v>
          </cell>
        </row>
        <row r="499">
          <cell r="B499">
            <v>356756</v>
          </cell>
          <cell r="C499">
            <v>370256</v>
          </cell>
          <cell r="D499" t="str">
            <v>PRO002</v>
          </cell>
          <cell r="F499" t="str">
            <v>356756 &amp; P17-YC-EE1</v>
          </cell>
          <cell r="G499">
            <v>1973</v>
          </cell>
        </row>
        <row r="500">
          <cell r="B500">
            <v>356757</v>
          </cell>
          <cell r="C500">
            <v>370257</v>
          </cell>
          <cell r="D500" t="str">
            <v>PRO002</v>
          </cell>
          <cell r="F500" t="str">
            <v>356757 &amp; P17-YC-EE2</v>
          </cell>
          <cell r="G500">
            <v>1974</v>
          </cell>
        </row>
        <row r="501">
          <cell r="B501">
            <v>356758</v>
          </cell>
          <cell r="C501">
            <v>370258</v>
          </cell>
          <cell r="D501" t="str">
            <v>PRO002</v>
          </cell>
          <cell r="F501" t="str">
            <v>356758 &amp; P17-YC-EE3</v>
          </cell>
          <cell r="G501">
            <v>1975</v>
          </cell>
        </row>
        <row r="502">
          <cell r="B502">
            <v>356759</v>
          </cell>
          <cell r="C502">
            <v>370259</v>
          </cell>
          <cell r="D502" t="str">
            <v>PRO002</v>
          </cell>
          <cell r="F502" t="str">
            <v>356759 &amp; P17-YC-EE4</v>
          </cell>
          <cell r="G502">
            <v>1976</v>
          </cell>
        </row>
        <row r="503">
          <cell r="B503">
            <v>356760</v>
          </cell>
          <cell r="C503">
            <v>370260</v>
          </cell>
          <cell r="D503" t="str">
            <v>PRO002</v>
          </cell>
          <cell r="F503" t="str">
            <v>356760 &amp; P17-YC-EE5</v>
          </cell>
          <cell r="G503">
            <v>1977</v>
          </cell>
        </row>
        <row r="504">
          <cell r="B504">
            <v>356781</v>
          </cell>
          <cell r="C504">
            <v>370601</v>
          </cell>
          <cell r="D504" t="str">
            <v>PRO002</v>
          </cell>
          <cell r="F504" t="str">
            <v>356781 &amp; P17-YC-EE6</v>
          </cell>
          <cell r="G504">
            <v>1978</v>
          </cell>
        </row>
        <row r="505">
          <cell r="B505">
            <v>356782</v>
          </cell>
          <cell r="C505">
            <v>370602</v>
          </cell>
          <cell r="D505" t="str">
            <v>PRO002</v>
          </cell>
          <cell r="F505" t="str">
            <v>356782 &amp; P17-YC-EE7</v>
          </cell>
          <cell r="G505">
            <v>1979</v>
          </cell>
        </row>
        <row r="506">
          <cell r="B506">
            <v>356783</v>
          </cell>
          <cell r="C506">
            <v>370603</v>
          </cell>
          <cell r="D506" t="str">
            <v>PRO002</v>
          </cell>
          <cell r="F506" t="str">
            <v>356783 &amp; P17-YC-EE8</v>
          </cell>
          <cell r="G506">
            <v>1980</v>
          </cell>
        </row>
        <row r="507">
          <cell r="B507">
            <v>356784</v>
          </cell>
          <cell r="C507">
            <v>370604</v>
          </cell>
          <cell r="D507" t="str">
            <v>PRO002</v>
          </cell>
          <cell r="F507" t="str">
            <v>356784 &amp; P17-YC-EE9</v>
          </cell>
          <cell r="G507">
            <v>1981</v>
          </cell>
        </row>
        <row r="508">
          <cell r="B508">
            <v>356785</v>
          </cell>
          <cell r="C508">
            <v>370605</v>
          </cell>
          <cell r="D508" t="str">
            <v>PRO002</v>
          </cell>
          <cell r="F508" t="str">
            <v>356785 &amp; P17-YC-EE10</v>
          </cell>
          <cell r="G508">
            <v>1982</v>
          </cell>
        </row>
        <row r="509">
          <cell r="B509">
            <v>356786</v>
          </cell>
          <cell r="C509">
            <v>370606</v>
          </cell>
          <cell r="D509" t="str">
            <v>PRO002</v>
          </cell>
          <cell r="F509" t="str">
            <v>356786 &amp; P17-YC-EE11</v>
          </cell>
          <cell r="G509">
            <v>1983</v>
          </cell>
        </row>
        <row r="510">
          <cell r="B510">
            <v>356787</v>
          </cell>
          <cell r="C510">
            <v>370607</v>
          </cell>
          <cell r="D510" t="str">
            <v>PRO002</v>
          </cell>
          <cell r="F510" t="str">
            <v>356787 &amp; P17-YC-EE12</v>
          </cell>
          <cell r="G510">
            <v>1984</v>
          </cell>
        </row>
        <row r="511">
          <cell r="B511">
            <v>356788</v>
          </cell>
          <cell r="C511">
            <v>370608</v>
          </cell>
          <cell r="D511" t="str">
            <v>PRO002</v>
          </cell>
          <cell r="F511" t="str">
            <v>356788 &amp; P17-YC-EE13</v>
          </cell>
          <cell r="G511">
            <v>1985</v>
          </cell>
        </row>
        <row r="512">
          <cell r="B512">
            <v>356789</v>
          </cell>
          <cell r="C512">
            <v>370609</v>
          </cell>
          <cell r="D512" t="str">
            <v>PRO002</v>
          </cell>
          <cell r="F512" t="str">
            <v>356789 &amp; P17-YC-EE14</v>
          </cell>
          <cell r="G512">
            <v>1986</v>
          </cell>
        </row>
        <row r="513">
          <cell r="B513">
            <v>356790</v>
          </cell>
          <cell r="C513">
            <v>370610</v>
          </cell>
          <cell r="D513" t="str">
            <v>PRO002</v>
          </cell>
          <cell r="F513" t="str">
            <v>356790 &amp; P17-YC-EE15</v>
          </cell>
          <cell r="G513">
            <v>1987</v>
          </cell>
        </row>
        <row r="514">
          <cell r="B514">
            <v>356791</v>
          </cell>
          <cell r="C514">
            <v>370611</v>
          </cell>
          <cell r="D514" t="str">
            <v>PRO002</v>
          </cell>
          <cell r="F514" t="str">
            <v>356791 &amp; P17-YC-EE16</v>
          </cell>
          <cell r="G514">
            <v>1988</v>
          </cell>
        </row>
        <row r="515">
          <cell r="B515">
            <v>356792</v>
          </cell>
          <cell r="C515">
            <v>370612</v>
          </cell>
          <cell r="D515" t="str">
            <v>PRO002</v>
          </cell>
          <cell r="F515" t="str">
            <v>356792 &amp; P17-YC-EE17</v>
          </cell>
          <cell r="G515">
            <v>1989</v>
          </cell>
        </row>
        <row r="516">
          <cell r="B516">
            <v>356793</v>
          </cell>
          <cell r="C516">
            <v>370613</v>
          </cell>
          <cell r="D516" t="str">
            <v>PRO002</v>
          </cell>
          <cell r="F516" t="str">
            <v>356793 &amp; P18-YC-EE</v>
          </cell>
          <cell r="G516">
            <v>1992</v>
          </cell>
        </row>
        <row r="517">
          <cell r="B517">
            <v>356794</v>
          </cell>
          <cell r="C517">
            <v>370614</v>
          </cell>
          <cell r="D517" t="str">
            <v>PRO002</v>
          </cell>
          <cell r="F517" t="str">
            <v>356794 &amp; P18-YC-EE2</v>
          </cell>
          <cell r="G517">
            <v>1993</v>
          </cell>
        </row>
        <row r="518">
          <cell r="B518">
            <v>356795</v>
          </cell>
          <cell r="C518">
            <v>370615</v>
          </cell>
          <cell r="D518" t="str">
            <v>PRO002</v>
          </cell>
          <cell r="F518" t="str">
            <v>356795 &amp; P18-YC-EE3</v>
          </cell>
          <cell r="G518">
            <v>1994</v>
          </cell>
        </row>
        <row r="519">
          <cell r="B519">
            <v>356796</v>
          </cell>
          <cell r="C519">
            <v>370616</v>
          </cell>
          <cell r="D519" t="str">
            <v>PRO002</v>
          </cell>
          <cell r="F519" t="str">
            <v>356796 &amp; P18-YC-EE4</v>
          </cell>
          <cell r="G519">
            <v>1995</v>
          </cell>
        </row>
        <row r="520">
          <cell r="B520">
            <v>356797</v>
          </cell>
          <cell r="C520">
            <v>370617</v>
          </cell>
          <cell r="D520" t="str">
            <v>PRO002</v>
          </cell>
          <cell r="F520" t="str">
            <v>356797 &amp; P18-YC-EE5</v>
          </cell>
          <cell r="G520">
            <v>1996</v>
          </cell>
        </row>
        <row r="521">
          <cell r="B521">
            <v>356798</v>
          </cell>
          <cell r="C521">
            <v>370618</v>
          </cell>
          <cell r="D521" t="str">
            <v>PRO002</v>
          </cell>
          <cell r="F521" t="str">
            <v>356798 &amp; P17-RI-EE3</v>
          </cell>
          <cell r="G521">
            <v>2025</v>
          </cell>
        </row>
        <row r="522">
          <cell r="B522">
            <v>356811</v>
          </cell>
          <cell r="C522">
            <v>370641</v>
          </cell>
          <cell r="D522" t="str">
            <v>PRO002</v>
          </cell>
          <cell r="F522" t="str">
            <v>356811 &amp; P17-HI-EE6</v>
          </cell>
          <cell r="G522">
            <v>2003</v>
          </cell>
        </row>
        <row r="523">
          <cell r="B523">
            <v>356812</v>
          </cell>
          <cell r="C523">
            <v>370642</v>
          </cell>
          <cell r="D523" t="str">
            <v>PRO002</v>
          </cell>
          <cell r="F523" t="str">
            <v>356812 &amp; P17-HI-EE7</v>
          </cell>
          <cell r="G523">
            <v>2004</v>
          </cell>
        </row>
        <row r="524">
          <cell r="B524">
            <v>356813</v>
          </cell>
          <cell r="C524">
            <v>370643</v>
          </cell>
          <cell r="D524" t="str">
            <v>PRO002</v>
          </cell>
          <cell r="F524" t="str">
            <v>356813 &amp; P17-HI-EE8</v>
          </cell>
          <cell r="G524">
            <v>2005</v>
          </cell>
        </row>
        <row r="525">
          <cell r="B525">
            <v>356814</v>
          </cell>
          <cell r="C525">
            <v>370644</v>
          </cell>
          <cell r="D525" t="str">
            <v>PRO002</v>
          </cell>
          <cell r="F525" t="str">
            <v>356814 &amp; P17-HI-EE9</v>
          </cell>
          <cell r="G525">
            <v>2006</v>
          </cell>
        </row>
        <row r="526">
          <cell r="B526">
            <v>356815</v>
          </cell>
          <cell r="C526">
            <v>370645</v>
          </cell>
          <cell r="D526" t="str">
            <v>PRO002</v>
          </cell>
          <cell r="F526" t="str">
            <v>356815 &amp; P17-HI-EE10</v>
          </cell>
          <cell r="G526">
            <v>2007</v>
          </cell>
        </row>
        <row r="527">
          <cell r="B527">
            <v>356821</v>
          </cell>
          <cell r="C527">
            <v>370661</v>
          </cell>
          <cell r="D527" t="str">
            <v>PRO002</v>
          </cell>
          <cell r="F527" t="str">
            <v>356821 &amp; P17-HI-EE11</v>
          </cell>
          <cell r="G527">
            <v>2008</v>
          </cell>
        </row>
        <row r="528">
          <cell r="B528">
            <v>356822</v>
          </cell>
          <cell r="C528">
            <v>370662</v>
          </cell>
          <cell r="D528" t="str">
            <v>PRO002</v>
          </cell>
          <cell r="F528" t="str">
            <v>356822 &amp; P17-HI-EE12</v>
          </cell>
          <cell r="G528">
            <v>2009</v>
          </cell>
        </row>
        <row r="529">
          <cell r="B529">
            <v>356823</v>
          </cell>
          <cell r="C529">
            <v>370663</v>
          </cell>
          <cell r="D529" t="str">
            <v>PRO002</v>
          </cell>
          <cell r="F529" t="str">
            <v>356823 &amp; P17-HI-EE13</v>
          </cell>
          <cell r="G529">
            <v>2010</v>
          </cell>
        </row>
        <row r="530">
          <cell r="B530">
            <v>356824</v>
          </cell>
          <cell r="C530">
            <v>370664</v>
          </cell>
          <cell r="D530" t="str">
            <v>PRO002</v>
          </cell>
          <cell r="F530" t="str">
            <v>356824 &amp; P17-HI-EE14</v>
          </cell>
          <cell r="G530">
            <v>2011</v>
          </cell>
        </row>
        <row r="531">
          <cell r="B531">
            <v>356825</v>
          </cell>
          <cell r="C531">
            <v>370665</v>
          </cell>
          <cell r="D531" t="str">
            <v>PRO002</v>
          </cell>
          <cell r="F531" t="str">
            <v>356825 &amp; P17-HI-EE15</v>
          </cell>
          <cell r="G531">
            <v>2012</v>
          </cell>
        </row>
        <row r="532">
          <cell r="B532">
            <v>356826</v>
          </cell>
          <cell r="C532">
            <v>370666</v>
          </cell>
          <cell r="D532" t="str">
            <v>PRO002</v>
          </cell>
          <cell r="F532" t="str">
            <v>356826 &amp; P17-HI-EE16</v>
          </cell>
          <cell r="G532">
            <v>2013</v>
          </cell>
        </row>
        <row r="533">
          <cell r="B533">
            <v>356827</v>
          </cell>
          <cell r="C533">
            <v>370667</v>
          </cell>
          <cell r="D533" t="str">
            <v>PRO002</v>
          </cell>
          <cell r="F533" t="str">
            <v>356827 &amp; P17-HI-EE17</v>
          </cell>
          <cell r="G533">
            <v>2014</v>
          </cell>
        </row>
        <row r="534">
          <cell r="B534">
            <v>356828</v>
          </cell>
          <cell r="C534">
            <v>370668</v>
          </cell>
          <cell r="D534" t="str">
            <v>PRO002</v>
          </cell>
          <cell r="F534" t="str">
            <v>356828 &amp; P18-HI-EE</v>
          </cell>
          <cell r="G534">
            <v>2015</v>
          </cell>
        </row>
        <row r="535">
          <cell r="B535">
            <v>356829</v>
          </cell>
          <cell r="C535">
            <v>370669</v>
          </cell>
          <cell r="D535" t="str">
            <v>PRO002</v>
          </cell>
          <cell r="F535" t="str">
            <v>356829 &amp; P18-HI-EE2</v>
          </cell>
          <cell r="G535">
            <v>2016</v>
          </cell>
        </row>
        <row r="536">
          <cell r="B536">
            <v>356830</v>
          </cell>
          <cell r="C536">
            <v>370670</v>
          </cell>
          <cell r="D536" t="str">
            <v>PRO002</v>
          </cell>
          <cell r="F536" t="str">
            <v>356830 &amp; P18-HI-EE3</v>
          </cell>
          <cell r="G536">
            <v>2017</v>
          </cell>
        </row>
        <row r="537">
          <cell r="B537">
            <v>356831</v>
          </cell>
          <cell r="C537">
            <v>370671</v>
          </cell>
          <cell r="D537" t="str">
            <v>PRO002</v>
          </cell>
          <cell r="F537" t="str">
            <v>356831 &amp; P18-HI-EE4</v>
          </cell>
          <cell r="G537">
            <v>2018</v>
          </cell>
        </row>
        <row r="538">
          <cell r="B538">
            <v>356832</v>
          </cell>
          <cell r="C538">
            <v>370672</v>
          </cell>
          <cell r="D538" t="str">
            <v>PRO002</v>
          </cell>
          <cell r="F538" t="str">
            <v>356832 &amp; P18-HI-EE5</v>
          </cell>
          <cell r="G538">
            <v>2019</v>
          </cell>
        </row>
        <row r="539">
          <cell r="B539">
            <v>356833</v>
          </cell>
          <cell r="C539">
            <v>370673</v>
          </cell>
          <cell r="D539" t="str">
            <v>PRO002</v>
          </cell>
          <cell r="F539" t="str">
            <v>356833 &amp; P14-YI-EE</v>
          </cell>
          <cell r="G539">
            <v>2027</v>
          </cell>
        </row>
        <row r="540">
          <cell r="B540">
            <v>356834</v>
          </cell>
          <cell r="C540">
            <v>370674</v>
          </cell>
          <cell r="D540" t="str">
            <v>PRO002</v>
          </cell>
          <cell r="F540" t="str">
            <v>356834 &amp; P14-HI-EE4</v>
          </cell>
          <cell r="G540">
            <v>2028</v>
          </cell>
        </row>
        <row r="541">
          <cell r="B541">
            <v>357641</v>
          </cell>
          <cell r="C541">
            <v>371581</v>
          </cell>
          <cell r="D541" t="str">
            <v>PRO002</v>
          </cell>
          <cell r="F541" t="str">
            <v>357641 &amp; P12-HC-EE</v>
          </cell>
          <cell r="G541">
            <v>2055</v>
          </cell>
        </row>
        <row r="542">
          <cell r="B542">
            <v>357642</v>
          </cell>
          <cell r="C542">
            <v>371582</v>
          </cell>
          <cell r="D542" t="str">
            <v>PRO002</v>
          </cell>
          <cell r="F542" t="str">
            <v>357642 &amp; P17-HC-EE2</v>
          </cell>
          <cell r="G542">
            <v>2056</v>
          </cell>
        </row>
        <row r="543">
          <cell r="B543">
            <v>610000004214</v>
          </cell>
          <cell r="C543">
            <v>348622</v>
          </cell>
          <cell r="D543" t="str">
            <v>PRO002</v>
          </cell>
          <cell r="F543" t="str">
            <v>610000004214 &amp; P20-FI-EE</v>
          </cell>
          <cell r="G543">
            <v>100648</v>
          </cell>
        </row>
        <row r="544">
          <cell r="B544">
            <v>610000004215</v>
          </cell>
          <cell r="C544">
            <v>348623</v>
          </cell>
          <cell r="D544" t="str">
            <v>PRO002</v>
          </cell>
          <cell r="F544" t="str">
            <v>610000004215 &amp; P20-MI-EE</v>
          </cell>
          <cell r="G544">
            <v>100649</v>
          </cell>
        </row>
        <row r="545">
          <cell r="B545">
            <v>610000004216</v>
          </cell>
          <cell r="C545">
            <v>348624</v>
          </cell>
          <cell r="D545" t="str">
            <v>PRO002</v>
          </cell>
          <cell r="F545" t="str">
            <v>610000004216 &amp; P20-NI-EE</v>
          </cell>
          <cell r="G545">
            <v>100650</v>
          </cell>
        </row>
        <row r="546">
          <cell r="B546">
            <v>610000004217</v>
          </cell>
          <cell r="C546">
            <v>348625</v>
          </cell>
          <cell r="D546" t="str">
            <v>PRO002</v>
          </cell>
          <cell r="F546" t="str">
            <v>610000004217 &amp; P20-NI-EE2</v>
          </cell>
          <cell r="G546">
            <v>100651</v>
          </cell>
        </row>
        <row r="547">
          <cell r="B547">
            <v>610000004218</v>
          </cell>
          <cell r="C547">
            <v>348626</v>
          </cell>
          <cell r="D547" t="str">
            <v>PRO002</v>
          </cell>
          <cell r="F547" t="str">
            <v>610000004218 &amp; P20-NT-EE</v>
          </cell>
          <cell r="G547">
            <v>100652</v>
          </cell>
        </row>
        <row r="548">
          <cell r="B548">
            <v>610000004219</v>
          </cell>
          <cell r="C548">
            <v>348627</v>
          </cell>
          <cell r="D548" t="str">
            <v>PRO002</v>
          </cell>
          <cell r="F548" t="str">
            <v>610000004219 &amp; P20-QC-EE</v>
          </cell>
          <cell r="G548">
            <v>100653</v>
          </cell>
        </row>
        <row r="549">
          <cell r="B549">
            <v>610000004221</v>
          </cell>
          <cell r="C549">
            <v>348628</v>
          </cell>
          <cell r="D549" t="str">
            <v>PRO002</v>
          </cell>
          <cell r="F549" t="str">
            <v>610000004221 &amp; P20-HR-EE</v>
          </cell>
          <cell r="G549">
            <v>100655</v>
          </cell>
        </row>
        <row r="550">
          <cell r="B550">
            <v>610000004222</v>
          </cell>
          <cell r="C550">
            <v>348629</v>
          </cell>
          <cell r="D550" t="str">
            <v>PRO002</v>
          </cell>
          <cell r="F550" t="str">
            <v>610000004222 &amp; P21-FI-EE</v>
          </cell>
          <cell r="G550">
            <v>100656</v>
          </cell>
        </row>
        <row r="551">
          <cell r="B551">
            <v>610000004220</v>
          </cell>
          <cell r="C551">
            <v>348630</v>
          </cell>
          <cell r="D551" t="str">
            <v>PRO002</v>
          </cell>
          <cell r="F551" t="str">
            <v>610000004220 &amp; P20-QI-EE</v>
          </cell>
          <cell r="G551">
            <v>100654</v>
          </cell>
        </row>
        <row r="552">
          <cell r="B552">
            <v>610000004223</v>
          </cell>
          <cell r="C552">
            <v>348631</v>
          </cell>
          <cell r="D552" t="str">
            <v>PRO002</v>
          </cell>
          <cell r="F552" t="str">
            <v>610000004223 &amp; P21-NI-EE</v>
          </cell>
          <cell r="G552">
            <v>100657</v>
          </cell>
        </row>
        <row r="553">
          <cell r="B553">
            <v>610000004224</v>
          </cell>
          <cell r="C553">
            <v>348632</v>
          </cell>
          <cell r="D553" t="str">
            <v>PRO002</v>
          </cell>
          <cell r="F553" t="str">
            <v>610000004224 &amp; P21-NI-EE2</v>
          </cell>
          <cell r="G553">
            <v>100658</v>
          </cell>
        </row>
        <row r="554">
          <cell r="B554">
            <v>610000004225</v>
          </cell>
          <cell r="C554">
            <v>348633</v>
          </cell>
          <cell r="D554" t="str">
            <v>PRO002</v>
          </cell>
          <cell r="F554" t="str">
            <v>610000004225 &amp; P21-NT-EE</v>
          </cell>
          <cell r="G554">
            <v>100659</v>
          </cell>
        </row>
        <row r="555">
          <cell r="B555">
            <v>610000004226</v>
          </cell>
          <cell r="C555">
            <v>348634</v>
          </cell>
          <cell r="D555" t="str">
            <v>PRO002</v>
          </cell>
          <cell r="F555" t="str">
            <v>610000004226 &amp; P21-QC-EE</v>
          </cell>
          <cell r="G555">
            <v>100660</v>
          </cell>
        </row>
        <row r="556">
          <cell r="B556">
            <v>610000004227</v>
          </cell>
          <cell r="C556">
            <v>348635</v>
          </cell>
          <cell r="D556" t="str">
            <v>PRO002</v>
          </cell>
          <cell r="F556" t="str">
            <v>610000004227 &amp; P21-QI-EE</v>
          </cell>
          <cell r="G556">
            <v>100661</v>
          </cell>
        </row>
        <row r="557">
          <cell r="B557">
            <v>610000004228</v>
          </cell>
          <cell r="C557">
            <v>348636</v>
          </cell>
          <cell r="D557" t="str">
            <v>PRO002</v>
          </cell>
          <cell r="F557" t="str">
            <v>610000004228 &amp; P22-FC-EE</v>
          </cell>
          <cell r="G557">
            <v>100662</v>
          </cell>
        </row>
        <row r="558">
          <cell r="B558">
            <v>610000004229</v>
          </cell>
          <cell r="C558">
            <v>348637</v>
          </cell>
          <cell r="D558" t="str">
            <v>PRO002</v>
          </cell>
          <cell r="F558" t="str">
            <v>610000004229 &amp; P22-FI-EE</v>
          </cell>
          <cell r="G558">
            <v>100663</v>
          </cell>
        </row>
        <row r="559">
          <cell r="B559">
            <v>610000004230</v>
          </cell>
          <cell r="C559">
            <v>348638</v>
          </cell>
          <cell r="D559" t="str">
            <v>PRO002</v>
          </cell>
          <cell r="F559" t="str">
            <v>610000004230 &amp; P22-MI-EE</v>
          </cell>
          <cell r="G559">
            <v>100664</v>
          </cell>
        </row>
        <row r="560">
          <cell r="B560">
            <v>610000004231</v>
          </cell>
          <cell r="C560">
            <v>348639</v>
          </cell>
          <cell r="D560" t="str">
            <v>PRO002</v>
          </cell>
          <cell r="F560" t="str">
            <v>610000004231 &amp; P22-NI-EE</v>
          </cell>
          <cell r="G560">
            <v>100665</v>
          </cell>
        </row>
        <row r="561">
          <cell r="B561">
            <v>610000004232</v>
          </cell>
          <cell r="C561">
            <v>348640</v>
          </cell>
          <cell r="D561" t="str">
            <v>PRO002</v>
          </cell>
          <cell r="F561" t="str">
            <v>610000004232 &amp; P22-NI-EE2</v>
          </cell>
          <cell r="G561">
            <v>100666</v>
          </cell>
        </row>
        <row r="562">
          <cell r="B562">
            <v>610000004193</v>
          </cell>
          <cell r="C562">
            <v>348885</v>
          </cell>
          <cell r="D562" t="str">
            <v>PRO001</v>
          </cell>
          <cell r="F562" t="str">
            <v>3M - ME Washing Zone (P21)</v>
          </cell>
          <cell r="G562">
            <v>100627</v>
          </cell>
        </row>
        <row r="563">
          <cell r="B563">
            <v>610000004182</v>
          </cell>
          <cell r="C563">
            <v>349060</v>
          </cell>
          <cell r="D563" t="str">
            <v>PRO001</v>
          </cell>
          <cell r="F563" t="str">
            <v>2W - ME Transfer &amp; Slicer Zone (P20)</v>
          </cell>
          <cell r="G563">
            <v>100616</v>
          </cell>
        </row>
        <row r="564">
          <cell r="B564">
            <v>610000004183</v>
          </cell>
          <cell r="C564">
            <v>349061</v>
          </cell>
          <cell r="D564" t="str">
            <v>PRO001</v>
          </cell>
          <cell r="F564" t="str">
            <v>2W - ME Transfer &amp; Slicer Zone (P20)</v>
          </cell>
          <cell r="G564">
            <v>100617</v>
          </cell>
        </row>
        <row r="565">
          <cell r="B565">
            <v>610000004184</v>
          </cell>
          <cell r="C565">
            <v>349062</v>
          </cell>
          <cell r="D565" t="str">
            <v>PRO001</v>
          </cell>
          <cell r="F565" t="str">
            <v>1M - ME Transfer &amp; Slicer Zone (P20)</v>
          </cell>
          <cell r="G565">
            <v>100618</v>
          </cell>
        </row>
        <row r="566">
          <cell r="B566">
            <v>610000004185</v>
          </cell>
          <cell r="C566">
            <v>349063</v>
          </cell>
          <cell r="D566" t="str">
            <v>PRO001</v>
          </cell>
          <cell r="F566" t="str">
            <v>1M - ME Transfer &amp; Slicer Zone (P20)</v>
          </cell>
          <cell r="G566">
            <v>100619</v>
          </cell>
        </row>
        <row r="567">
          <cell r="B567">
            <v>610000004186</v>
          </cell>
          <cell r="C567">
            <v>349064</v>
          </cell>
          <cell r="D567" t="str">
            <v>PRO001</v>
          </cell>
          <cell r="F567" t="str">
            <v>6M - ME Transfer &amp; Slicer Zone (P20)</v>
          </cell>
          <cell r="G567">
            <v>100620</v>
          </cell>
        </row>
        <row r="568">
          <cell r="B568">
            <v>610000004187</v>
          </cell>
          <cell r="C568">
            <v>349065</v>
          </cell>
          <cell r="D568" t="str">
            <v>PRO001</v>
          </cell>
          <cell r="F568" t="str">
            <v>6M - ME Transfer &amp; Slicer Zone (P20)</v>
          </cell>
          <cell r="G568">
            <v>100621</v>
          </cell>
        </row>
        <row r="569">
          <cell r="B569">
            <v>610000004188</v>
          </cell>
          <cell r="C569">
            <v>349066</v>
          </cell>
          <cell r="D569" t="str">
            <v>PRO001</v>
          </cell>
          <cell r="F569" t="str">
            <v>2W - ME Washing Zone (P21)</v>
          </cell>
          <cell r="G569">
            <v>100622</v>
          </cell>
        </row>
        <row r="570">
          <cell r="B570">
            <v>610000004189</v>
          </cell>
          <cell r="C570">
            <v>349067</v>
          </cell>
          <cell r="D570" t="str">
            <v>PRO001</v>
          </cell>
          <cell r="F570" t="str">
            <v>2W - ME Washing Zone (P21)</v>
          </cell>
          <cell r="G570">
            <v>100623</v>
          </cell>
        </row>
        <row r="571">
          <cell r="B571">
            <v>610000004190</v>
          </cell>
          <cell r="C571">
            <v>349068</v>
          </cell>
          <cell r="D571" t="str">
            <v>PRO001</v>
          </cell>
          <cell r="F571" t="str">
            <v>1M - ME Washing Zone (P21)</v>
          </cell>
          <cell r="G571">
            <v>100624</v>
          </cell>
        </row>
        <row r="572">
          <cell r="B572">
            <v>610000004191</v>
          </cell>
          <cell r="C572">
            <v>349069</v>
          </cell>
          <cell r="D572" t="str">
            <v>PRO001</v>
          </cell>
          <cell r="F572" t="str">
            <v>1M - ME Washing Zone (P21)</v>
          </cell>
          <cell r="G572">
            <v>100625</v>
          </cell>
        </row>
        <row r="573">
          <cell r="B573">
            <v>610000004192</v>
          </cell>
          <cell r="C573">
            <v>349070</v>
          </cell>
          <cell r="D573" t="str">
            <v>PRO001</v>
          </cell>
          <cell r="F573" t="str">
            <v>1M - ME Washing Zone (P21)</v>
          </cell>
          <cell r="G573">
            <v>100626</v>
          </cell>
        </row>
        <row r="574">
          <cell r="B574">
            <v>610000004233</v>
          </cell>
          <cell r="C574">
            <v>349089</v>
          </cell>
          <cell r="D574" t="str">
            <v>PRO002</v>
          </cell>
          <cell r="F574" t="str">
            <v>610000004233 &amp; P22-NT-EE</v>
          </cell>
          <cell r="G574">
            <v>100667</v>
          </cell>
        </row>
        <row r="575">
          <cell r="B575">
            <v>610000004234</v>
          </cell>
          <cell r="C575">
            <v>349090</v>
          </cell>
          <cell r="D575" t="str">
            <v>PRO002</v>
          </cell>
          <cell r="F575" t="str">
            <v>610000004234 &amp; P22-QC-EE</v>
          </cell>
          <cell r="G575">
            <v>100668</v>
          </cell>
        </row>
        <row r="576">
          <cell r="B576">
            <v>610000004235</v>
          </cell>
          <cell r="C576">
            <v>349091</v>
          </cell>
          <cell r="D576" t="str">
            <v>PRO002</v>
          </cell>
          <cell r="F576" t="str">
            <v>610000004235 &amp; P22-QI-EE</v>
          </cell>
          <cell r="G576">
            <v>100669</v>
          </cell>
        </row>
        <row r="577">
          <cell r="B577">
            <v>610000004236</v>
          </cell>
          <cell r="C577">
            <v>349092</v>
          </cell>
          <cell r="D577" t="str">
            <v>PRO002</v>
          </cell>
          <cell r="F577" t="str">
            <v>610000004236 &amp; P22-HI-EE</v>
          </cell>
          <cell r="G577">
            <v>100670</v>
          </cell>
        </row>
        <row r="578">
          <cell r="B578">
            <v>610000004237</v>
          </cell>
          <cell r="C578">
            <v>349093</v>
          </cell>
          <cell r="D578" t="str">
            <v>PRO002</v>
          </cell>
          <cell r="F578" t="str">
            <v>610000004237 &amp; P22-YCB-EE</v>
          </cell>
          <cell r="G578">
            <v>100671</v>
          </cell>
        </row>
        <row r="579">
          <cell r="B579">
            <v>610000004238</v>
          </cell>
          <cell r="C579">
            <v>349094</v>
          </cell>
          <cell r="D579" t="str">
            <v>PRO002</v>
          </cell>
          <cell r="F579" t="str">
            <v>610000004238 &amp; P23-FI-EE</v>
          </cell>
          <cell r="G579">
            <v>100672</v>
          </cell>
        </row>
        <row r="580">
          <cell r="B580">
            <v>610000004239</v>
          </cell>
          <cell r="C580">
            <v>349095</v>
          </cell>
          <cell r="D580" t="str">
            <v>PRO002</v>
          </cell>
          <cell r="F580" t="str">
            <v>610000004239 &amp; P23-NI-EE</v>
          </cell>
          <cell r="G580">
            <v>100673</v>
          </cell>
        </row>
        <row r="581">
          <cell r="B581">
            <v>610000004240</v>
          </cell>
          <cell r="C581">
            <v>349096</v>
          </cell>
          <cell r="D581" t="str">
            <v>PRO002</v>
          </cell>
          <cell r="F581" t="str">
            <v>610000004240 &amp; P23-NI-EE2</v>
          </cell>
          <cell r="G581">
            <v>100674</v>
          </cell>
        </row>
        <row r="582">
          <cell r="B582">
            <v>610000004241</v>
          </cell>
          <cell r="C582">
            <v>349097</v>
          </cell>
          <cell r="D582" t="str">
            <v>PRO002</v>
          </cell>
          <cell r="F582" t="str">
            <v>610000004241 &amp; P23-NT-EE</v>
          </cell>
          <cell r="G582">
            <v>100675</v>
          </cell>
        </row>
        <row r="583">
          <cell r="B583">
            <v>610000004242</v>
          </cell>
          <cell r="C583">
            <v>349098</v>
          </cell>
          <cell r="D583" t="str">
            <v>PRO002</v>
          </cell>
          <cell r="F583" t="str">
            <v>610000004242 &amp; P23-QC-EE</v>
          </cell>
          <cell r="G583">
            <v>100676</v>
          </cell>
        </row>
        <row r="584">
          <cell r="B584">
            <v>610000004243</v>
          </cell>
          <cell r="C584">
            <v>349099</v>
          </cell>
          <cell r="D584" t="str">
            <v>PRO002</v>
          </cell>
          <cell r="F584" t="str">
            <v>610000004243 &amp; P23-QI-EE</v>
          </cell>
          <cell r="G584">
            <v>100677</v>
          </cell>
        </row>
        <row r="585">
          <cell r="B585">
            <v>610000004244</v>
          </cell>
          <cell r="C585">
            <v>349100</v>
          </cell>
          <cell r="D585" t="str">
            <v>PRO002</v>
          </cell>
          <cell r="F585" t="str">
            <v>610000004244 &amp; P24-FI-EE</v>
          </cell>
          <cell r="G585">
            <v>100678</v>
          </cell>
        </row>
        <row r="586">
          <cell r="B586">
            <v>610000004245</v>
          </cell>
          <cell r="C586">
            <v>349101</v>
          </cell>
          <cell r="D586" t="str">
            <v>PRO002</v>
          </cell>
          <cell r="F586" t="str">
            <v>610000004245 &amp; P24-FC-EE</v>
          </cell>
          <cell r="G586">
            <v>100679</v>
          </cell>
        </row>
        <row r="587">
          <cell r="B587">
            <v>610000004246</v>
          </cell>
          <cell r="C587">
            <v>349102</v>
          </cell>
          <cell r="D587" t="str">
            <v>PRO002</v>
          </cell>
          <cell r="F587" t="str">
            <v>610000004246 &amp; P24-MC-EE</v>
          </cell>
          <cell r="G587">
            <v>100680</v>
          </cell>
        </row>
        <row r="588">
          <cell r="B588">
            <v>610000004247</v>
          </cell>
          <cell r="C588">
            <v>349103</v>
          </cell>
          <cell r="D588" t="str">
            <v>PRO002</v>
          </cell>
          <cell r="F588" t="str">
            <v>610000004247 &amp; P24-NI-EE</v>
          </cell>
          <cell r="G588">
            <v>100681</v>
          </cell>
        </row>
        <row r="589">
          <cell r="B589">
            <v>610000004248</v>
          </cell>
          <cell r="C589">
            <v>349104</v>
          </cell>
          <cell r="D589" t="str">
            <v>PRO002</v>
          </cell>
          <cell r="F589" t="str">
            <v>610000004248 &amp; P24-NI-EE2</v>
          </cell>
          <cell r="G589">
            <v>100682</v>
          </cell>
        </row>
        <row r="590">
          <cell r="B590">
            <v>610000004249</v>
          </cell>
          <cell r="C590">
            <v>349105</v>
          </cell>
          <cell r="D590" t="str">
            <v>PRO002</v>
          </cell>
          <cell r="F590" t="str">
            <v>610000004249 &amp; P24-NT-EE</v>
          </cell>
          <cell r="G590">
            <v>100683</v>
          </cell>
        </row>
        <row r="591">
          <cell r="B591">
            <v>610000004250</v>
          </cell>
          <cell r="C591">
            <v>349106</v>
          </cell>
          <cell r="D591" t="str">
            <v>PRO002</v>
          </cell>
          <cell r="F591" t="str">
            <v>610000004250 &amp; P24-QC-EE</v>
          </cell>
          <cell r="G591">
            <v>100684</v>
          </cell>
        </row>
        <row r="592">
          <cell r="B592">
            <v>610000004251</v>
          </cell>
          <cell r="C592">
            <v>349107</v>
          </cell>
          <cell r="D592" t="str">
            <v>PRO002</v>
          </cell>
          <cell r="F592" t="str">
            <v>3M - EE Monitoring Zone (P24)</v>
          </cell>
          <cell r="G592">
            <v>100685</v>
          </cell>
        </row>
        <row r="593">
          <cell r="B593">
            <v>610000004194</v>
          </cell>
          <cell r="C593">
            <v>349109</v>
          </cell>
          <cell r="D593" t="str">
            <v>PRO001</v>
          </cell>
          <cell r="F593" t="str">
            <v>6M - ME Washing Zone (P21)</v>
          </cell>
          <cell r="G593">
            <v>100628</v>
          </cell>
        </row>
        <row r="594">
          <cell r="B594">
            <v>610000004195</v>
          </cell>
          <cell r="C594">
            <v>349110</v>
          </cell>
          <cell r="D594" t="str">
            <v>PRO001</v>
          </cell>
          <cell r="F594" t="str">
            <v>2W - ME Oil Heating Zone (P22)</v>
          </cell>
          <cell r="G594">
            <v>100629</v>
          </cell>
        </row>
        <row r="595">
          <cell r="B595">
            <v>610000004196</v>
          </cell>
          <cell r="C595">
            <v>349111</v>
          </cell>
          <cell r="D595" t="str">
            <v>PRO001</v>
          </cell>
          <cell r="F595" t="str">
            <v>1M - ME Oil Heating Zone (P22)</v>
          </cell>
          <cell r="G595">
            <v>100630</v>
          </cell>
        </row>
        <row r="596">
          <cell r="B596">
            <v>610000004197</v>
          </cell>
          <cell r="C596">
            <v>349112</v>
          </cell>
          <cell r="D596" t="str">
            <v>PRO001</v>
          </cell>
          <cell r="F596" t="str">
            <v>1M - ME Oil Heating Zone (P22)</v>
          </cell>
          <cell r="G596">
            <v>100631</v>
          </cell>
        </row>
        <row r="597">
          <cell r="B597">
            <v>610000004198</v>
          </cell>
          <cell r="C597">
            <v>349113</v>
          </cell>
          <cell r="D597" t="str">
            <v>PRO001</v>
          </cell>
          <cell r="F597" t="str">
            <v>1M - ME Oil Heating Zone (P22)</v>
          </cell>
          <cell r="G597">
            <v>100632</v>
          </cell>
        </row>
        <row r="598">
          <cell r="B598">
            <v>610000004199</v>
          </cell>
          <cell r="C598">
            <v>349114</v>
          </cell>
          <cell r="D598" t="str">
            <v>PRO001</v>
          </cell>
          <cell r="F598" t="str">
            <v>3M - ME Oil Heating Zone (P22)</v>
          </cell>
          <cell r="G598">
            <v>100633</v>
          </cell>
        </row>
        <row r="599">
          <cell r="B599">
            <v>610000004200</v>
          </cell>
          <cell r="C599">
            <v>349115</v>
          </cell>
          <cell r="D599" t="str">
            <v>PRO001</v>
          </cell>
          <cell r="F599" t="str">
            <v>6M - ME Oil Heating Zone (P22)</v>
          </cell>
          <cell r="G599">
            <v>100634</v>
          </cell>
        </row>
        <row r="600">
          <cell r="B600">
            <v>610000004201</v>
          </cell>
          <cell r="C600">
            <v>349116</v>
          </cell>
          <cell r="D600" t="str">
            <v>PRO001</v>
          </cell>
          <cell r="F600" t="str">
            <v>2W - ME Frying Zone (P23)</v>
          </cell>
          <cell r="G600">
            <v>100635</v>
          </cell>
        </row>
        <row r="601">
          <cell r="B601">
            <v>610000004202</v>
          </cell>
          <cell r="C601">
            <v>349117</v>
          </cell>
          <cell r="D601" t="str">
            <v>PRO001</v>
          </cell>
          <cell r="F601" t="str">
            <v>2W - ME Frying Zone (P23)</v>
          </cell>
          <cell r="G601">
            <v>100636</v>
          </cell>
        </row>
        <row r="602">
          <cell r="B602">
            <v>610000004203</v>
          </cell>
          <cell r="C602">
            <v>349118</v>
          </cell>
          <cell r="D602" t="str">
            <v>PRO001</v>
          </cell>
          <cell r="F602" t="str">
            <v>1M - ME Frying Zone (P23)</v>
          </cell>
          <cell r="G602">
            <v>100637</v>
          </cell>
        </row>
        <row r="603">
          <cell r="B603">
            <v>610000004204</v>
          </cell>
          <cell r="C603">
            <v>349119</v>
          </cell>
          <cell r="D603" t="str">
            <v>PRO001</v>
          </cell>
          <cell r="F603" t="str">
            <v>6M - ME Frying Zone (P23)</v>
          </cell>
          <cell r="G603">
            <v>100638</v>
          </cell>
        </row>
        <row r="604">
          <cell r="B604">
            <v>610000004205</v>
          </cell>
          <cell r="C604">
            <v>349120</v>
          </cell>
          <cell r="D604" t="str">
            <v>PRO001</v>
          </cell>
          <cell r="F604" t="str">
            <v>6M - ME Frying Zone (P23)</v>
          </cell>
          <cell r="G604">
            <v>100639</v>
          </cell>
        </row>
        <row r="605">
          <cell r="B605">
            <v>610000004206</v>
          </cell>
          <cell r="C605">
            <v>349121</v>
          </cell>
          <cell r="D605" t="str">
            <v>PRO001</v>
          </cell>
          <cell r="F605" t="str">
            <v>1Y - ME Frying Zone (P23)</v>
          </cell>
          <cell r="G605">
            <v>100640</v>
          </cell>
        </row>
        <row r="606">
          <cell r="B606">
            <v>610000004207</v>
          </cell>
          <cell r="C606">
            <v>349122</v>
          </cell>
          <cell r="D606" t="str">
            <v>PRO001</v>
          </cell>
          <cell r="F606" t="str">
            <v>2W - ME Monitoring Zone (P24)</v>
          </cell>
          <cell r="G606">
            <v>100641</v>
          </cell>
        </row>
        <row r="607">
          <cell r="B607">
            <v>610000004208</v>
          </cell>
          <cell r="C607">
            <v>349123</v>
          </cell>
          <cell r="D607" t="str">
            <v>PRO001</v>
          </cell>
          <cell r="F607" t="str">
            <v>2W - ME Monitoring Zone (P24)</v>
          </cell>
          <cell r="G607">
            <v>100642</v>
          </cell>
        </row>
        <row r="608">
          <cell r="B608">
            <v>610000004209</v>
          </cell>
          <cell r="C608">
            <v>349124</v>
          </cell>
          <cell r="D608" t="str">
            <v>PRO001</v>
          </cell>
          <cell r="F608" t="str">
            <v>1M - ME Monitoring Zone (P24)</v>
          </cell>
          <cell r="G608">
            <v>100643</v>
          </cell>
        </row>
        <row r="609">
          <cell r="B609">
            <v>610000004210</v>
          </cell>
          <cell r="C609">
            <v>349125</v>
          </cell>
          <cell r="D609" t="str">
            <v>PRO001</v>
          </cell>
          <cell r="F609" t="str">
            <v>1M - ME Monitoring Zone (P24)</v>
          </cell>
          <cell r="G609">
            <v>100644</v>
          </cell>
        </row>
        <row r="610">
          <cell r="B610">
            <v>610000004211</v>
          </cell>
          <cell r="C610">
            <v>349126</v>
          </cell>
          <cell r="D610" t="str">
            <v>PRO001</v>
          </cell>
          <cell r="F610" t="str">
            <v>3M - ME Monitoring Zone (P24)</v>
          </cell>
          <cell r="G610">
            <v>100645</v>
          </cell>
        </row>
        <row r="611">
          <cell r="B611">
            <v>610000004212</v>
          </cell>
          <cell r="C611">
            <v>349127</v>
          </cell>
          <cell r="D611" t="str">
            <v>PRO001</v>
          </cell>
          <cell r="F611" t="str">
            <v>6M - ME Monitoring Zone (P24)</v>
          </cell>
          <cell r="G611">
            <v>100646</v>
          </cell>
        </row>
        <row r="612">
          <cell r="B612">
            <v>610000004213</v>
          </cell>
          <cell r="C612">
            <v>349128</v>
          </cell>
          <cell r="D612" t="str">
            <v>PRO001</v>
          </cell>
          <cell r="F612" t="str">
            <v>6M - ME Monitoring Zone (P24)</v>
          </cell>
          <cell r="G612">
            <v>100647</v>
          </cell>
        </row>
        <row r="613">
          <cell r="B613">
            <v>610000004610</v>
          </cell>
          <cell r="C613">
            <v>348768</v>
          </cell>
          <cell r="D613" t="str">
            <v>PRO001</v>
          </cell>
          <cell r="F613" t="str">
            <v>610000004610 &amp; SX0-FI-ME</v>
          </cell>
          <cell r="G613">
            <v>101044</v>
          </cell>
        </row>
        <row r="614">
          <cell r="B614">
            <v>610000004611</v>
          </cell>
          <cell r="C614">
            <v>348769</v>
          </cell>
          <cell r="D614" t="str">
            <v>PRO001</v>
          </cell>
          <cell r="F614" t="str">
            <v>610000004611 &amp; SX0-FL-ME</v>
          </cell>
          <cell r="G614">
            <v>101045</v>
          </cell>
        </row>
        <row r="615">
          <cell r="B615">
            <v>610000004612</v>
          </cell>
          <cell r="C615">
            <v>348770</v>
          </cell>
          <cell r="D615" t="str">
            <v>PRO001</v>
          </cell>
          <cell r="F615" t="str">
            <v>610000004612 &amp; SX0-MI-ME</v>
          </cell>
          <cell r="G615">
            <v>101046</v>
          </cell>
        </row>
        <row r="616">
          <cell r="B616">
            <v>610000004613</v>
          </cell>
          <cell r="C616">
            <v>348771</v>
          </cell>
          <cell r="D616" t="str">
            <v>PRO001</v>
          </cell>
          <cell r="F616" t="str">
            <v>610000004613 &amp; SX0-NI-ME</v>
          </cell>
          <cell r="G616">
            <v>101047</v>
          </cell>
        </row>
        <row r="617">
          <cell r="B617">
            <v>610000004614</v>
          </cell>
          <cell r="C617">
            <v>348772</v>
          </cell>
          <cell r="D617" t="str">
            <v>PRO001</v>
          </cell>
          <cell r="F617" t="str">
            <v>610000004614 &amp; SX0-HL-ME</v>
          </cell>
          <cell r="G617">
            <v>101048</v>
          </cell>
        </row>
        <row r="618">
          <cell r="B618">
            <v>610000004615</v>
          </cell>
          <cell r="C618">
            <v>348773</v>
          </cell>
          <cell r="D618" t="str">
            <v>PRO001</v>
          </cell>
          <cell r="F618" t="str">
            <v>610000004615 &amp; SX0-HL-ME</v>
          </cell>
          <cell r="G618">
            <v>101049</v>
          </cell>
        </row>
        <row r="619">
          <cell r="B619">
            <v>610000004616</v>
          </cell>
          <cell r="C619">
            <v>348774</v>
          </cell>
          <cell r="D619" t="str">
            <v>PRO001</v>
          </cell>
          <cell r="F619" t="str">
            <v>610000004616 &amp; SX1-FI-ME</v>
          </cell>
          <cell r="G619">
            <v>101050</v>
          </cell>
        </row>
        <row r="620">
          <cell r="B620">
            <v>610000004617</v>
          </cell>
          <cell r="C620">
            <v>348775</v>
          </cell>
          <cell r="D620" t="str">
            <v>PRO001</v>
          </cell>
          <cell r="F620" t="str">
            <v>610000004617 &amp; SX1-MC-ME</v>
          </cell>
          <cell r="G620">
            <v>101051</v>
          </cell>
        </row>
        <row r="621">
          <cell r="B621">
            <v>610000004618</v>
          </cell>
          <cell r="C621">
            <v>348776</v>
          </cell>
          <cell r="D621" t="str">
            <v>PRO001</v>
          </cell>
          <cell r="F621" t="str">
            <v>610000004618 &amp; SX1-HL-ME</v>
          </cell>
          <cell r="G621">
            <v>101052</v>
          </cell>
        </row>
        <row r="622">
          <cell r="B622">
            <v>610000004619</v>
          </cell>
          <cell r="C622">
            <v>348777</v>
          </cell>
          <cell r="D622" t="str">
            <v>PRO001</v>
          </cell>
          <cell r="F622" t="str">
            <v>610000004619 &amp; SX2-FC-ME</v>
          </cell>
          <cell r="G622">
            <v>101053</v>
          </cell>
        </row>
        <row r="623">
          <cell r="B623">
            <v>610000004620</v>
          </cell>
          <cell r="C623">
            <v>348778</v>
          </cell>
          <cell r="D623" t="str">
            <v>PRO001</v>
          </cell>
          <cell r="F623" t="str">
            <v>610000004620 &amp; SX2-FI-ME</v>
          </cell>
          <cell r="G623">
            <v>101054</v>
          </cell>
        </row>
        <row r="624">
          <cell r="B624">
            <v>610000004621</v>
          </cell>
          <cell r="C624">
            <v>348779</v>
          </cell>
          <cell r="D624" t="str">
            <v>PRO001</v>
          </cell>
          <cell r="F624" t="str">
            <v>610000004621 &amp; SX2-MI-ME</v>
          </cell>
          <cell r="G624">
            <v>101055</v>
          </cell>
        </row>
        <row r="625">
          <cell r="B625">
            <v>610000004622</v>
          </cell>
          <cell r="C625">
            <v>348780</v>
          </cell>
          <cell r="D625" t="str">
            <v>PRO001</v>
          </cell>
          <cell r="F625" t="str">
            <v>610000004622 &amp; SX2-MV-ME</v>
          </cell>
          <cell r="G625">
            <v>101056</v>
          </cell>
        </row>
        <row r="626">
          <cell r="B626">
            <v>610000004623</v>
          </cell>
          <cell r="C626">
            <v>348781</v>
          </cell>
          <cell r="D626" t="str">
            <v>PRO001</v>
          </cell>
          <cell r="F626" t="str">
            <v>610000004623 &amp; SX2-ML-ME</v>
          </cell>
          <cell r="G626">
            <v>101057</v>
          </cell>
        </row>
        <row r="627">
          <cell r="B627">
            <v>610000004624</v>
          </cell>
          <cell r="C627">
            <v>348782</v>
          </cell>
          <cell r="D627" t="str">
            <v>PRO001</v>
          </cell>
          <cell r="F627" t="str">
            <v>610000004624 &amp; SX2-HL-ME</v>
          </cell>
          <cell r="G627">
            <v>101058</v>
          </cell>
        </row>
        <row r="628">
          <cell r="B628">
            <v>610000004643</v>
          </cell>
          <cell r="C628">
            <v>348783</v>
          </cell>
          <cell r="D628" t="str">
            <v>PRO002</v>
          </cell>
          <cell r="F628" t="str">
            <v>610000004643 &amp; SX2-MC-EE</v>
          </cell>
          <cell r="G628">
            <v>101077</v>
          </cell>
        </row>
        <row r="629">
          <cell r="B629">
            <v>610000004644</v>
          </cell>
          <cell r="C629">
            <v>348784</v>
          </cell>
          <cell r="D629" t="str">
            <v>PRO002</v>
          </cell>
          <cell r="F629" t="str">
            <v>610000004644 &amp; SX2-NC-EE</v>
          </cell>
          <cell r="G629">
            <v>101078</v>
          </cell>
        </row>
        <row r="630">
          <cell r="B630">
            <v>610000004645</v>
          </cell>
          <cell r="C630">
            <v>348785</v>
          </cell>
          <cell r="D630" t="str">
            <v>PRO002</v>
          </cell>
          <cell r="F630" t="str">
            <v>610000004645 &amp; SX2-QI-EE</v>
          </cell>
          <cell r="G630">
            <v>101079</v>
          </cell>
        </row>
        <row r="631">
          <cell r="B631">
            <v>610000004646</v>
          </cell>
          <cell r="C631">
            <v>348786</v>
          </cell>
          <cell r="D631" t="str">
            <v>PRO002</v>
          </cell>
          <cell r="F631" t="str">
            <v>610000004646 &amp; SX2-HCB-EE</v>
          </cell>
          <cell r="G631">
            <v>101080</v>
          </cell>
        </row>
        <row r="632">
          <cell r="B632">
            <v>610000004647</v>
          </cell>
          <cell r="C632">
            <v>348787</v>
          </cell>
          <cell r="D632" t="str">
            <v>PRO002</v>
          </cell>
          <cell r="F632" t="str">
            <v>610000004647 &amp; SX3-FI-EE</v>
          </cell>
          <cell r="G632">
            <v>101081</v>
          </cell>
        </row>
        <row r="633">
          <cell r="B633">
            <v>610000004648</v>
          </cell>
          <cell r="C633">
            <v>348788</v>
          </cell>
          <cell r="D633" t="str">
            <v>PRO002</v>
          </cell>
          <cell r="F633" t="str">
            <v>610000004648 &amp; SX3-MI-EE</v>
          </cell>
          <cell r="G633">
            <v>101082</v>
          </cell>
        </row>
        <row r="634">
          <cell r="B634">
            <v>610000004649</v>
          </cell>
          <cell r="C634">
            <v>348789</v>
          </cell>
          <cell r="D634" t="str">
            <v>PRO002</v>
          </cell>
          <cell r="F634" t="str">
            <v>610000004649 &amp; SX3-NC-EE</v>
          </cell>
          <cell r="G634">
            <v>101083</v>
          </cell>
        </row>
        <row r="635">
          <cell r="B635">
            <v>610000004650</v>
          </cell>
          <cell r="C635">
            <v>348790</v>
          </cell>
          <cell r="D635" t="str">
            <v>PRO002</v>
          </cell>
          <cell r="F635" t="str">
            <v>610000004650 &amp; SX3-QI-EE</v>
          </cell>
          <cell r="G635">
            <v>101084</v>
          </cell>
        </row>
        <row r="636">
          <cell r="B636">
            <v>610000004625</v>
          </cell>
          <cell r="C636">
            <v>349071</v>
          </cell>
          <cell r="D636" t="str">
            <v>PRO001</v>
          </cell>
          <cell r="F636" t="str">
            <v>610000004625 &amp; SX3-FI-ME</v>
          </cell>
          <cell r="G636">
            <v>101059</v>
          </cell>
        </row>
        <row r="637">
          <cell r="B637">
            <v>610000004626</v>
          </cell>
          <cell r="C637">
            <v>349072</v>
          </cell>
          <cell r="D637" t="str">
            <v>PRO001</v>
          </cell>
          <cell r="F637" t="str">
            <v>610000004626 &amp; SX3-FL-ME</v>
          </cell>
          <cell r="G637">
            <v>101060</v>
          </cell>
        </row>
        <row r="638">
          <cell r="B638">
            <v>610000004627</v>
          </cell>
          <cell r="C638">
            <v>349073</v>
          </cell>
          <cell r="D638" t="str">
            <v>PRO001</v>
          </cell>
          <cell r="F638" t="str">
            <v>610000004627 &amp; SX3-MI-ME</v>
          </cell>
          <cell r="G638">
            <v>101061</v>
          </cell>
        </row>
        <row r="639">
          <cell r="B639">
            <v>610000004628</v>
          </cell>
          <cell r="C639">
            <v>349074</v>
          </cell>
          <cell r="D639" t="str">
            <v>PRO001</v>
          </cell>
          <cell r="F639" t="str">
            <v>610000004628 &amp; SX3-MI-ME2</v>
          </cell>
          <cell r="G639">
            <v>101062</v>
          </cell>
        </row>
        <row r="640">
          <cell r="B640">
            <v>610000004629</v>
          </cell>
          <cell r="C640">
            <v>349075</v>
          </cell>
          <cell r="D640" t="str">
            <v>PRO001</v>
          </cell>
          <cell r="F640" t="str">
            <v>610000004629 &amp; SX3-ML-ME</v>
          </cell>
          <cell r="G640">
            <v>101063</v>
          </cell>
        </row>
        <row r="641">
          <cell r="B641">
            <v>610000004630</v>
          </cell>
          <cell r="C641">
            <v>349076</v>
          </cell>
          <cell r="D641" t="str">
            <v>PRO001</v>
          </cell>
          <cell r="F641" t="str">
            <v>610000004630 &amp; SX3-NL-ME2</v>
          </cell>
          <cell r="G641">
            <v>101064</v>
          </cell>
        </row>
        <row r="642">
          <cell r="B642">
            <v>610000004631</v>
          </cell>
          <cell r="C642">
            <v>349077</v>
          </cell>
          <cell r="D642" t="str">
            <v>PRO001</v>
          </cell>
          <cell r="F642" t="str">
            <v>610000004631 &amp; SX3-NL-ME</v>
          </cell>
          <cell r="G642">
            <v>101065</v>
          </cell>
        </row>
        <row r="643">
          <cell r="B643">
            <v>610000004632</v>
          </cell>
          <cell r="C643">
            <v>349078</v>
          </cell>
          <cell r="D643" t="str">
            <v>PRO001</v>
          </cell>
          <cell r="F643" t="str">
            <v>610000004632 &amp; SX3-HL-ME</v>
          </cell>
          <cell r="G643">
            <v>101066</v>
          </cell>
        </row>
        <row r="644">
          <cell r="B644">
            <v>610000004633</v>
          </cell>
          <cell r="C644">
            <v>349079</v>
          </cell>
          <cell r="D644" t="str">
            <v>PRO002</v>
          </cell>
          <cell r="F644" t="str">
            <v>610000004633 &amp; SX0-FI-EE</v>
          </cell>
          <cell r="G644">
            <v>101067</v>
          </cell>
        </row>
        <row r="645">
          <cell r="B645">
            <v>610000004634</v>
          </cell>
          <cell r="C645">
            <v>349080</v>
          </cell>
          <cell r="D645" t="str">
            <v>PRO002</v>
          </cell>
          <cell r="F645" t="str">
            <v>610000004634 &amp; SX0-MI-EE</v>
          </cell>
          <cell r="G645">
            <v>101068</v>
          </cell>
        </row>
        <row r="646">
          <cell r="B646">
            <v>610000004635</v>
          </cell>
          <cell r="C646">
            <v>349081</v>
          </cell>
          <cell r="D646" t="str">
            <v>PRO002</v>
          </cell>
          <cell r="F646" t="str">
            <v>610000004635 &amp; SX0-NC-EE</v>
          </cell>
          <cell r="G646">
            <v>101069</v>
          </cell>
        </row>
        <row r="647">
          <cell r="B647">
            <v>610000004636</v>
          </cell>
          <cell r="C647">
            <v>349082</v>
          </cell>
          <cell r="D647" t="str">
            <v>PRO002</v>
          </cell>
          <cell r="F647" t="str">
            <v>610000004636 &amp; SX0-QI-EE</v>
          </cell>
          <cell r="G647">
            <v>101070</v>
          </cell>
        </row>
        <row r="648">
          <cell r="B648">
            <v>610000004637</v>
          </cell>
          <cell r="C648">
            <v>349083</v>
          </cell>
          <cell r="D648" t="str">
            <v>PRO002</v>
          </cell>
          <cell r="F648" t="str">
            <v>610000004637 &amp; SX1-FI-EE</v>
          </cell>
          <cell r="G648">
            <v>101071</v>
          </cell>
        </row>
        <row r="649">
          <cell r="B649">
            <v>610000004638</v>
          </cell>
          <cell r="C649">
            <v>349084</v>
          </cell>
          <cell r="D649" t="str">
            <v>PRO002</v>
          </cell>
          <cell r="F649" t="str">
            <v>610000004638 &amp; SX1-MI-EE</v>
          </cell>
          <cell r="G649">
            <v>101072</v>
          </cell>
        </row>
        <row r="650">
          <cell r="B650">
            <v>610000004639</v>
          </cell>
          <cell r="C650">
            <v>349085</v>
          </cell>
          <cell r="D650" t="str">
            <v>PRO002</v>
          </cell>
          <cell r="F650" t="str">
            <v>610000004639 &amp; SX1-NC-EE</v>
          </cell>
          <cell r="G650">
            <v>101073</v>
          </cell>
        </row>
        <row r="651">
          <cell r="B651">
            <v>610000004640</v>
          </cell>
          <cell r="C651">
            <v>349086</v>
          </cell>
          <cell r="D651" t="str">
            <v>PRO002</v>
          </cell>
          <cell r="F651" t="str">
            <v>610000004640 &amp; SX1-QI-EE</v>
          </cell>
          <cell r="G651">
            <v>101074</v>
          </cell>
        </row>
        <row r="652">
          <cell r="B652">
            <v>610000004641</v>
          </cell>
          <cell r="C652">
            <v>349087</v>
          </cell>
          <cell r="D652" t="str">
            <v>PRO002</v>
          </cell>
          <cell r="F652" t="str">
            <v>610000004641 &amp; SX2-FI-EE</v>
          </cell>
          <cell r="G652">
            <v>101075</v>
          </cell>
        </row>
        <row r="653">
          <cell r="B653">
            <v>610000004642</v>
          </cell>
          <cell r="C653">
            <v>349088</v>
          </cell>
          <cell r="D653" t="str">
            <v>PRO002</v>
          </cell>
          <cell r="F653" t="str">
            <v>610000004642 &amp; SX2-MI-EE</v>
          </cell>
          <cell r="G653">
            <v>101076</v>
          </cell>
        </row>
        <row r="654">
          <cell r="B654">
            <v>356693</v>
          </cell>
          <cell r="C654">
            <v>370143</v>
          </cell>
          <cell r="D654" t="str">
            <v>PRO002</v>
          </cell>
          <cell r="F654" t="str">
            <v>356693 &amp; SX2-YI-EE</v>
          </cell>
          <cell r="G654">
            <v>1612</v>
          </cell>
        </row>
        <row r="655">
          <cell r="B655">
            <v>357640</v>
          </cell>
          <cell r="C655">
            <v>371580</v>
          </cell>
          <cell r="D655" t="str">
            <v>PRO002</v>
          </cell>
          <cell r="F655" t="str">
            <v>357640 &amp; SX2-HC-EE</v>
          </cell>
          <cell r="G655">
            <v>2054</v>
          </cell>
        </row>
        <row r="656">
          <cell r="B656">
            <v>610000004253</v>
          </cell>
          <cell r="C656">
            <v>348641</v>
          </cell>
          <cell r="D656" t="str">
            <v>PRO001</v>
          </cell>
          <cell r="F656" t="str">
            <v>610000004253 &amp; ST0-FC-ME</v>
          </cell>
          <cell r="G656">
            <v>100687</v>
          </cell>
        </row>
        <row r="657">
          <cell r="B657">
            <v>610000004254</v>
          </cell>
          <cell r="C657">
            <v>348642</v>
          </cell>
          <cell r="D657" t="str">
            <v>PRO001</v>
          </cell>
          <cell r="F657" t="str">
            <v>610000004254 &amp; ST0-FL-ME</v>
          </cell>
          <cell r="G657">
            <v>100688</v>
          </cell>
        </row>
        <row r="658">
          <cell r="B658">
            <v>610000004255</v>
          </cell>
          <cell r="C658">
            <v>348643</v>
          </cell>
          <cell r="D658" t="str">
            <v>PRO001</v>
          </cell>
          <cell r="F658" t="str">
            <v>610000004255 &amp; ST0-MV-ME</v>
          </cell>
          <cell r="G658">
            <v>100689</v>
          </cell>
        </row>
        <row r="659">
          <cell r="B659">
            <v>610000004256</v>
          </cell>
          <cell r="C659">
            <v>348644</v>
          </cell>
          <cell r="D659" t="str">
            <v>PRO001</v>
          </cell>
          <cell r="F659" t="str">
            <v>610000004256 &amp; ST0-HL-ME</v>
          </cell>
          <cell r="G659">
            <v>100690</v>
          </cell>
        </row>
        <row r="660">
          <cell r="B660">
            <v>610000004257</v>
          </cell>
          <cell r="C660">
            <v>348645</v>
          </cell>
          <cell r="D660" t="str">
            <v>PRO001</v>
          </cell>
          <cell r="F660" t="str">
            <v>610000004257 &amp; ST1-WC-ME</v>
          </cell>
          <cell r="G660">
            <v>100691</v>
          </cell>
        </row>
        <row r="661">
          <cell r="B661">
            <v>610000004258</v>
          </cell>
          <cell r="C661">
            <v>348646</v>
          </cell>
          <cell r="D661" t="str">
            <v>PRO001</v>
          </cell>
          <cell r="F661" t="str">
            <v>610000004258 &amp; ST1-MC-ME</v>
          </cell>
          <cell r="G661">
            <v>100692</v>
          </cell>
        </row>
        <row r="662">
          <cell r="B662">
            <v>610000004259</v>
          </cell>
          <cell r="C662">
            <v>348647</v>
          </cell>
          <cell r="D662" t="str">
            <v>PRO001</v>
          </cell>
          <cell r="F662" t="str">
            <v>610000004259 &amp; ST1-MI-ME</v>
          </cell>
          <cell r="G662">
            <v>100693</v>
          </cell>
        </row>
        <row r="663">
          <cell r="B663">
            <v>610000004260</v>
          </cell>
          <cell r="C663">
            <v>348648</v>
          </cell>
          <cell r="D663" t="str">
            <v>PRO001</v>
          </cell>
          <cell r="F663" t="str">
            <v>610000004260 &amp; ST1-HR-ME</v>
          </cell>
          <cell r="G663">
            <v>100694</v>
          </cell>
        </row>
        <row r="664">
          <cell r="B664">
            <v>610000004261</v>
          </cell>
          <cell r="C664">
            <v>348649</v>
          </cell>
          <cell r="D664" t="str">
            <v>PRO001</v>
          </cell>
          <cell r="F664" t="str">
            <v>610000004261 &amp; ST1-HL-ME</v>
          </cell>
          <cell r="G664">
            <v>100695</v>
          </cell>
        </row>
        <row r="665">
          <cell r="B665">
            <v>610000004262</v>
          </cell>
          <cell r="C665">
            <v>348650</v>
          </cell>
          <cell r="D665" t="str">
            <v>PRO001</v>
          </cell>
          <cell r="F665" t="str">
            <v>610000004262 &amp; ST2-FL-ME</v>
          </cell>
          <cell r="G665">
            <v>100696</v>
          </cell>
        </row>
        <row r="666">
          <cell r="B666">
            <v>610000004263</v>
          </cell>
          <cell r="C666">
            <v>348651</v>
          </cell>
          <cell r="D666" t="str">
            <v>PRO001</v>
          </cell>
          <cell r="F666" t="str">
            <v>610000004263 &amp; ST2-FI-ME</v>
          </cell>
          <cell r="G666">
            <v>100697</v>
          </cell>
        </row>
        <row r="667">
          <cell r="B667">
            <v>610000004264</v>
          </cell>
          <cell r="C667">
            <v>348652</v>
          </cell>
          <cell r="D667" t="str">
            <v>PRO001</v>
          </cell>
          <cell r="F667" t="str">
            <v>610000004264 &amp; ST2-MV-ME</v>
          </cell>
          <cell r="G667">
            <v>100698</v>
          </cell>
        </row>
        <row r="668">
          <cell r="B668">
            <v>610000004265</v>
          </cell>
          <cell r="C668">
            <v>348653</v>
          </cell>
          <cell r="D668" t="str">
            <v>PRO001</v>
          </cell>
          <cell r="F668" t="str">
            <v>610000004265 &amp; ST2-HL-ME</v>
          </cell>
          <cell r="G668">
            <v>100699</v>
          </cell>
        </row>
        <row r="669">
          <cell r="B669">
            <v>610000004266</v>
          </cell>
          <cell r="C669">
            <v>348654</v>
          </cell>
          <cell r="D669" t="str">
            <v>PRO001</v>
          </cell>
          <cell r="F669" t="str">
            <v>610000004266 &amp; ST2-YL-ME</v>
          </cell>
          <cell r="G669">
            <v>100700</v>
          </cell>
        </row>
        <row r="670">
          <cell r="B670">
            <v>610000004267</v>
          </cell>
          <cell r="C670">
            <v>348655</v>
          </cell>
          <cell r="D670" t="str">
            <v>PRO001</v>
          </cell>
          <cell r="F670" t="str">
            <v>610000004267 &amp; ST3-FL-ME</v>
          </cell>
          <cell r="G670">
            <v>100701</v>
          </cell>
        </row>
        <row r="671">
          <cell r="B671">
            <v>610000004268</v>
          </cell>
          <cell r="C671">
            <v>348656</v>
          </cell>
          <cell r="D671" t="str">
            <v>PRO001</v>
          </cell>
          <cell r="F671" t="str">
            <v>610000004268 &amp; ST3-MI-ME</v>
          </cell>
          <cell r="G671">
            <v>100702</v>
          </cell>
        </row>
        <row r="672">
          <cell r="B672">
            <v>610000004269</v>
          </cell>
          <cell r="C672">
            <v>348657</v>
          </cell>
          <cell r="D672" t="str">
            <v>PRO001</v>
          </cell>
          <cell r="F672" t="str">
            <v>610000004269 &amp; ST3-MV-ME</v>
          </cell>
          <cell r="G672">
            <v>100703</v>
          </cell>
        </row>
        <row r="673">
          <cell r="B673">
            <v>610000004270</v>
          </cell>
          <cell r="C673">
            <v>348658</v>
          </cell>
          <cell r="D673" t="str">
            <v>PRO001</v>
          </cell>
          <cell r="F673" t="str">
            <v>610000004270 &amp; ST3-HL-ME</v>
          </cell>
          <cell r="G673">
            <v>100704</v>
          </cell>
        </row>
        <row r="674">
          <cell r="B674">
            <v>610000004290</v>
          </cell>
          <cell r="C674">
            <v>348659</v>
          </cell>
          <cell r="D674" t="str">
            <v>PRO001</v>
          </cell>
          <cell r="F674" t="str">
            <v>610000004290 &amp; ST7-HL-ME</v>
          </cell>
          <cell r="G674">
            <v>100724</v>
          </cell>
        </row>
        <row r="675">
          <cell r="B675">
            <v>610000004291</v>
          </cell>
          <cell r="C675">
            <v>348660</v>
          </cell>
          <cell r="D675" t="str">
            <v>PRO001</v>
          </cell>
          <cell r="F675" t="str">
            <v>610000004291 &amp; ST8-FL-ME</v>
          </cell>
          <cell r="G675">
            <v>100725</v>
          </cell>
        </row>
        <row r="676">
          <cell r="B676">
            <v>610000004292</v>
          </cell>
          <cell r="C676">
            <v>348661</v>
          </cell>
          <cell r="D676" t="str">
            <v>PRO001</v>
          </cell>
          <cell r="F676" t="str">
            <v>610000004292 &amp; ST8-MI-ME</v>
          </cell>
          <cell r="G676">
            <v>100726</v>
          </cell>
        </row>
        <row r="677">
          <cell r="B677">
            <v>610000004293</v>
          </cell>
          <cell r="C677">
            <v>348662</v>
          </cell>
          <cell r="D677" t="str">
            <v>PRO001</v>
          </cell>
          <cell r="F677" t="str">
            <v>610000004293 &amp; ST8-HL-ME</v>
          </cell>
          <cell r="G677">
            <v>100727</v>
          </cell>
        </row>
        <row r="678">
          <cell r="B678">
            <v>610000004294</v>
          </cell>
          <cell r="C678">
            <v>348663</v>
          </cell>
          <cell r="D678" t="str">
            <v>PRO001</v>
          </cell>
          <cell r="F678" t="str">
            <v>610000004294 &amp; ST9-FI-ME</v>
          </cell>
          <cell r="G678">
            <v>100728</v>
          </cell>
        </row>
        <row r="679">
          <cell r="B679">
            <v>610000004295</v>
          </cell>
          <cell r="C679">
            <v>348664</v>
          </cell>
          <cell r="D679" t="str">
            <v>PRO001</v>
          </cell>
          <cell r="F679" t="str">
            <v>610000004295 &amp; ST9-FL-ME</v>
          </cell>
          <cell r="G679">
            <v>100729</v>
          </cell>
        </row>
        <row r="680">
          <cell r="B680">
            <v>610000004296</v>
          </cell>
          <cell r="C680">
            <v>348665</v>
          </cell>
          <cell r="D680" t="str">
            <v>PRO001</v>
          </cell>
          <cell r="F680" t="str">
            <v>610000004296 &amp; ST9-HL-ME</v>
          </cell>
          <cell r="G680">
            <v>100730</v>
          </cell>
        </row>
        <row r="681">
          <cell r="B681">
            <v>610000004297</v>
          </cell>
          <cell r="C681">
            <v>348666</v>
          </cell>
          <cell r="D681" t="str">
            <v>PRO002</v>
          </cell>
          <cell r="F681" t="str">
            <v>610000004297 &amp; ST0-FI-EE</v>
          </cell>
          <cell r="G681">
            <v>100731</v>
          </cell>
        </row>
        <row r="682">
          <cell r="B682">
            <v>610000004298</v>
          </cell>
          <cell r="C682">
            <v>348667</v>
          </cell>
          <cell r="D682" t="str">
            <v>PRO002</v>
          </cell>
          <cell r="F682" t="str">
            <v>610000004298 &amp; ST0-MI-EE</v>
          </cell>
          <cell r="G682">
            <v>100732</v>
          </cell>
        </row>
        <row r="683">
          <cell r="B683">
            <v>610000004299</v>
          </cell>
          <cell r="C683">
            <v>348668</v>
          </cell>
          <cell r="D683" t="str">
            <v>PRO002</v>
          </cell>
          <cell r="F683" t="str">
            <v>610000004299 &amp; ST0-NC-EE</v>
          </cell>
          <cell r="G683">
            <v>100733</v>
          </cell>
        </row>
        <row r="684">
          <cell r="B684">
            <v>610000004300</v>
          </cell>
          <cell r="C684">
            <v>348669</v>
          </cell>
          <cell r="D684" t="str">
            <v>PRO002</v>
          </cell>
          <cell r="F684" t="str">
            <v>610000004300 &amp; ST0-QI-EE</v>
          </cell>
          <cell r="G684">
            <v>100734</v>
          </cell>
        </row>
        <row r="685">
          <cell r="B685">
            <v>610000004301</v>
          </cell>
          <cell r="C685">
            <v>348670</v>
          </cell>
          <cell r="D685" t="str">
            <v>PRO002</v>
          </cell>
          <cell r="F685" t="str">
            <v>610000004301 &amp; ST1-FI-EE</v>
          </cell>
          <cell r="G685">
            <v>100735</v>
          </cell>
        </row>
        <row r="686">
          <cell r="B686">
            <v>610000004302</v>
          </cell>
          <cell r="C686">
            <v>348671</v>
          </cell>
          <cell r="D686" t="str">
            <v>PRO002</v>
          </cell>
          <cell r="F686" t="str">
            <v>610000004302 &amp; ST1-MI-EE</v>
          </cell>
          <cell r="G686">
            <v>100736</v>
          </cell>
        </row>
        <row r="687">
          <cell r="B687">
            <v>610000004303</v>
          </cell>
          <cell r="C687">
            <v>348672</v>
          </cell>
          <cell r="D687" t="str">
            <v>PRO002</v>
          </cell>
          <cell r="F687" t="str">
            <v>610000004303 &amp; ST1-NC-EE</v>
          </cell>
          <cell r="G687">
            <v>100737</v>
          </cell>
        </row>
        <row r="688">
          <cell r="B688">
            <v>610000004304</v>
          </cell>
          <cell r="C688">
            <v>348673</v>
          </cell>
          <cell r="D688" t="str">
            <v>PRO002</v>
          </cell>
          <cell r="F688" t="str">
            <v>610000004304 &amp; ST1-QI-EE</v>
          </cell>
          <cell r="G688">
            <v>100738</v>
          </cell>
        </row>
        <row r="689">
          <cell r="B689">
            <v>610000004305</v>
          </cell>
          <cell r="C689">
            <v>348674</v>
          </cell>
          <cell r="D689" t="str">
            <v>PRO002</v>
          </cell>
          <cell r="F689" t="str">
            <v>610000004305 &amp; ST2-FI-EE</v>
          </cell>
          <cell r="G689">
            <v>100739</v>
          </cell>
        </row>
        <row r="690">
          <cell r="B690">
            <v>610000004306</v>
          </cell>
          <cell r="C690">
            <v>348675</v>
          </cell>
          <cell r="D690" t="str">
            <v>PRO002</v>
          </cell>
          <cell r="F690" t="str">
            <v>610000004306 &amp; ST2-MI-EE</v>
          </cell>
          <cell r="G690">
            <v>100740</v>
          </cell>
        </row>
        <row r="691">
          <cell r="B691">
            <v>610000004307</v>
          </cell>
          <cell r="C691">
            <v>348676</v>
          </cell>
          <cell r="D691" t="str">
            <v>PRO002</v>
          </cell>
          <cell r="F691" t="str">
            <v>610000004307 &amp; ST2-NC-EE</v>
          </cell>
          <cell r="G691">
            <v>100741</v>
          </cell>
        </row>
        <row r="692">
          <cell r="B692">
            <v>610000004327</v>
          </cell>
          <cell r="C692">
            <v>348677</v>
          </cell>
          <cell r="D692" t="str">
            <v>PRO002</v>
          </cell>
          <cell r="F692" t="str">
            <v>610000004327 &amp; ST6-QI-EE</v>
          </cell>
          <cell r="G692">
            <v>100761</v>
          </cell>
        </row>
        <row r="693">
          <cell r="B693">
            <v>610000004328</v>
          </cell>
          <cell r="C693">
            <v>348678</v>
          </cell>
          <cell r="D693" t="str">
            <v>PRO002</v>
          </cell>
          <cell r="F693" t="str">
            <v>610000004328 &amp; ST7-FI-EE</v>
          </cell>
          <cell r="G693">
            <v>100762</v>
          </cell>
        </row>
        <row r="694">
          <cell r="B694">
            <v>610000004329</v>
          </cell>
          <cell r="C694">
            <v>348679</v>
          </cell>
          <cell r="D694" t="str">
            <v>PRO002</v>
          </cell>
          <cell r="F694" t="str">
            <v>610000004329 &amp; ST7-MI-EE</v>
          </cell>
          <cell r="G694">
            <v>100763</v>
          </cell>
        </row>
        <row r="695">
          <cell r="B695">
            <v>610000004330</v>
          </cell>
          <cell r="C695">
            <v>348680</v>
          </cell>
          <cell r="D695" t="str">
            <v>PRO002</v>
          </cell>
          <cell r="F695" t="str">
            <v>610000004330 &amp; ST7-NC-EE</v>
          </cell>
          <cell r="G695">
            <v>100764</v>
          </cell>
        </row>
        <row r="696">
          <cell r="B696">
            <v>610000004331</v>
          </cell>
          <cell r="C696">
            <v>348681</v>
          </cell>
          <cell r="D696" t="str">
            <v>PRO002</v>
          </cell>
          <cell r="F696" t="str">
            <v>610000004331 &amp; ST7-QI-EE</v>
          </cell>
          <cell r="G696">
            <v>100765</v>
          </cell>
        </row>
        <row r="697">
          <cell r="B697">
            <v>610000004332</v>
          </cell>
          <cell r="C697">
            <v>348682</v>
          </cell>
          <cell r="D697" t="str">
            <v>PRO002</v>
          </cell>
          <cell r="F697" t="str">
            <v>610000004332 &amp; ST8-FI-EE</v>
          </cell>
          <cell r="G697">
            <v>100766</v>
          </cell>
        </row>
        <row r="698">
          <cell r="B698">
            <v>610000004333</v>
          </cell>
          <cell r="C698">
            <v>348683</v>
          </cell>
          <cell r="D698" t="str">
            <v>PRO002</v>
          </cell>
          <cell r="F698" t="str">
            <v>610000004333 &amp; ST8-MI-EE</v>
          </cell>
          <cell r="G698">
            <v>100767</v>
          </cell>
        </row>
        <row r="699">
          <cell r="B699">
            <v>610000004334</v>
          </cell>
          <cell r="C699">
            <v>348684</v>
          </cell>
          <cell r="D699" t="str">
            <v>PRO002</v>
          </cell>
          <cell r="F699" t="str">
            <v>610000004334 &amp; ST8-NC-EE</v>
          </cell>
          <cell r="G699">
            <v>100768</v>
          </cell>
        </row>
        <row r="700">
          <cell r="B700">
            <v>610000004335</v>
          </cell>
          <cell r="C700">
            <v>348685</v>
          </cell>
          <cell r="D700" t="str">
            <v>PRO002</v>
          </cell>
          <cell r="F700" t="str">
            <v>610000004335 &amp; ST8-QI-EE</v>
          </cell>
          <cell r="G700">
            <v>100769</v>
          </cell>
        </row>
        <row r="701">
          <cell r="B701">
            <v>610000004336</v>
          </cell>
          <cell r="C701">
            <v>348686</v>
          </cell>
          <cell r="D701" t="str">
            <v>PRO002</v>
          </cell>
          <cell r="F701" t="str">
            <v>610000004336 &amp; ST9-FI-EE</v>
          </cell>
          <cell r="G701">
            <v>100770</v>
          </cell>
        </row>
        <row r="702">
          <cell r="B702">
            <v>610000004337</v>
          </cell>
          <cell r="C702">
            <v>348687</v>
          </cell>
          <cell r="D702" t="str">
            <v>PRO002</v>
          </cell>
          <cell r="F702" t="str">
            <v>610000004337 &amp; ST9-MI-EE</v>
          </cell>
          <cell r="G702">
            <v>100771</v>
          </cell>
        </row>
        <row r="703">
          <cell r="B703">
            <v>610000004338</v>
          </cell>
          <cell r="C703">
            <v>348688</v>
          </cell>
          <cell r="D703" t="str">
            <v>PRO002</v>
          </cell>
          <cell r="F703" t="str">
            <v>610000004338 &amp; ST9-NC-EE</v>
          </cell>
          <cell r="G703">
            <v>100772</v>
          </cell>
        </row>
        <row r="704">
          <cell r="B704">
            <v>610000004339</v>
          </cell>
          <cell r="C704">
            <v>348689</v>
          </cell>
          <cell r="D704" t="str">
            <v>PRO002</v>
          </cell>
          <cell r="F704" t="str">
            <v>610000004339 &amp; ST9-QI-EE</v>
          </cell>
          <cell r="G704">
            <v>100773</v>
          </cell>
        </row>
        <row r="705">
          <cell r="B705">
            <v>610000004252</v>
          </cell>
          <cell r="C705">
            <v>349108</v>
          </cell>
          <cell r="D705" t="str">
            <v>PRO001</v>
          </cell>
          <cell r="F705" t="str">
            <v>610000004252 &amp; ST0-FI-ME</v>
          </cell>
          <cell r="G705">
            <v>100686</v>
          </cell>
        </row>
        <row r="706">
          <cell r="B706">
            <v>610000004271</v>
          </cell>
          <cell r="C706">
            <v>349129</v>
          </cell>
          <cell r="D706" t="str">
            <v>PRO001</v>
          </cell>
          <cell r="F706" t="str">
            <v>610000004271 &amp; ST3-QR-ME</v>
          </cell>
          <cell r="G706">
            <v>100705</v>
          </cell>
        </row>
        <row r="707">
          <cell r="B707">
            <v>610000004272</v>
          </cell>
          <cell r="C707">
            <v>349130</v>
          </cell>
          <cell r="D707" t="str">
            <v>PRO001</v>
          </cell>
          <cell r="F707" t="str">
            <v>610000004272 &amp; ST3-YL-ME</v>
          </cell>
          <cell r="G707">
            <v>100706</v>
          </cell>
        </row>
        <row r="708">
          <cell r="B708">
            <v>610000004273</v>
          </cell>
          <cell r="C708">
            <v>349131</v>
          </cell>
          <cell r="D708" t="str">
            <v>PRO001</v>
          </cell>
          <cell r="F708" t="str">
            <v>610000004273 &amp; ST4-FI-ME</v>
          </cell>
          <cell r="G708">
            <v>100707</v>
          </cell>
        </row>
        <row r="709">
          <cell r="B709">
            <v>610000004274</v>
          </cell>
          <cell r="C709">
            <v>349132</v>
          </cell>
          <cell r="D709" t="str">
            <v>PRO001</v>
          </cell>
          <cell r="F709" t="str">
            <v>610000004274 &amp; ST4-FL-ME</v>
          </cell>
          <cell r="G709">
            <v>100708</v>
          </cell>
        </row>
        <row r="710">
          <cell r="B710">
            <v>610000004275</v>
          </cell>
          <cell r="C710">
            <v>349133</v>
          </cell>
          <cell r="D710" t="str">
            <v>PRO001</v>
          </cell>
          <cell r="F710" t="str">
            <v>610000004275 &amp; ST4-MI-ME</v>
          </cell>
          <cell r="G710">
            <v>100709</v>
          </cell>
        </row>
        <row r="711">
          <cell r="B711">
            <v>610000004276</v>
          </cell>
          <cell r="C711">
            <v>349134</v>
          </cell>
          <cell r="D711" t="str">
            <v>PRO001</v>
          </cell>
          <cell r="F711" t="str">
            <v>610000004276 &amp; ST4-QL-ME</v>
          </cell>
          <cell r="G711">
            <v>100710</v>
          </cell>
        </row>
        <row r="712">
          <cell r="B712">
            <v>610000004277</v>
          </cell>
          <cell r="C712">
            <v>349135</v>
          </cell>
          <cell r="D712" t="str">
            <v>PRO001</v>
          </cell>
          <cell r="F712" t="str">
            <v>610000004277 &amp; ST4-HR-ME</v>
          </cell>
          <cell r="G712">
            <v>100711</v>
          </cell>
        </row>
        <row r="713">
          <cell r="B713">
            <v>610000004278</v>
          </cell>
          <cell r="C713">
            <v>349136</v>
          </cell>
          <cell r="D713" t="str">
            <v>PRO001</v>
          </cell>
          <cell r="F713" t="str">
            <v>610000004278 &amp; ST4-HR-ME2</v>
          </cell>
          <cell r="G713">
            <v>100712</v>
          </cell>
        </row>
        <row r="714">
          <cell r="B714">
            <v>610000004279</v>
          </cell>
          <cell r="C714">
            <v>349137</v>
          </cell>
          <cell r="D714" t="str">
            <v>PRO001</v>
          </cell>
          <cell r="F714" t="str">
            <v>610000004279 &amp; ST4-HR-ME3</v>
          </cell>
          <cell r="G714">
            <v>100713</v>
          </cell>
        </row>
        <row r="715">
          <cell r="B715">
            <v>610000004280</v>
          </cell>
          <cell r="C715">
            <v>349138</v>
          </cell>
          <cell r="D715" t="str">
            <v>PRO001</v>
          </cell>
          <cell r="F715" t="str">
            <v>610000004280 &amp; ST4-YR-ME</v>
          </cell>
          <cell r="G715">
            <v>100714</v>
          </cell>
        </row>
        <row r="716">
          <cell r="B716">
            <v>610000004281</v>
          </cell>
          <cell r="C716">
            <v>349139</v>
          </cell>
          <cell r="D716" t="str">
            <v>PRO001</v>
          </cell>
          <cell r="F716" t="str">
            <v>610000004281 &amp; ST5-FL-ME</v>
          </cell>
          <cell r="G716">
            <v>100715</v>
          </cell>
        </row>
        <row r="717">
          <cell r="B717">
            <v>610000004282</v>
          </cell>
          <cell r="C717">
            <v>349140</v>
          </cell>
          <cell r="D717" t="str">
            <v>PRO001</v>
          </cell>
          <cell r="F717" t="str">
            <v>610000004282 &amp; ST5-MI-ME</v>
          </cell>
          <cell r="G717">
            <v>100716</v>
          </cell>
        </row>
        <row r="718">
          <cell r="B718">
            <v>610000004283</v>
          </cell>
          <cell r="C718">
            <v>349141</v>
          </cell>
          <cell r="D718" t="str">
            <v>PRO001</v>
          </cell>
          <cell r="F718" t="str">
            <v>610000004283 &amp; ST5-MV-ME</v>
          </cell>
          <cell r="G718">
            <v>100717</v>
          </cell>
        </row>
        <row r="719">
          <cell r="B719">
            <v>610000004284</v>
          </cell>
          <cell r="C719">
            <v>349142</v>
          </cell>
          <cell r="D719" t="str">
            <v>PRO001</v>
          </cell>
          <cell r="F719" t="str">
            <v>610000004284 &amp; ST5-QL-ME</v>
          </cell>
          <cell r="G719">
            <v>100718</v>
          </cell>
        </row>
        <row r="720">
          <cell r="B720">
            <v>610000004285</v>
          </cell>
          <cell r="C720">
            <v>349143</v>
          </cell>
          <cell r="D720" t="str">
            <v>PRO001</v>
          </cell>
          <cell r="F720" t="str">
            <v>610000004285 &amp; ST6-FL-ME</v>
          </cell>
          <cell r="G720">
            <v>100719</v>
          </cell>
        </row>
        <row r="721">
          <cell r="B721">
            <v>610000004286</v>
          </cell>
          <cell r="C721">
            <v>349144</v>
          </cell>
          <cell r="D721" t="str">
            <v>PRO001</v>
          </cell>
          <cell r="F721" t="str">
            <v>610000004286 &amp; ST6-MR-ME</v>
          </cell>
          <cell r="G721">
            <v>100720</v>
          </cell>
        </row>
        <row r="722">
          <cell r="B722">
            <v>610000004287</v>
          </cell>
          <cell r="C722">
            <v>349145</v>
          </cell>
          <cell r="D722" t="str">
            <v>PRO001</v>
          </cell>
          <cell r="F722" t="str">
            <v>610000004287 &amp; ST6-HL-ME</v>
          </cell>
          <cell r="G722">
            <v>100721</v>
          </cell>
        </row>
        <row r="723">
          <cell r="B723">
            <v>610000004288</v>
          </cell>
          <cell r="C723">
            <v>349146</v>
          </cell>
          <cell r="D723" t="str">
            <v>PRO001</v>
          </cell>
          <cell r="F723" t="str">
            <v>610000004288 &amp; ST7-FL-ME</v>
          </cell>
          <cell r="G723">
            <v>100722</v>
          </cell>
        </row>
        <row r="724">
          <cell r="B724">
            <v>610000004289</v>
          </cell>
          <cell r="C724">
            <v>349147</v>
          </cell>
          <cell r="D724" t="str">
            <v>PRO001</v>
          </cell>
          <cell r="F724" t="str">
            <v>610000004289 &amp; ST7-MI-ME</v>
          </cell>
          <cell r="G724">
            <v>100723</v>
          </cell>
        </row>
        <row r="725">
          <cell r="B725">
            <v>610000004308</v>
          </cell>
          <cell r="C725">
            <v>349149</v>
          </cell>
          <cell r="D725" t="str">
            <v>PRO002</v>
          </cell>
          <cell r="F725" t="str">
            <v>610000004308 &amp; ST2-QI-EE</v>
          </cell>
          <cell r="G725">
            <v>100742</v>
          </cell>
        </row>
        <row r="726">
          <cell r="B726">
            <v>610000004309</v>
          </cell>
          <cell r="C726">
            <v>349150</v>
          </cell>
          <cell r="D726" t="str">
            <v>PRO002</v>
          </cell>
          <cell r="F726" t="str">
            <v>610000004309 &amp; ST3-FI-EE</v>
          </cell>
          <cell r="G726">
            <v>100743</v>
          </cell>
        </row>
        <row r="727">
          <cell r="B727">
            <v>610000004310</v>
          </cell>
          <cell r="C727">
            <v>349151</v>
          </cell>
          <cell r="D727" t="str">
            <v>PRO002</v>
          </cell>
          <cell r="F727" t="str">
            <v>610000004310 &amp; ST3-MI-EE</v>
          </cell>
          <cell r="G727">
            <v>100744</v>
          </cell>
        </row>
        <row r="728">
          <cell r="B728">
            <v>610000004311</v>
          </cell>
          <cell r="C728">
            <v>349152</v>
          </cell>
          <cell r="D728" t="str">
            <v>PRO002</v>
          </cell>
          <cell r="F728" t="str">
            <v>610000004311 &amp; ST3-NC-EE</v>
          </cell>
          <cell r="G728">
            <v>100745</v>
          </cell>
        </row>
        <row r="729">
          <cell r="B729">
            <v>610000004312</v>
          </cell>
          <cell r="C729">
            <v>349153</v>
          </cell>
          <cell r="D729" t="str">
            <v>PRO002</v>
          </cell>
          <cell r="F729" t="str">
            <v>610000004312 &amp; ST3-QI-EE</v>
          </cell>
          <cell r="G729">
            <v>100746</v>
          </cell>
        </row>
        <row r="730">
          <cell r="B730">
            <v>610000004313</v>
          </cell>
          <cell r="C730">
            <v>349154</v>
          </cell>
          <cell r="D730" t="str">
            <v>PRO002</v>
          </cell>
          <cell r="F730" t="str">
            <v>610000004313 &amp; ST4-FI-EE</v>
          </cell>
          <cell r="G730">
            <v>100747</v>
          </cell>
        </row>
        <row r="731">
          <cell r="B731">
            <v>610000004314</v>
          </cell>
          <cell r="C731">
            <v>349155</v>
          </cell>
          <cell r="D731" t="str">
            <v>PRO002</v>
          </cell>
          <cell r="F731" t="str">
            <v>610000004314 &amp; ST4-MI-EE</v>
          </cell>
          <cell r="G731">
            <v>100748</v>
          </cell>
        </row>
        <row r="732">
          <cell r="B732">
            <v>610000004315</v>
          </cell>
          <cell r="C732">
            <v>349156</v>
          </cell>
          <cell r="D732" t="str">
            <v>PRO002</v>
          </cell>
          <cell r="F732" t="str">
            <v>610000004315 &amp; ST4-NC-EE</v>
          </cell>
          <cell r="G732">
            <v>100749</v>
          </cell>
        </row>
        <row r="733">
          <cell r="B733">
            <v>610000004316</v>
          </cell>
          <cell r="C733">
            <v>349157</v>
          </cell>
          <cell r="D733" t="str">
            <v>PRO002</v>
          </cell>
          <cell r="F733" t="str">
            <v>610000004316 &amp; ST4-QI-EE</v>
          </cell>
          <cell r="G733">
            <v>100750</v>
          </cell>
        </row>
        <row r="734">
          <cell r="B734">
            <v>610000004317</v>
          </cell>
          <cell r="C734">
            <v>349158</v>
          </cell>
          <cell r="D734" t="str">
            <v>PRO002</v>
          </cell>
          <cell r="F734" t="str">
            <v>610000004317 &amp; ST5-FC-EE</v>
          </cell>
          <cell r="G734">
            <v>100751</v>
          </cell>
        </row>
        <row r="735">
          <cell r="B735">
            <v>610000004318</v>
          </cell>
          <cell r="C735">
            <v>349159</v>
          </cell>
          <cell r="D735" t="str">
            <v>PRO002</v>
          </cell>
          <cell r="F735" t="str">
            <v>610000004318 &amp; ST5-FI-EE</v>
          </cell>
          <cell r="G735">
            <v>100752</v>
          </cell>
        </row>
        <row r="736">
          <cell r="B736">
            <v>610000004319</v>
          </cell>
          <cell r="C736">
            <v>349160</v>
          </cell>
          <cell r="D736" t="str">
            <v>PRO002</v>
          </cell>
          <cell r="F736" t="str">
            <v>610000004319 &amp; ST5-MI-EE</v>
          </cell>
          <cell r="G736">
            <v>100753</v>
          </cell>
        </row>
        <row r="737">
          <cell r="B737">
            <v>610000004320</v>
          </cell>
          <cell r="C737">
            <v>349161</v>
          </cell>
          <cell r="D737" t="str">
            <v>PRO002</v>
          </cell>
          <cell r="F737" t="str">
            <v>610000004320 &amp; ST5-MI-EE2</v>
          </cell>
          <cell r="G737">
            <v>100754</v>
          </cell>
        </row>
        <row r="738">
          <cell r="B738">
            <v>610000004321</v>
          </cell>
          <cell r="C738">
            <v>349162</v>
          </cell>
          <cell r="D738" t="str">
            <v>PRO002</v>
          </cell>
          <cell r="F738" t="str">
            <v>610000004321 &amp; ST5-NC-EE</v>
          </cell>
          <cell r="G738">
            <v>100755</v>
          </cell>
        </row>
        <row r="739">
          <cell r="B739">
            <v>610000004322</v>
          </cell>
          <cell r="C739">
            <v>349163</v>
          </cell>
          <cell r="D739" t="str">
            <v>PRO002</v>
          </cell>
          <cell r="F739" t="str">
            <v>610000004322 &amp; ST5-QI-EE</v>
          </cell>
          <cell r="G739">
            <v>100756</v>
          </cell>
        </row>
        <row r="740">
          <cell r="B740">
            <v>610000004323</v>
          </cell>
          <cell r="C740">
            <v>349164</v>
          </cell>
          <cell r="D740" t="str">
            <v>PRO002</v>
          </cell>
          <cell r="F740" t="str">
            <v>610000004323 &amp; ST5-YCB-EE</v>
          </cell>
          <cell r="G740">
            <v>100757</v>
          </cell>
        </row>
        <row r="741">
          <cell r="B741">
            <v>610000004324</v>
          </cell>
          <cell r="C741">
            <v>349165</v>
          </cell>
          <cell r="D741" t="str">
            <v>PRO002</v>
          </cell>
          <cell r="F741" t="str">
            <v>610000004324 &amp; ST6-FI-EE</v>
          </cell>
          <cell r="G741">
            <v>100758</v>
          </cell>
        </row>
        <row r="742">
          <cell r="B742">
            <v>610000004325</v>
          </cell>
          <cell r="C742">
            <v>349166</v>
          </cell>
          <cell r="D742" t="str">
            <v>PRO002</v>
          </cell>
          <cell r="F742" t="str">
            <v>610000004325 &amp; ST6-MI-EE</v>
          </cell>
          <cell r="G742">
            <v>100759</v>
          </cell>
        </row>
        <row r="743">
          <cell r="B743">
            <v>610000004326</v>
          </cell>
          <cell r="C743">
            <v>349167</v>
          </cell>
          <cell r="D743" t="str">
            <v>PRO002</v>
          </cell>
          <cell r="F743" t="str">
            <v>610000004326 &amp; ST6-NC-EE</v>
          </cell>
          <cell r="G743">
            <v>100760</v>
          </cell>
        </row>
        <row r="744">
          <cell r="B744">
            <v>341712</v>
          </cell>
          <cell r="C744">
            <v>349780</v>
          </cell>
          <cell r="D744" t="str">
            <v>PRO001</v>
          </cell>
          <cell r="F744" t="str">
            <v>341712 &amp; ST3-HL-ME</v>
          </cell>
          <cell r="G744">
            <v>374</v>
          </cell>
        </row>
        <row r="745">
          <cell r="B745">
            <v>341721</v>
          </cell>
          <cell r="C745">
            <v>349811</v>
          </cell>
          <cell r="D745" t="str">
            <v>PRO001</v>
          </cell>
          <cell r="F745" t="str">
            <v>341721 &amp; ST2-QI-ME</v>
          </cell>
          <cell r="G745">
            <v>372</v>
          </cell>
        </row>
        <row r="746">
          <cell r="B746">
            <v>341722</v>
          </cell>
          <cell r="C746">
            <v>349812</v>
          </cell>
          <cell r="D746" t="str">
            <v>PRO001</v>
          </cell>
          <cell r="F746" t="str">
            <v>341722 &amp; ST2-YR-ME</v>
          </cell>
          <cell r="G746">
            <v>373</v>
          </cell>
        </row>
        <row r="747">
          <cell r="B747">
            <v>341713</v>
          </cell>
          <cell r="C747">
            <v>349821</v>
          </cell>
          <cell r="D747" t="str">
            <v>PRO001</v>
          </cell>
          <cell r="F747" t="str">
            <v>341713 &amp; ST6-HR-ME</v>
          </cell>
          <cell r="G747">
            <v>375</v>
          </cell>
        </row>
        <row r="748">
          <cell r="B748">
            <v>341714</v>
          </cell>
          <cell r="C748">
            <v>349822</v>
          </cell>
          <cell r="D748" t="str">
            <v>PRO001</v>
          </cell>
          <cell r="F748" t="str">
            <v>341714 &amp; ST6-QR-ME</v>
          </cell>
          <cell r="G748">
            <v>376</v>
          </cell>
        </row>
        <row r="749">
          <cell r="B749">
            <v>341883</v>
          </cell>
          <cell r="C749">
            <v>349977</v>
          </cell>
          <cell r="D749" t="str">
            <v>PRO002</v>
          </cell>
          <cell r="F749" t="str">
            <v>341883 &amp; ST9-FI-EE</v>
          </cell>
          <cell r="G749">
            <v>397</v>
          </cell>
        </row>
        <row r="750">
          <cell r="B750">
            <v>341884</v>
          </cell>
          <cell r="C750">
            <v>349978</v>
          </cell>
          <cell r="D750" t="str">
            <v>PRO002</v>
          </cell>
          <cell r="F750" t="str">
            <v>341884 &amp; ST9-MI-EE</v>
          </cell>
          <cell r="G750">
            <v>398</v>
          </cell>
        </row>
        <row r="751">
          <cell r="B751">
            <v>341885</v>
          </cell>
          <cell r="C751">
            <v>349979</v>
          </cell>
          <cell r="D751" t="str">
            <v>PRO002</v>
          </cell>
          <cell r="F751" t="str">
            <v>341885 &amp; ST9-NC-EE</v>
          </cell>
          <cell r="G751">
            <v>399</v>
          </cell>
        </row>
        <row r="752">
          <cell r="B752">
            <v>341886</v>
          </cell>
          <cell r="C752">
            <v>349980</v>
          </cell>
          <cell r="D752" t="str">
            <v>PRO002</v>
          </cell>
          <cell r="F752" t="str">
            <v>341886 &amp; ST9-QI-EE</v>
          </cell>
          <cell r="G752">
            <v>404</v>
          </cell>
        </row>
        <row r="753">
          <cell r="B753">
            <v>341891</v>
          </cell>
          <cell r="C753">
            <v>350001</v>
          </cell>
          <cell r="D753" t="str">
            <v>PRO001</v>
          </cell>
          <cell r="F753" t="str">
            <v>341891 &amp; ST6-YR-ME</v>
          </cell>
          <cell r="G753">
            <v>396</v>
          </cell>
        </row>
        <row r="754">
          <cell r="B754">
            <v>341887</v>
          </cell>
          <cell r="C754">
            <v>350041</v>
          </cell>
          <cell r="D754" t="str">
            <v>PRO001</v>
          </cell>
          <cell r="F754" t="str">
            <v>341887 &amp; ST6-FI-ME</v>
          </cell>
          <cell r="G754">
            <v>405</v>
          </cell>
        </row>
        <row r="755">
          <cell r="B755">
            <v>342101</v>
          </cell>
          <cell r="C755">
            <v>350273</v>
          </cell>
          <cell r="D755" t="str">
            <v>PRO001</v>
          </cell>
          <cell r="F755" t="str">
            <v>342101 &amp; ST7-QI-ME</v>
          </cell>
          <cell r="G755">
            <v>429</v>
          </cell>
        </row>
        <row r="756">
          <cell r="B756">
            <v>342102</v>
          </cell>
          <cell r="C756">
            <v>350274</v>
          </cell>
          <cell r="D756" t="str">
            <v>PRO001</v>
          </cell>
          <cell r="F756" t="str">
            <v>342102 &amp; ST5-HR-ME</v>
          </cell>
          <cell r="G756">
            <v>430</v>
          </cell>
        </row>
        <row r="757">
          <cell r="B757">
            <v>342104</v>
          </cell>
          <cell r="C757">
            <v>350276</v>
          </cell>
          <cell r="D757" t="str">
            <v>PRO002</v>
          </cell>
          <cell r="F757" t="str">
            <v>342104 &amp; ST0-QI-EE2</v>
          </cell>
          <cell r="G757">
            <v>435</v>
          </cell>
        </row>
        <row r="758">
          <cell r="B758">
            <v>342108</v>
          </cell>
          <cell r="C758">
            <v>350280</v>
          </cell>
          <cell r="D758" t="str">
            <v>PRO001</v>
          </cell>
          <cell r="F758" t="str">
            <v>342108 &amp; ST1-HI-ME</v>
          </cell>
          <cell r="G758">
            <v>441</v>
          </cell>
        </row>
        <row r="759">
          <cell r="B759">
            <v>342284</v>
          </cell>
          <cell r="C759">
            <v>350434</v>
          </cell>
          <cell r="D759" t="str">
            <v>PRO002</v>
          </cell>
          <cell r="F759" t="str">
            <v>342284 &amp; ST5-HC-EE</v>
          </cell>
          <cell r="G759">
            <v>469</v>
          </cell>
        </row>
        <row r="760">
          <cell r="B760">
            <v>342270</v>
          </cell>
          <cell r="C760">
            <v>350450</v>
          </cell>
          <cell r="D760" t="str">
            <v>PRO002</v>
          </cell>
          <cell r="F760" t="str">
            <v>342270 &amp; ST5-FC-EE2</v>
          </cell>
          <cell r="G760">
            <v>455</v>
          </cell>
        </row>
        <row r="761">
          <cell r="B761">
            <v>342332</v>
          </cell>
          <cell r="C761">
            <v>350474</v>
          </cell>
          <cell r="D761" t="str">
            <v>PRO001</v>
          </cell>
          <cell r="F761" t="str">
            <v>342332 &amp; ST3-QR-ME</v>
          </cell>
          <cell r="G761">
            <v>100705</v>
          </cell>
        </row>
        <row r="762">
          <cell r="B762">
            <v>342401</v>
          </cell>
          <cell r="C762">
            <v>350603</v>
          </cell>
          <cell r="D762" t="str">
            <v>PRO001</v>
          </cell>
          <cell r="F762" t="str">
            <v>342401 &amp; ST6-NR-ME</v>
          </cell>
          <cell r="G762">
            <v>510</v>
          </cell>
        </row>
        <row r="763">
          <cell r="B763">
            <v>342511</v>
          </cell>
          <cell r="C763">
            <v>350741</v>
          </cell>
          <cell r="D763" t="str">
            <v>PRO001</v>
          </cell>
          <cell r="F763" t="str">
            <v xml:space="preserve"> 342511 &amp; ST3-HI-ME</v>
          </cell>
          <cell r="G763">
            <v>555</v>
          </cell>
        </row>
        <row r="764">
          <cell r="B764">
            <v>342512</v>
          </cell>
          <cell r="C764">
            <v>350742</v>
          </cell>
          <cell r="D764" t="str">
            <v>PRO002</v>
          </cell>
          <cell r="F764" t="str">
            <v>342512 &amp; ST5-HR-EE</v>
          </cell>
          <cell r="G764">
            <v>556</v>
          </cell>
        </row>
        <row r="765">
          <cell r="B765">
            <v>342585</v>
          </cell>
          <cell r="C765">
            <v>350885</v>
          </cell>
          <cell r="D765" t="str">
            <v>PRO001</v>
          </cell>
          <cell r="F765" t="str">
            <v>342585 &amp; ST3-MC-ME</v>
          </cell>
          <cell r="G765">
            <v>590</v>
          </cell>
        </row>
        <row r="766">
          <cell r="B766">
            <v>342853</v>
          </cell>
          <cell r="C766">
            <v>351203</v>
          </cell>
          <cell r="D766" t="str">
            <v>PRO002</v>
          </cell>
          <cell r="F766" t="str">
            <v>342853 &amp; ST5-YCB-EE</v>
          </cell>
          <cell r="G766">
            <v>100757</v>
          </cell>
        </row>
        <row r="767">
          <cell r="B767">
            <v>343017</v>
          </cell>
          <cell r="C767">
            <v>351387</v>
          </cell>
          <cell r="D767" t="str">
            <v>PRO001</v>
          </cell>
          <cell r="F767" t="str">
            <v>343017 &amp; ST6-QR-ME2</v>
          </cell>
          <cell r="G767">
            <v>673</v>
          </cell>
        </row>
        <row r="768">
          <cell r="B768">
            <v>343634</v>
          </cell>
          <cell r="C768">
            <v>351994</v>
          </cell>
          <cell r="D768" t="str">
            <v>PRO001</v>
          </cell>
          <cell r="F768" t="str">
            <v>343634 &amp; ST4-WL-ME</v>
          </cell>
          <cell r="G768">
            <v>735</v>
          </cell>
        </row>
        <row r="769">
          <cell r="B769">
            <v>343916</v>
          </cell>
          <cell r="C769">
            <v>352526</v>
          </cell>
          <cell r="D769" t="str">
            <v>PRO002</v>
          </cell>
          <cell r="F769" t="str">
            <v>6M - EE Water Proportioner (ST1)</v>
          </cell>
          <cell r="G769">
            <v>778</v>
          </cell>
        </row>
        <row r="770">
          <cell r="B770">
            <v>344488</v>
          </cell>
          <cell r="C770">
            <v>353228</v>
          </cell>
          <cell r="D770" t="str">
            <v>PRO001</v>
          </cell>
          <cell r="F770" t="str">
            <v>344488 &amp; ST1-HC-ME</v>
          </cell>
          <cell r="G770">
            <v>815</v>
          </cell>
        </row>
        <row r="771">
          <cell r="B771">
            <v>345664</v>
          </cell>
          <cell r="C771">
            <v>354504</v>
          </cell>
          <cell r="D771" t="str">
            <v>PRO001</v>
          </cell>
          <cell r="F771" t="str">
            <v>345664 &amp; ST0-FI-ME</v>
          </cell>
          <cell r="G771">
            <v>1182</v>
          </cell>
        </row>
        <row r="772">
          <cell r="B772">
            <v>345665</v>
          </cell>
          <cell r="C772">
            <v>354505</v>
          </cell>
          <cell r="D772" t="str">
            <v>PRO001</v>
          </cell>
          <cell r="F772" t="str">
            <v>345665 &amp; ST0-FC-ME</v>
          </cell>
          <cell r="G772">
            <v>100687</v>
          </cell>
        </row>
        <row r="773">
          <cell r="B773">
            <v>345666</v>
          </cell>
          <cell r="C773">
            <v>354506</v>
          </cell>
          <cell r="D773" t="str">
            <v>PRO001</v>
          </cell>
          <cell r="F773" t="str">
            <v>345666 &amp; ST0-FL-ME</v>
          </cell>
          <cell r="G773">
            <v>100688</v>
          </cell>
        </row>
        <row r="774">
          <cell r="B774">
            <v>345667</v>
          </cell>
          <cell r="C774">
            <v>354507</v>
          </cell>
          <cell r="D774" t="str">
            <v>PRO001</v>
          </cell>
          <cell r="F774" t="str">
            <v>345667 &amp; ST1-WC-ME</v>
          </cell>
          <cell r="G774">
            <v>100691</v>
          </cell>
        </row>
        <row r="775">
          <cell r="B775">
            <v>345668</v>
          </cell>
          <cell r="C775">
            <v>354508</v>
          </cell>
          <cell r="D775" t="str">
            <v>PRO001</v>
          </cell>
          <cell r="F775" t="str">
            <v>345668 &amp; ST1-MC-ME</v>
          </cell>
          <cell r="G775">
            <v>100692</v>
          </cell>
        </row>
        <row r="776">
          <cell r="B776">
            <v>345669</v>
          </cell>
          <cell r="C776">
            <v>354509</v>
          </cell>
          <cell r="D776" t="str">
            <v>PRO001</v>
          </cell>
          <cell r="F776" t="str">
            <v>345669 &amp; ST2-ML-ME</v>
          </cell>
          <cell r="G776">
            <v>100696</v>
          </cell>
        </row>
        <row r="777">
          <cell r="B777">
            <v>345670</v>
          </cell>
          <cell r="C777">
            <v>354510</v>
          </cell>
          <cell r="D777" t="str">
            <v>PRO001</v>
          </cell>
          <cell r="F777" t="str">
            <v>345670 &amp; ST2-FI-ME</v>
          </cell>
          <cell r="G777">
            <v>100697</v>
          </cell>
        </row>
        <row r="778">
          <cell r="B778">
            <v>345881</v>
          </cell>
          <cell r="C778">
            <v>354511</v>
          </cell>
          <cell r="D778" t="str">
            <v>PRO001</v>
          </cell>
          <cell r="F778" t="str">
            <v>345881 &amp; ST3-ML-ME</v>
          </cell>
          <cell r="G778">
            <v>100701</v>
          </cell>
        </row>
        <row r="779">
          <cell r="B779">
            <v>345882</v>
          </cell>
          <cell r="C779">
            <v>354512</v>
          </cell>
          <cell r="D779" t="str">
            <v>PRO001</v>
          </cell>
          <cell r="F779" t="str">
            <v>345882 &amp; ST4-FI-ME</v>
          </cell>
          <cell r="G779">
            <v>100707</v>
          </cell>
        </row>
        <row r="780">
          <cell r="B780">
            <v>345883</v>
          </cell>
          <cell r="C780">
            <v>354513</v>
          </cell>
          <cell r="D780" t="str">
            <v>PRO001</v>
          </cell>
          <cell r="F780" t="str">
            <v>345883 &amp; ST4-FL-ME</v>
          </cell>
          <cell r="G780">
            <v>100708</v>
          </cell>
        </row>
        <row r="781">
          <cell r="B781">
            <v>345884</v>
          </cell>
          <cell r="C781">
            <v>354514</v>
          </cell>
          <cell r="D781" t="str">
            <v>PRO001</v>
          </cell>
          <cell r="F781" t="str">
            <v>345884 &amp; ST5-FL-ME</v>
          </cell>
          <cell r="G781">
            <v>100715</v>
          </cell>
        </row>
        <row r="782">
          <cell r="B782">
            <v>345885</v>
          </cell>
          <cell r="C782">
            <v>354515</v>
          </cell>
          <cell r="D782" t="str">
            <v>PRO001</v>
          </cell>
          <cell r="F782" t="str">
            <v>345885 &amp; ST6-FI-ME</v>
          </cell>
          <cell r="G782">
            <v>405</v>
          </cell>
        </row>
        <row r="783">
          <cell r="B783">
            <v>345886</v>
          </cell>
          <cell r="C783">
            <v>354516</v>
          </cell>
          <cell r="D783" t="str">
            <v>PRO001</v>
          </cell>
          <cell r="F783" t="str">
            <v>345886 &amp; ST6-FL-ME</v>
          </cell>
          <cell r="G783">
            <v>100719</v>
          </cell>
        </row>
        <row r="784">
          <cell r="B784">
            <v>345887</v>
          </cell>
          <cell r="C784">
            <v>354517</v>
          </cell>
          <cell r="D784" t="str">
            <v>PRO001</v>
          </cell>
          <cell r="F784" t="str">
            <v>345887 &amp; ST7-FL-ME</v>
          </cell>
          <cell r="G784">
            <v>100722</v>
          </cell>
        </row>
        <row r="785">
          <cell r="B785">
            <v>345888</v>
          </cell>
          <cell r="C785">
            <v>354518</v>
          </cell>
          <cell r="D785" t="str">
            <v>PRO001</v>
          </cell>
          <cell r="F785" t="str">
            <v>345888 &amp; ST8-FL-ME</v>
          </cell>
          <cell r="G785">
            <v>100725</v>
          </cell>
        </row>
        <row r="786">
          <cell r="B786">
            <v>345889</v>
          </cell>
          <cell r="C786">
            <v>354519</v>
          </cell>
          <cell r="D786" t="str">
            <v>PRO001</v>
          </cell>
          <cell r="F786" t="str">
            <v>345889 &amp; ST9-FI-ME</v>
          </cell>
          <cell r="G786">
            <v>100728</v>
          </cell>
        </row>
        <row r="787">
          <cell r="B787">
            <v>345890</v>
          </cell>
          <cell r="C787">
            <v>354520</v>
          </cell>
          <cell r="D787" t="str">
            <v>PRO001</v>
          </cell>
          <cell r="F787" t="str">
            <v>345890 &amp; ST9-FL-ME</v>
          </cell>
          <cell r="G787">
            <v>100729</v>
          </cell>
        </row>
        <row r="788">
          <cell r="B788">
            <v>345862</v>
          </cell>
          <cell r="C788">
            <v>354682</v>
          </cell>
          <cell r="D788" t="str">
            <v>PRO001</v>
          </cell>
          <cell r="F788" t="str">
            <v>345862 &amp; ST0-HL-ME</v>
          </cell>
          <cell r="G788">
            <v>100690</v>
          </cell>
        </row>
        <row r="789">
          <cell r="B789">
            <v>345863</v>
          </cell>
          <cell r="C789">
            <v>354683</v>
          </cell>
          <cell r="D789" t="str">
            <v>PRO001</v>
          </cell>
          <cell r="F789" t="str">
            <v>345863 &amp; ST1-HR-ME</v>
          </cell>
          <cell r="G789">
            <v>100694</v>
          </cell>
        </row>
        <row r="790">
          <cell r="B790">
            <v>345864</v>
          </cell>
          <cell r="C790">
            <v>354684</v>
          </cell>
          <cell r="D790" t="str">
            <v>PRO001</v>
          </cell>
          <cell r="F790" t="str">
            <v>345864 &amp; ST1-HL-ME</v>
          </cell>
          <cell r="G790">
            <v>100695</v>
          </cell>
        </row>
        <row r="791">
          <cell r="B791">
            <v>345865</v>
          </cell>
          <cell r="C791">
            <v>354685</v>
          </cell>
          <cell r="D791" t="str">
            <v>PRO001</v>
          </cell>
          <cell r="F791" t="str">
            <v>345865 &amp; ST2-QI-ME</v>
          </cell>
          <cell r="G791">
            <v>372</v>
          </cell>
        </row>
        <row r="792">
          <cell r="B792">
            <v>345891</v>
          </cell>
          <cell r="C792">
            <v>354701</v>
          </cell>
          <cell r="D792" t="str">
            <v>PRO001</v>
          </cell>
          <cell r="F792" t="str">
            <v>345891 &amp; ST0-MV-ME</v>
          </cell>
          <cell r="G792">
            <v>100689</v>
          </cell>
        </row>
        <row r="793">
          <cell r="B793">
            <v>345892</v>
          </cell>
          <cell r="C793">
            <v>354702</v>
          </cell>
          <cell r="D793" t="str">
            <v>PRO001</v>
          </cell>
          <cell r="F793" t="str">
            <v>345892 &amp; ST1-MI-ME</v>
          </cell>
          <cell r="G793">
            <v>100693</v>
          </cell>
        </row>
        <row r="794">
          <cell r="B794">
            <v>345893</v>
          </cell>
          <cell r="C794">
            <v>354703</v>
          </cell>
          <cell r="D794" t="str">
            <v>PRO001</v>
          </cell>
          <cell r="F794" t="str">
            <v>345893 &amp; ST2-MV-ME</v>
          </cell>
          <cell r="G794">
            <v>100698</v>
          </cell>
        </row>
        <row r="795">
          <cell r="B795">
            <v>345894</v>
          </cell>
          <cell r="C795">
            <v>354704</v>
          </cell>
          <cell r="D795" t="str">
            <v>PRO001</v>
          </cell>
          <cell r="F795" t="str">
            <v>345894 &amp; ST3-MI-ME</v>
          </cell>
          <cell r="G795">
            <v>100702</v>
          </cell>
        </row>
        <row r="796">
          <cell r="B796">
            <v>345895</v>
          </cell>
          <cell r="C796">
            <v>354705</v>
          </cell>
          <cell r="D796" t="str">
            <v>PRO001</v>
          </cell>
          <cell r="F796" t="str">
            <v>345895 &amp; ST3-MV-ME</v>
          </cell>
          <cell r="G796">
            <v>100703</v>
          </cell>
        </row>
        <row r="797">
          <cell r="B797">
            <v>345896</v>
          </cell>
          <cell r="C797">
            <v>354706</v>
          </cell>
          <cell r="D797" t="str">
            <v>PRO001</v>
          </cell>
          <cell r="F797" t="str">
            <v>345896 &amp; ST4-MI-ME</v>
          </cell>
          <cell r="G797">
            <v>100709</v>
          </cell>
        </row>
        <row r="798">
          <cell r="B798">
            <v>345897</v>
          </cell>
          <cell r="C798">
            <v>354707</v>
          </cell>
          <cell r="D798" t="str">
            <v>PRO001</v>
          </cell>
          <cell r="F798" t="str">
            <v>345897 &amp; ST5-MI-ME</v>
          </cell>
          <cell r="G798">
            <v>100716</v>
          </cell>
        </row>
        <row r="799">
          <cell r="B799">
            <v>345898</v>
          </cell>
          <cell r="C799">
            <v>354708</v>
          </cell>
          <cell r="D799" t="str">
            <v>PRO001</v>
          </cell>
          <cell r="F799" t="str">
            <v>345898 &amp; ST6-FR-ME</v>
          </cell>
          <cell r="G799">
            <v>100720</v>
          </cell>
        </row>
        <row r="800">
          <cell r="B800">
            <v>345899</v>
          </cell>
          <cell r="C800">
            <v>354709</v>
          </cell>
          <cell r="D800" t="str">
            <v>PRO001</v>
          </cell>
          <cell r="F800" t="str">
            <v>345899 &amp; ST7-MI-ME</v>
          </cell>
          <cell r="G800">
            <v>100723</v>
          </cell>
        </row>
        <row r="801">
          <cell r="B801">
            <v>345900</v>
          </cell>
          <cell r="C801">
            <v>354710</v>
          </cell>
          <cell r="D801" t="str">
            <v>PRO001</v>
          </cell>
          <cell r="F801" t="str">
            <v>345900 &amp; ST8-MI-ME</v>
          </cell>
          <cell r="G801">
            <v>100726</v>
          </cell>
        </row>
        <row r="802">
          <cell r="B802">
            <v>345922</v>
          </cell>
          <cell r="C802">
            <v>354712</v>
          </cell>
          <cell r="D802" t="str">
            <v>PRO001</v>
          </cell>
          <cell r="F802" t="str">
            <v>345922 &amp; ST2-HL-ME</v>
          </cell>
          <cell r="G802">
            <v>100699</v>
          </cell>
        </row>
        <row r="803">
          <cell r="B803">
            <v>345923</v>
          </cell>
          <cell r="C803">
            <v>354713</v>
          </cell>
          <cell r="D803" t="str">
            <v>PRO001</v>
          </cell>
          <cell r="F803" t="str">
            <v>345923 &amp; ST2-YR-ME</v>
          </cell>
          <cell r="G803">
            <v>373</v>
          </cell>
        </row>
        <row r="804">
          <cell r="B804">
            <v>345924</v>
          </cell>
          <cell r="C804">
            <v>354714</v>
          </cell>
          <cell r="D804" t="str">
            <v>PRO001</v>
          </cell>
          <cell r="F804" t="str">
            <v>345924 &amp; ST2-HL-ME</v>
          </cell>
          <cell r="G804">
            <v>100700</v>
          </cell>
        </row>
        <row r="805">
          <cell r="B805">
            <v>345925</v>
          </cell>
          <cell r="C805">
            <v>354715</v>
          </cell>
          <cell r="D805" t="str">
            <v>PRO001</v>
          </cell>
          <cell r="F805" t="str">
            <v>345925 &amp; ST3-HL-ME</v>
          </cell>
          <cell r="G805">
            <v>374</v>
          </cell>
        </row>
        <row r="806">
          <cell r="B806">
            <v>345926</v>
          </cell>
          <cell r="C806">
            <v>354716</v>
          </cell>
          <cell r="D806" t="str">
            <v>PRO001</v>
          </cell>
          <cell r="F806" t="str">
            <v>345926 &amp; ST3-HL-ME</v>
          </cell>
          <cell r="G806">
            <v>100706</v>
          </cell>
        </row>
        <row r="807">
          <cell r="B807">
            <v>345927</v>
          </cell>
          <cell r="C807">
            <v>354717</v>
          </cell>
          <cell r="D807" t="str">
            <v>PRO001</v>
          </cell>
          <cell r="F807" t="str">
            <v>345927 &amp; ST4-HL-ME</v>
          </cell>
          <cell r="G807">
            <v>100710</v>
          </cell>
        </row>
        <row r="808">
          <cell r="B808">
            <v>345928</v>
          </cell>
          <cell r="C808">
            <v>354718</v>
          </cell>
          <cell r="D808" t="str">
            <v>PRO001</v>
          </cell>
          <cell r="F808" t="str">
            <v>345928 &amp; ST4-HR-ME</v>
          </cell>
          <cell r="G808">
            <v>100711</v>
          </cell>
        </row>
        <row r="809">
          <cell r="B809">
            <v>345929</v>
          </cell>
          <cell r="C809">
            <v>354719</v>
          </cell>
          <cell r="D809" t="str">
            <v>PRO001</v>
          </cell>
          <cell r="F809" t="str">
            <v>345929 &amp; ST4-HR-ME2</v>
          </cell>
          <cell r="G809">
            <v>100712</v>
          </cell>
        </row>
        <row r="810">
          <cell r="B810">
            <v>345930</v>
          </cell>
          <cell r="C810">
            <v>354720</v>
          </cell>
          <cell r="D810" t="str">
            <v>PRO001</v>
          </cell>
          <cell r="F810" t="str">
            <v>345930 &amp; ST4-HR-ME3</v>
          </cell>
          <cell r="G810">
            <v>100713</v>
          </cell>
        </row>
        <row r="811">
          <cell r="B811">
            <v>345931</v>
          </cell>
          <cell r="C811">
            <v>354741</v>
          </cell>
          <cell r="D811" t="str">
            <v>PRO001</v>
          </cell>
          <cell r="F811" t="str">
            <v>345931 &amp; ST4-HR-ME4</v>
          </cell>
          <cell r="G811">
            <v>100714</v>
          </cell>
        </row>
        <row r="812">
          <cell r="B812">
            <v>345932</v>
          </cell>
          <cell r="C812">
            <v>354742</v>
          </cell>
          <cell r="D812" t="str">
            <v>PRO001</v>
          </cell>
          <cell r="F812" t="str">
            <v>345932 &amp; ST5-MV-ME</v>
          </cell>
          <cell r="G812">
            <v>100717</v>
          </cell>
        </row>
        <row r="813">
          <cell r="B813">
            <v>345933</v>
          </cell>
          <cell r="C813">
            <v>354743</v>
          </cell>
          <cell r="D813" t="str">
            <v>PRO001</v>
          </cell>
          <cell r="F813" t="str">
            <v>345933 &amp; ST5-QL-ME</v>
          </cell>
          <cell r="G813">
            <v>100718</v>
          </cell>
        </row>
        <row r="814">
          <cell r="B814">
            <v>345934</v>
          </cell>
          <cell r="C814">
            <v>354744</v>
          </cell>
          <cell r="D814" t="str">
            <v>PRO001</v>
          </cell>
          <cell r="F814" t="str">
            <v>345934 &amp; ST5-HR-ME</v>
          </cell>
          <cell r="G814">
            <v>430</v>
          </cell>
        </row>
        <row r="815">
          <cell r="B815">
            <v>345935</v>
          </cell>
          <cell r="C815">
            <v>354745</v>
          </cell>
          <cell r="D815" t="str">
            <v>PRO001</v>
          </cell>
          <cell r="F815" t="str">
            <v>345935 &amp; ST6-QR-ME</v>
          </cell>
          <cell r="G815">
            <v>376</v>
          </cell>
        </row>
        <row r="816">
          <cell r="B816">
            <v>345936</v>
          </cell>
          <cell r="C816">
            <v>354746</v>
          </cell>
          <cell r="D816" t="str">
            <v>PRO001</v>
          </cell>
          <cell r="F816" t="str">
            <v>345936 &amp; ST6-HL-ME</v>
          </cell>
          <cell r="G816">
            <v>100721</v>
          </cell>
        </row>
        <row r="817">
          <cell r="B817">
            <v>345937</v>
          </cell>
          <cell r="C817">
            <v>354747</v>
          </cell>
          <cell r="D817" t="str">
            <v>PRO001</v>
          </cell>
          <cell r="F817" t="str">
            <v>345937 &amp; ST6-HR-ME</v>
          </cell>
          <cell r="G817">
            <v>396</v>
          </cell>
        </row>
        <row r="818">
          <cell r="B818">
            <v>345938</v>
          </cell>
          <cell r="C818">
            <v>354748</v>
          </cell>
          <cell r="D818" t="str">
            <v>PRO001</v>
          </cell>
          <cell r="F818" t="str">
            <v>345938 &amp; ST7-QI-ME</v>
          </cell>
          <cell r="G818">
            <v>429</v>
          </cell>
        </row>
        <row r="819">
          <cell r="B819">
            <v>345939</v>
          </cell>
          <cell r="C819">
            <v>354749</v>
          </cell>
          <cell r="D819" t="str">
            <v>PRO001</v>
          </cell>
          <cell r="F819" t="str">
            <v>345939 &amp; ST7-HL-ME</v>
          </cell>
          <cell r="G819">
            <v>100724</v>
          </cell>
        </row>
        <row r="820">
          <cell r="B820">
            <v>345940</v>
          </cell>
          <cell r="C820">
            <v>354750</v>
          </cell>
          <cell r="D820" t="str">
            <v>PRO001</v>
          </cell>
          <cell r="F820" t="str">
            <v>345940 &amp; ST8-HL-ME</v>
          </cell>
          <cell r="G820">
            <v>100727</v>
          </cell>
        </row>
        <row r="821">
          <cell r="B821">
            <v>345941</v>
          </cell>
          <cell r="C821">
            <v>354751</v>
          </cell>
          <cell r="D821" t="str">
            <v>PRO001</v>
          </cell>
          <cell r="F821" t="str">
            <v>345941 &amp; ST9-HL-ME</v>
          </cell>
          <cell r="G821">
            <v>100730</v>
          </cell>
        </row>
        <row r="822">
          <cell r="B822">
            <v>345968</v>
          </cell>
          <cell r="C822">
            <v>354769</v>
          </cell>
          <cell r="D822" t="str">
            <v>PRO002</v>
          </cell>
          <cell r="F822" t="str">
            <v>345968 &amp; ST2-FI-EE</v>
          </cell>
          <cell r="G822">
            <v>100739</v>
          </cell>
        </row>
        <row r="823">
          <cell r="B823">
            <v>345969</v>
          </cell>
          <cell r="C823">
            <v>354770</v>
          </cell>
          <cell r="D823" t="str">
            <v>PRO002</v>
          </cell>
          <cell r="F823" t="str">
            <v>345969 &amp; ST3-FI-EE</v>
          </cell>
          <cell r="G823">
            <v>100743</v>
          </cell>
        </row>
        <row r="824">
          <cell r="B824">
            <v>345970</v>
          </cell>
          <cell r="C824">
            <v>354771</v>
          </cell>
          <cell r="D824" t="str">
            <v>PRO002</v>
          </cell>
          <cell r="F824" t="str">
            <v>345970 &amp; ST5-FI-EE</v>
          </cell>
          <cell r="G824">
            <v>100752</v>
          </cell>
        </row>
        <row r="825">
          <cell r="B825">
            <v>345991</v>
          </cell>
          <cell r="C825">
            <v>354821</v>
          </cell>
          <cell r="D825" t="str">
            <v>PRO002</v>
          </cell>
          <cell r="F825" t="str">
            <v>345991 &amp; ST0-FI-EE</v>
          </cell>
          <cell r="G825">
            <v>100731</v>
          </cell>
        </row>
        <row r="826">
          <cell r="B826">
            <v>346011</v>
          </cell>
          <cell r="C826">
            <v>354841</v>
          </cell>
          <cell r="D826" t="str">
            <v>PRO002</v>
          </cell>
          <cell r="F826" t="str">
            <v>346011 &amp; ST0-MI-EE</v>
          </cell>
          <cell r="G826">
            <v>100732</v>
          </cell>
        </row>
        <row r="827">
          <cell r="B827">
            <v>346012</v>
          </cell>
          <cell r="C827">
            <v>354842</v>
          </cell>
          <cell r="D827" t="str">
            <v>PRO002</v>
          </cell>
          <cell r="F827" t="str">
            <v>346012 &amp; ST0-NC-EE</v>
          </cell>
          <cell r="G827">
            <v>100733</v>
          </cell>
        </row>
        <row r="828">
          <cell r="B828">
            <v>346013</v>
          </cell>
          <cell r="C828">
            <v>354843</v>
          </cell>
          <cell r="D828" t="str">
            <v>PRO002</v>
          </cell>
          <cell r="F828" t="str">
            <v>346013 &amp; ST0-QI-EE2</v>
          </cell>
          <cell r="G828">
            <v>435</v>
          </cell>
        </row>
        <row r="829">
          <cell r="B829">
            <v>346014</v>
          </cell>
          <cell r="C829">
            <v>354844</v>
          </cell>
          <cell r="D829" t="str">
            <v>PRO002</v>
          </cell>
          <cell r="F829" t="str">
            <v>346014 &amp; ST1-MI-EE</v>
          </cell>
          <cell r="G829">
            <v>100736</v>
          </cell>
        </row>
        <row r="830">
          <cell r="B830">
            <v>346015</v>
          </cell>
          <cell r="C830">
            <v>354845</v>
          </cell>
          <cell r="D830" t="str">
            <v>PRO002</v>
          </cell>
          <cell r="F830" t="str">
            <v>346015 &amp; ST1-NC-EE</v>
          </cell>
          <cell r="G830">
            <v>100737</v>
          </cell>
        </row>
        <row r="831">
          <cell r="B831">
            <v>346016</v>
          </cell>
          <cell r="C831">
            <v>354846</v>
          </cell>
          <cell r="D831" t="str">
            <v>PRO002</v>
          </cell>
          <cell r="F831" t="str">
            <v>346016 &amp; ST1-HC-EE</v>
          </cell>
          <cell r="G831">
            <v>778</v>
          </cell>
        </row>
        <row r="832">
          <cell r="B832">
            <v>346017</v>
          </cell>
          <cell r="C832">
            <v>354847</v>
          </cell>
          <cell r="D832" t="str">
            <v>PRO002</v>
          </cell>
          <cell r="F832" t="str">
            <v>346017 &amp; ST2-MI-EE</v>
          </cell>
          <cell r="G832">
            <v>100740</v>
          </cell>
        </row>
        <row r="833">
          <cell r="B833">
            <v>346018</v>
          </cell>
          <cell r="C833">
            <v>354848</v>
          </cell>
          <cell r="D833" t="str">
            <v>PRO002</v>
          </cell>
          <cell r="F833" t="str">
            <v>346018 &amp; ST2-NC-EE</v>
          </cell>
          <cell r="G833">
            <v>100741</v>
          </cell>
        </row>
        <row r="834">
          <cell r="B834">
            <v>346019</v>
          </cell>
          <cell r="C834">
            <v>354849</v>
          </cell>
          <cell r="D834" t="str">
            <v>PRO002</v>
          </cell>
          <cell r="F834" t="str">
            <v>346019 &amp; ST3-MI-EE</v>
          </cell>
          <cell r="G834">
            <v>100744</v>
          </cell>
        </row>
        <row r="835">
          <cell r="B835">
            <v>346020</v>
          </cell>
          <cell r="C835">
            <v>354850</v>
          </cell>
          <cell r="D835" t="str">
            <v>PRO002</v>
          </cell>
          <cell r="F835" t="str">
            <v>346020 &amp; ST3-NC-EE</v>
          </cell>
          <cell r="G835">
            <v>100745</v>
          </cell>
        </row>
        <row r="836">
          <cell r="B836">
            <v>346021</v>
          </cell>
          <cell r="C836">
            <v>354851</v>
          </cell>
          <cell r="D836" t="str">
            <v>PRO002</v>
          </cell>
          <cell r="F836" t="str">
            <v>346021 &amp; ST4-MI-EE</v>
          </cell>
          <cell r="G836">
            <v>100748</v>
          </cell>
        </row>
        <row r="837">
          <cell r="B837">
            <v>346022</v>
          </cell>
          <cell r="C837">
            <v>354852</v>
          </cell>
          <cell r="D837" t="str">
            <v>PRO002</v>
          </cell>
          <cell r="F837" t="str">
            <v>346022 &amp; ST4-NC-EE</v>
          </cell>
          <cell r="G837">
            <v>100749</v>
          </cell>
        </row>
        <row r="838">
          <cell r="B838">
            <v>346023</v>
          </cell>
          <cell r="C838">
            <v>354853</v>
          </cell>
          <cell r="D838" t="str">
            <v>PRO002</v>
          </cell>
          <cell r="F838" t="str">
            <v>346023 &amp; ST5-MI-EE</v>
          </cell>
          <cell r="G838">
            <v>100753</v>
          </cell>
        </row>
        <row r="839">
          <cell r="B839">
            <v>346024</v>
          </cell>
          <cell r="C839">
            <v>354854</v>
          </cell>
          <cell r="D839" t="str">
            <v>PRO002</v>
          </cell>
          <cell r="F839" t="str">
            <v>346024 &amp; ST5-MI-EE2</v>
          </cell>
          <cell r="G839">
            <v>100754</v>
          </cell>
        </row>
        <row r="840">
          <cell r="B840">
            <v>346025</v>
          </cell>
          <cell r="C840">
            <v>354855</v>
          </cell>
          <cell r="D840" t="str">
            <v>PRO002</v>
          </cell>
          <cell r="F840" t="str">
            <v>346025 &amp; ST5-NC-EE</v>
          </cell>
          <cell r="G840">
            <v>100755</v>
          </cell>
        </row>
        <row r="841">
          <cell r="B841">
            <v>346026</v>
          </cell>
          <cell r="C841">
            <v>354856</v>
          </cell>
          <cell r="D841" t="str">
            <v>PRO002</v>
          </cell>
          <cell r="F841" t="str">
            <v>346026 &amp; ST6-MI-EE</v>
          </cell>
          <cell r="G841">
            <v>100759</v>
          </cell>
        </row>
        <row r="842">
          <cell r="B842">
            <v>346027</v>
          </cell>
          <cell r="C842">
            <v>354857</v>
          </cell>
          <cell r="D842" t="str">
            <v>PRO002</v>
          </cell>
          <cell r="F842" t="str">
            <v>346027 &amp; ST6-NC-EE</v>
          </cell>
          <cell r="G842">
            <v>100760</v>
          </cell>
        </row>
        <row r="843">
          <cell r="B843">
            <v>346028</v>
          </cell>
          <cell r="C843">
            <v>354858</v>
          </cell>
          <cell r="D843" t="str">
            <v>PRO002</v>
          </cell>
          <cell r="F843" t="str">
            <v>346028 &amp; ST7-MI-EE</v>
          </cell>
          <cell r="G843">
            <v>100763</v>
          </cell>
        </row>
        <row r="844">
          <cell r="B844">
            <v>346029</v>
          </cell>
          <cell r="C844">
            <v>354859</v>
          </cell>
          <cell r="D844" t="str">
            <v>PRO002</v>
          </cell>
          <cell r="F844" t="str">
            <v>346029 &amp; ST7-NC-EE</v>
          </cell>
          <cell r="G844">
            <v>100764</v>
          </cell>
        </row>
        <row r="845">
          <cell r="B845">
            <v>346030</v>
          </cell>
          <cell r="C845">
            <v>354860</v>
          </cell>
          <cell r="D845" t="str">
            <v>PRO002</v>
          </cell>
          <cell r="F845" t="str">
            <v>346030 &amp; ST8-MI-EE</v>
          </cell>
          <cell r="G845">
            <v>100767</v>
          </cell>
        </row>
        <row r="846">
          <cell r="B846">
            <v>346031</v>
          </cell>
          <cell r="C846">
            <v>354861</v>
          </cell>
          <cell r="D846" t="str">
            <v>PRO002</v>
          </cell>
          <cell r="F846" t="str">
            <v>346031 &amp; ST8-NC-EE</v>
          </cell>
          <cell r="G846">
            <v>100768</v>
          </cell>
        </row>
        <row r="847">
          <cell r="B847">
            <v>346032</v>
          </cell>
          <cell r="C847">
            <v>354862</v>
          </cell>
          <cell r="D847" t="str">
            <v>PRO002</v>
          </cell>
          <cell r="F847" t="str">
            <v>346032 &amp; ST9-MI-EE</v>
          </cell>
          <cell r="G847">
            <v>100771</v>
          </cell>
        </row>
        <row r="848">
          <cell r="B848">
            <v>346111</v>
          </cell>
          <cell r="C848">
            <v>354961</v>
          </cell>
          <cell r="D848" t="str">
            <v>PRO002</v>
          </cell>
          <cell r="F848" t="str">
            <v>346111 &amp; ST9-NC-EE</v>
          </cell>
          <cell r="G848">
            <v>100772</v>
          </cell>
        </row>
        <row r="849">
          <cell r="B849">
            <v>350690</v>
          </cell>
          <cell r="C849">
            <v>363530</v>
          </cell>
          <cell r="D849" t="str">
            <v>PRO001</v>
          </cell>
          <cell r="F849" t="str">
            <v>350690 &amp; ST0-HR-ME</v>
          </cell>
          <cell r="G849">
            <v>1410</v>
          </cell>
        </row>
        <row r="850">
          <cell r="B850">
            <v>350841</v>
          </cell>
          <cell r="C850">
            <v>363531</v>
          </cell>
          <cell r="D850" t="str">
            <v>PRO001</v>
          </cell>
          <cell r="F850" t="str">
            <v>350841 &amp; ST0-HL-ME2</v>
          </cell>
          <cell r="G850">
            <v>1411</v>
          </cell>
        </row>
        <row r="851">
          <cell r="B851">
            <v>350842</v>
          </cell>
          <cell r="C851">
            <v>363532</v>
          </cell>
          <cell r="D851" t="str">
            <v>PRO001</v>
          </cell>
          <cell r="F851" t="str">
            <v>350842 &amp; ST1-WI-ME</v>
          </cell>
          <cell r="G851">
            <v>1412</v>
          </cell>
        </row>
        <row r="852">
          <cell r="B852">
            <v>350843</v>
          </cell>
          <cell r="C852">
            <v>363533</v>
          </cell>
          <cell r="D852" t="str">
            <v>PRO001</v>
          </cell>
          <cell r="F852" t="str">
            <v>350843 &amp; ST4-RR-ME</v>
          </cell>
          <cell r="G852">
            <v>1413</v>
          </cell>
        </row>
        <row r="853">
          <cell r="B853">
            <v>350844</v>
          </cell>
          <cell r="C853">
            <v>363534</v>
          </cell>
          <cell r="D853" t="str">
            <v>PRO001</v>
          </cell>
          <cell r="F853" t="str">
            <v>350844 &amp; ST4-HR-ME5</v>
          </cell>
          <cell r="G853">
            <v>1414</v>
          </cell>
        </row>
        <row r="854">
          <cell r="B854">
            <v>350700</v>
          </cell>
          <cell r="C854">
            <v>363550</v>
          </cell>
          <cell r="D854" t="str">
            <v>PRO001</v>
          </cell>
          <cell r="F854" t="str">
            <v>350700 &amp; ST5-QL-ME2</v>
          </cell>
          <cell r="G854">
            <v>1408</v>
          </cell>
        </row>
        <row r="855">
          <cell r="B855">
            <v>351958</v>
          </cell>
          <cell r="C855">
            <v>365249</v>
          </cell>
          <cell r="D855" t="str">
            <v>PRO002</v>
          </cell>
          <cell r="F855" t="str">
            <v>351958 &amp; ST5-YI-EE</v>
          </cell>
          <cell r="G855">
            <v>1431</v>
          </cell>
        </row>
        <row r="856">
          <cell r="B856">
            <v>355583</v>
          </cell>
          <cell r="C856">
            <v>368863</v>
          </cell>
          <cell r="D856" t="str">
            <v>PRO002</v>
          </cell>
          <cell r="F856" t="str">
            <v>355583 &amp; ST6-HI-EE</v>
          </cell>
          <cell r="G856">
            <v>1468</v>
          </cell>
        </row>
        <row r="857">
          <cell r="B857">
            <v>355584</v>
          </cell>
          <cell r="C857">
            <v>368864</v>
          </cell>
          <cell r="D857" t="str">
            <v>PRO002</v>
          </cell>
          <cell r="F857" t="str">
            <v>355584 &amp; ST9-HI-EE</v>
          </cell>
          <cell r="G857">
            <v>1469</v>
          </cell>
        </row>
        <row r="858">
          <cell r="B858">
            <v>356701</v>
          </cell>
          <cell r="C858">
            <v>370161</v>
          </cell>
          <cell r="D858" t="str">
            <v>PRO001</v>
          </cell>
          <cell r="F858" t="str">
            <v>356701 &amp; ST6-HR-ME2</v>
          </cell>
          <cell r="G858">
            <v>1615</v>
          </cell>
        </row>
        <row r="859">
          <cell r="B859">
            <v>357812</v>
          </cell>
          <cell r="C859">
            <v>371792</v>
          </cell>
          <cell r="D859" t="str">
            <v>PRO002</v>
          </cell>
          <cell r="F859" t="str">
            <v>357812 &amp; ST6-HI-EE</v>
          </cell>
          <cell r="G859">
            <v>2738</v>
          </cell>
        </row>
        <row r="860">
          <cell r="B860">
            <v>610000004340</v>
          </cell>
          <cell r="C860">
            <v>347701</v>
          </cell>
          <cell r="D860" t="str">
            <v>PRO001</v>
          </cell>
          <cell r="F860" t="str">
            <v>610000004340 &amp; PE0-ML-ME</v>
          </cell>
          <cell r="G860">
            <v>100774</v>
          </cell>
        </row>
        <row r="861">
          <cell r="B861">
            <v>610000004341</v>
          </cell>
          <cell r="C861">
            <v>347702</v>
          </cell>
          <cell r="D861" t="str">
            <v>PRO001</v>
          </cell>
          <cell r="F861" t="str">
            <v>610000004341 &amp; PE0-MC-ME</v>
          </cell>
          <cell r="G861">
            <v>100775</v>
          </cell>
        </row>
        <row r="862">
          <cell r="B862">
            <v>610000004342</v>
          </cell>
          <cell r="C862">
            <v>347703</v>
          </cell>
          <cell r="D862" t="str">
            <v>PRO001</v>
          </cell>
          <cell r="F862" t="str">
            <v>610000004342 &amp; PE0-MI-ME</v>
          </cell>
          <cell r="G862">
            <v>100776</v>
          </cell>
        </row>
        <row r="863">
          <cell r="B863">
            <v>610000004343</v>
          </cell>
          <cell r="C863">
            <v>347704</v>
          </cell>
          <cell r="D863" t="str">
            <v>PRO001</v>
          </cell>
          <cell r="F863" t="str">
            <v>610000004343 &amp; PE0-MI-ME2</v>
          </cell>
          <cell r="G863">
            <v>100777</v>
          </cell>
        </row>
        <row r="864">
          <cell r="B864">
            <v>610000004344</v>
          </cell>
          <cell r="C864">
            <v>347705</v>
          </cell>
          <cell r="D864" t="str">
            <v>PRO001</v>
          </cell>
          <cell r="F864" t="str">
            <v>610000004344 &amp; PE0-MV-ME</v>
          </cell>
          <cell r="G864">
            <v>100778</v>
          </cell>
        </row>
        <row r="865">
          <cell r="B865">
            <v>610000004363</v>
          </cell>
          <cell r="C865">
            <v>347706</v>
          </cell>
          <cell r="D865" t="str">
            <v>PRO001</v>
          </cell>
          <cell r="F865" t="str">
            <v>610000004363 &amp; PE3-MI-ME</v>
          </cell>
          <cell r="G865">
            <v>100797</v>
          </cell>
        </row>
        <row r="866">
          <cell r="B866">
            <v>610000004364</v>
          </cell>
          <cell r="C866">
            <v>347707</v>
          </cell>
          <cell r="D866" t="str">
            <v>PRO001</v>
          </cell>
          <cell r="F866" t="str">
            <v>610000004364 &amp; PE3-RL-ME</v>
          </cell>
          <cell r="G866">
            <v>100798</v>
          </cell>
        </row>
        <row r="867">
          <cell r="B867">
            <v>610000004365</v>
          </cell>
          <cell r="C867">
            <v>347708</v>
          </cell>
          <cell r="D867" t="str">
            <v>PRO001</v>
          </cell>
          <cell r="F867" t="str">
            <v>610000004365 &amp; PE3-RR-ME</v>
          </cell>
          <cell r="G867">
            <v>100799</v>
          </cell>
        </row>
        <row r="868">
          <cell r="B868">
            <v>610000004366</v>
          </cell>
          <cell r="C868">
            <v>347709</v>
          </cell>
          <cell r="D868" t="str">
            <v>PRO001</v>
          </cell>
          <cell r="F868" t="str">
            <v>610000004366 &amp; PE4-FL-ME</v>
          </cell>
          <cell r="G868">
            <v>100800</v>
          </cell>
        </row>
        <row r="869">
          <cell r="B869">
            <v>610000004367</v>
          </cell>
          <cell r="C869">
            <v>347710</v>
          </cell>
          <cell r="D869" t="str">
            <v>PRO001</v>
          </cell>
          <cell r="F869" t="str">
            <v>610000004367 &amp; PE4-FL-ME2</v>
          </cell>
          <cell r="G869">
            <v>100801</v>
          </cell>
        </row>
        <row r="870">
          <cell r="B870">
            <v>610000004368</v>
          </cell>
          <cell r="C870">
            <v>347711</v>
          </cell>
          <cell r="D870" t="str">
            <v>PRO001</v>
          </cell>
          <cell r="F870" t="str">
            <v>610000004368 &amp; PE4-MI-ME</v>
          </cell>
          <cell r="G870">
            <v>100802</v>
          </cell>
        </row>
        <row r="871">
          <cell r="B871">
            <v>610000004369</v>
          </cell>
          <cell r="C871">
            <v>347712</v>
          </cell>
          <cell r="D871" t="str">
            <v>PRO001</v>
          </cell>
          <cell r="F871" t="str">
            <v>610000004369 &amp; PE5-FL-ME</v>
          </cell>
          <cell r="G871">
            <v>100803</v>
          </cell>
        </row>
        <row r="872">
          <cell r="B872">
            <v>610000004370</v>
          </cell>
          <cell r="C872">
            <v>347713</v>
          </cell>
          <cell r="D872" t="str">
            <v>PRO001</v>
          </cell>
          <cell r="F872" t="str">
            <v>610000004370 &amp; PE5-NC-ME</v>
          </cell>
          <cell r="G872">
            <v>100804</v>
          </cell>
        </row>
        <row r="873">
          <cell r="B873">
            <v>610000004371</v>
          </cell>
          <cell r="C873">
            <v>347714</v>
          </cell>
          <cell r="D873" t="str">
            <v>PRO001</v>
          </cell>
          <cell r="F873" t="str">
            <v>610000004371 &amp; PE5-ML-ME</v>
          </cell>
          <cell r="G873">
            <v>100805</v>
          </cell>
        </row>
        <row r="874">
          <cell r="B874">
            <v>610000004372</v>
          </cell>
          <cell r="C874">
            <v>347715</v>
          </cell>
          <cell r="D874" t="str">
            <v>PRO001</v>
          </cell>
          <cell r="F874" t="str">
            <v>610000004372 &amp; PE5-MI-ME</v>
          </cell>
          <cell r="G874">
            <v>100806</v>
          </cell>
        </row>
        <row r="875">
          <cell r="B875">
            <v>610000004373</v>
          </cell>
          <cell r="C875">
            <v>347716</v>
          </cell>
          <cell r="D875" t="str">
            <v>PRO001</v>
          </cell>
          <cell r="F875" t="str">
            <v>610000004373 &amp; PE5-QC-ME</v>
          </cell>
          <cell r="G875">
            <v>100807</v>
          </cell>
        </row>
        <row r="876">
          <cell r="B876">
            <v>610000004374</v>
          </cell>
          <cell r="C876">
            <v>347717</v>
          </cell>
          <cell r="D876" t="str">
            <v>PRO001</v>
          </cell>
          <cell r="F876" t="str">
            <v>610000004374 &amp; PE5-HL-ME</v>
          </cell>
          <cell r="G876">
            <v>100808</v>
          </cell>
        </row>
        <row r="877">
          <cell r="B877">
            <v>610000004375</v>
          </cell>
          <cell r="C877">
            <v>347718</v>
          </cell>
          <cell r="D877" t="str">
            <v>PRO001</v>
          </cell>
          <cell r="F877" t="str">
            <v>610000004375 &amp; PE5-HR-ME</v>
          </cell>
          <cell r="G877">
            <v>100809</v>
          </cell>
        </row>
        <row r="878">
          <cell r="B878">
            <v>610000004376</v>
          </cell>
          <cell r="C878">
            <v>347719</v>
          </cell>
          <cell r="D878" t="str">
            <v>PRO001</v>
          </cell>
          <cell r="F878" t="str">
            <v>610000004376 &amp; PE5-YR-ME</v>
          </cell>
          <cell r="G878">
            <v>100810</v>
          </cell>
        </row>
        <row r="879">
          <cell r="B879">
            <v>610000004377</v>
          </cell>
          <cell r="C879">
            <v>347720</v>
          </cell>
          <cell r="D879" t="str">
            <v>PRO001</v>
          </cell>
          <cell r="F879" t="str">
            <v>610000004377 &amp; PE6-ML-ME</v>
          </cell>
          <cell r="G879">
            <v>100811</v>
          </cell>
        </row>
        <row r="880">
          <cell r="B880">
            <v>610000004378</v>
          </cell>
          <cell r="C880">
            <v>347721</v>
          </cell>
          <cell r="D880" t="str">
            <v>PRO001</v>
          </cell>
          <cell r="F880" t="str">
            <v>610000004378 &amp; PE6-MI-ME</v>
          </cell>
          <cell r="G880">
            <v>100812</v>
          </cell>
        </row>
        <row r="881">
          <cell r="B881">
            <v>610000004379</v>
          </cell>
          <cell r="C881">
            <v>347722</v>
          </cell>
          <cell r="D881" t="str">
            <v>PRO001</v>
          </cell>
          <cell r="F881" t="str">
            <v>610000004379 &amp; PE6-MC-ME</v>
          </cell>
          <cell r="G881">
            <v>100813</v>
          </cell>
        </row>
        <row r="882">
          <cell r="B882">
            <v>610000004380</v>
          </cell>
          <cell r="C882">
            <v>347723</v>
          </cell>
          <cell r="D882" t="str">
            <v>PRO001</v>
          </cell>
          <cell r="F882" t="str">
            <v>610000004380 &amp; PE7-WC-ME</v>
          </cell>
          <cell r="G882">
            <v>100814</v>
          </cell>
        </row>
        <row r="883">
          <cell r="B883">
            <v>610000004399</v>
          </cell>
          <cell r="C883">
            <v>347724</v>
          </cell>
          <cell r="D883" t="str">
            <v>PRO002</v>
          </cell>
          <cell r="F883" t="str">
            <v>610000004399 &amp; PE2-MR-EE</v>
          </cell>
          <cell r="G883">
            <v>100833</v>
          </cell>
        </row>
        <row r="884">
          <cell r="B884">
            <v>610000004400</v>
          </cell>
          <cell r="C884">
            <v>347725</v>
          </cell>
          <cell r="D884" t="str">
            <v>PRO002</v>
          </cell>
          <cell r="F884" t="str">
            <v>610000004400 &amp; PE2-MC-EE</v>
          </cell>
          <cell r="G884">
            <v>100834</v>
          </cell>
        </row>
        <row r="885">
          <cell r="B885">
            <v>610000004401</v>
          </cell>
          <cell r="C885">
            <v>347726</v>
          </cell>
          <cell r="D885" t="str">
            <v>PRO002</v>
          </cell>
          <cell r="F885" t="str">
            <v>610000004401 &amp; PE2-MI-EE</v>
          </cell>
          <cell r="G885">
            <v>100835</v>
          </cell>
        </row>
        <row r="886">
          <cell r="B886">
            <v>610000004402</v>
          </cell>
          <cell r="C886">
            <v>347727</v>
          </cell>
          <cell r="D886" t="str">
            <v>PRO002</v>
          </cell>
          <cell r="F886" t="str">
            <v>610000004402 &amp; PE2-QC-EE</v>
          </cell>
          <cell r="G886">
            <v>100836</v>
          </cell>
        </row>
        <row r="887">
          <cell r="B887">
            <v>610000004403</v>
          </cell>
          <cell r="C887">
            <v>347728</v>
          </cell>
          <cell r="D887" t="str">
            <v>PRO002</v>
          </cell>
          <cell r="F887" t="str">
            <v>610000004403 &amp; PE2-QT-EE</v>
          </cell>
          <cell r="G887">
            <v>100837</v>
          </cell>
        </row>
        <row r="888">
          <cell r="B888">
            <v>610000004404</v>
          </cell>
          <cell r="C888">
            <v>347729</v>
          </cell>
          <cell r="D888" t="str">
            <v>PRO002</v>
          </cell>
          <cell r="F888" t="str">
            <v>610000004404 &amp; PE2-HI-EE</v>
          </cell>
          <cell r="G888">
            <v>100838</v>
          </cell>
        </row>
        <row r="889">
          <cell r="B889">
            <v>610000004405</v>
          </cell>
          <cell r="C889">
            <v>347730</v>
          </cell>
          <cell r="D889" t="str">
            <v>PRO002</v>
          </cell>
          <cell r="F889" t="str">
            <v>610000004405 &amp; PE2-HCB-EE</v>
          </cell>
          <cell r="G889">
            <v>100839</v>
          </cell>
        </row>
        <row r="890">
          <cell r="B890">
            <v>610000004406</v>
          </cell>
          <cell r="C890">
            <v>347731</v>
          </cell>
          <cell r="D890" t="str">
            <v>PRO002</v>
          </cell>
          <cell r="F890" t="str">
            <v>610000004406 &amp; PE3-NI-EE2</v>
          </cell>
          <cell r="G890">
            <v>100840</v>
          </cell>
        </row>
        <row r="891">
          <cell r="B891">
            <v>610000004407</v>
          </cell>
          <cell r="C891">
            <v>347732</v>
          </cell>
          <cell r="D891" t="str">
            <v>PRO002</v>
          </cell>
          <cell r="F891" t="str">
            <v>610000004407 &amp; PE3-MI-EE</v>
          </cell>
          <cell r="G891">
            <v>100841</v>
          </cell>
        </row>
        <row r="892">
          <cell r="B892">
            <v>610000004408</v>
          </cell>
          <cell r="C892">
            <v>347733</v>
          </cell>
          <cell r="D892" t="str">
            <v>PRO002</v>
          </cell>
          <cell r="F892" t="str">
            <v>610000004408 &amp; PE3-NI-EE</v>
          </cell>
          <cell r="G892">
            <v>100842</v>
          </cell>
        </row>
        <row r="893">
          <cell r="B893">
            <v>610000004409</v>
          </cell>
          <cell r="C893">
            <v>347734</v>
          </cell>
          <cell r="D893" t="str">
            <v>PRO002</v>
          </cell>
          <cell r="F893" t="str">
            <v>610000004409 &amp; PE3-NT-EE</v>
          </cell>
          <cell r="G893">
            <v>100843</v>
          </cell>
        </row>
        <row r="894">
          <cell r="B894">
            <v>610000004410</v>
          </cell>
          <cell r="C894">
            <v>347735</v>
          </cell>
          <cell r="D894" t="str">
            <v>PRO002</v>
          </cell>
          <cell r="F894" t="str">
            <v>610000004410 &amp; PE3-QC-EE</v>
          </cell>
          <cell r="G894">
            <v>100844</v>
          </cell>
        </row>
        <row r="895">
          <cell r="B895">
            <v>610000004411</v>
          </cell>
          <cell r="C895">
            <v>347736</v>
          </cell>
          <cell r="D895" t="str">
            <v>PRO002</v>
          </cell>
          <cell r="F895" t="str">
            <v>610000004411 &amp; PE3-NI-EE3</v>
          </cell>
          <cell r="G895">
            <v>100845</v>
          </cell>
        </row>
        <row r="896">
          <cell r="B896">
            <v>610000004412</v>
          </cell>
          <cell r="C896">
            <v>347737</v>
          </cell>
          <cell r="D896" t="str">
            <v>PRO002</v>
          </cell>
          <cell r="F896" t="str">
            <v>610000004412 &amp; PE4-NI-EE</v>
          </cell>
          <cell r="G896">
            <v>100846</v>
          </cell>
        </row>
        <row r="897">
          <cell r="B897">
            <v>610000004413</v>
          </cell>
          <cell r="C897">
            <v>347738</v>
          </cell>
          <cell r="D897" t="str">
            <v>PRO002</v>
          </cell>
          <cell r="F897" t="str">
            <v>610000004413 &amp; PE4-NI-EE2</v>
          </cell>
          <cell r="G897">
            <v>100847</v>
          </cell>
        </row>
        <row r="898">
          <cell r="B898">
            <v>610000004414</v>
          </cell>
          <cell r="C898">
            <v>347739</v>
          </cell>
          <cell r="D898" t="str">
            <v>PRO002</v>
          </cell>
          <cell r="F898" t="str">
            <v>610000004414 &amp; PE4-QC-EE</v>
          </cell>
          <cell r="G898">
            <v>100848</v>
          </cell>
        </row>
        <row r="899">
          <cell r="B899">
            <v>610000004415</v>
          </cell>
          <cell r="C899">
            <v>347740</v>
          </cell>
          <cell r="D899" t="str">
            <v>PRO002</v>
          </cell>
          <cell r="F899" t="str">
            <v>610000004415 &amp; PE4-QT-EE</v>
          </cell>
          <cell r="G899">
            <v>100849</v>
          </cell>
        </row>
        <row r="900">
          <cell r="B900">
            <v>610000004416</v>
          </cell>
          <cell r="C900">
            <v>347741</v>
          </cell>
          <cell r="D900" t="str">
            <v>PRO002</v>
          </cell>
          <cell r="F900" t="str">
            <v>610000004416 &amp; PE5-NI-EE2</v>
          </cell>
          <cell r="G900">
            <v>100850</v>
          </cell>
        </row>
        <row r="901">
          <cell r="B901">
            <v>610000004345</v>
          </cell>
          <cell r="C901">
            <v>348513</v>
          </cell>
          <cell r="D901" t="str">
            <v>PRO001</v>
          </cell>
          <cell r="F901" t="str">
            <v>610000004345 &amp; PE0-NR-ME</v>
          </cell>
          <cell r="G901">
            <v>100779</v>
          </cell>
        </row>
        <row r="902">
          <cell r="B902">
            <v>610000004346</v>
          </cell>
          <cell r="C902">
            <v>348514</v>
          </cell>
          <cell r="D902" t="str">
            <v>PRO001</v>
          </cell>
          <cell r="F902" t="str">
            <v>610000004346 &amp; PE0-QC-ME</v>
          </cell>
          <cell r="G902">
            <v>100780</v>
          </cell>
        </row>
        <row r="903">
          <cell r="B903">
            <v>610000004347</v>
          </cell>
          <cell r="C903">
            <v>348515</v>
          </cell>
          <cell r="D903" t="str">
            <v>PRO001</v>
          </cell>
          <cell r="F903" t="str">
            <v>610000004347 &amp; PE0-HL-ME</v>
          </cell>
          <cell r="G903">
            <v>100781</v>
          </cell>
        </row>
        <row r="904">
          <cell r="B904">
            <v>610000004348</v>
          </cell>
          <cell r="C904">
            <v>348516</v>
          </cell>
          <cell r="D904" t="str">
            <v>PRO001</v>
          </cell>
          <cell r="F904" t="str">
            <v>610000004348 &amp; PE0-YR-ME</v>
          </cell>
          <cell r="G904">
            <v>100782</v>
          </cell>
        </row>
        <row r="905">
          <cell r="B905">
            <v>610000004349</v>
          </cell>
          <cell r="C905">
            <v>348517</v>
          </cell>
          <cell r="D905" t="str">
            <v>PRO001</v>
          </cell>
          <cell r="F905" t="str">
            <v>610000004349 &amp; PE1-MI-ME</v>
          </cell>
          <cell r="G905">
            <v>100783</v>
          </cell>
        </row>
        <row r="906">
          <cell r="B906">
            <v>610000004350</v>
          </cell>
          <cell r="C906">
            <v>348518</v>
          </cell>
          <cell r="D906" t="str">
            <v>PRO001</v>
          </cell>
          <cell r="F906" t="str">
            <v>610000004350 &amp; PE1-HL-ME</v>
          </cell>
          <cell r="G906">
            <v>100784</v>
          </cell>
        </row>
        <row r="907">
          <cell r="B907">
            <v>610000004351</v>
          </cell>
          <cell r="C907">
            <v>348519</v>
          </cell>
          <cell r="D907" t="str">
            <v>PRO001</v>
          </cell>
          <cell r="F907" t="str">
            <v>610000004351 &amp; PE2-FL-ME</v>
          </cell>
          <cell r="G907">
            <v>100785</v>
          </cell>
        </row>
        <row r="908">
          <cell r="B908">
            <v>610000004352</v>
          </cell>
          <cell r="C908">
            <v>348520</v>
          </cell>
          <cell r="D908" t="str">
            <v>PRO001</v>
          </cell>
          <cell r="F908" t="str">
            <v>610000004352 &amp; PE2-MC-ME</v>
          </cell>
          <cell r="G908">
            <v>100786</v>
          </cell>
        </row>
        <row r="909">
          <cell r="B909">
            <v>610000004353</v>
          </cell>
          <cell r="C909">
            <v>348521</v>
          </cell>
          <cell r="D909" t="str">
            <v>PRO001</v>
          </cell>
          <cell r="F909" t="str">
            <v>610000004353 &amp; PE2-MI-ME</v>
          </cell>
          <cell r="G909">
            <v>100787</v>
          </cell>
        </row>
        <row r="910">
          <cell r="B910">
            <v>610000004354</v>
          </cell>
          <cell r="C910">
            <v>348522</v>
          </cell>
          <cell r="D910" t="str">
            <v>PRO001</v>
          </cell>
          <cell r="F910" t="str">
            <v>610000004354 &amp; PE2-MV-ME</v>
          </cell>
          <cell r="G910">
            <v>100788</v>
          </cell>
        </row>
        <row r="911">
          <cell r="B911">
            <v>610000004355</v>
          </cell>
          <cell r="C911">
            <v>348523</v>
          </cell>
          <cell r="D911" t="str">
            <v>PRO001</v>
          </cell>
          <cell r="F911" t="str">
            <v>610000004355 &amp; PE2-RR-ME</v>
          </cell>
          <cell r="G911">
            <v>100789</v>
          </cell>
        </row>
        <row r="912">
          <cell r="B912">
            <v>610000004356</v>
          </cell>
          <cell r="C912">
            <v>348524</v>
          </cell>
          <cell r="D912" t="str">
            <v>PRO001</v>
          </cell>
          <cell r="F912" t="str">
            <v>610000004356 &amp; PE2-ML-ME</v>
          </cell>
          <cell r="G912">
            <v>100790</v>
          </cell>
        </row>
        <row r="913">
          <cell r="B913">
            <v>610000004357</v>
          </cell>
          <cell r="C913">
            <v>348525</v>
          </cell>
          <cell r="D913" t="str">
            <v>PRO001</v>
          </cell>
          <cell r="F913" t="str">
            <v>610000004357 &amp; PE2-ML-ME2</v>
          </cell>
          <cell r="G913">
            <v>100791</v>
          </cell>
        </row>
        <row r="914">
          <cell r="B914">
            <v>610000004358</v>
          </cell>
          <cell r="C914">
            <v>348526</v>
          </cell>
          <cell r="D914" t="str">
            <v>PRO001</v>
          </cell>
          <cell r="F914" t="str">
            <v>610000004358 &amp; PE2-QC-ME</v>
          </cell>
          <cell r="G914">
            <v>100792</v>
          </cell>
        </row>
        <row r="915">
          <cell r="B915">
            <v>610000004359</v>
          </cell>
          <cell r="C915">
            <v>348527</v>
          </cell>
          <cell r="D915" t="str">
            <v>PRO001</v>
          </cell>
          <cell r="F915" t="str">
            <v>610000004359 &amp; PE2-HL-ME</v>
          </cell>
          <cell r="G915">
            <v>100793</v>
          </cell>
        </row>
        <row r="916">
          <cell r="B916">
            <v>610000004360</v>
          </cell>
          <cell r="C916">
            <v>348528</v>
          </cell>
          <cell r="D916" t="str">
            <v>PRO001</v>
          </cell>
          <cell r="F916" t="str">
            <v>610000004360 &amp; PE2-YR-ME</v>
          </cell>
          <cell r="G916">
            <v>100794</v>
          </cell>
        </row>
        <row r="917">
          <cell r="B917">
            <v>610000004361</v>
          </cell>
          <cell r="C917">
            <v>348529</v>
          </cell>
          <cell r="D917" t="str">
            <v>PRO001</v>
          </cell>
          <cell r="F917" t="str">
            <v>610000004361 &amp; PE2-HR-ME2</v>
          </cell>
          <cell r="G917">
            <v>100795</v>
          </cell>
        </row>
        <row r="918">
          <cell r="B918">
            <v>610000004362</v>
          </cell>
          <cell r="C918">
            <v>348530</v>
          </cell>
          <cell r="D918" t="str">
            <v>PRO001</v>
          </cell>
          <cell r="F918" t="str">
            <v>610000004362 &amp; PE3-ML-ME</v>
          </cell>
          <cell r="G918">
            <v>100796</v>
          </cell>
        </row>
        <row r="919">
          <cell r="B919">
            <v>610000004381</v>
          </cell>
          <cell r="C919">
            <v>348571</v>
          </cell>
          <cell r="D919" t="str">
            <v>PRO001</v>
          </cell>
          <cell r="F919" t="str">
            <v>610000004381 &amp; PE7-MC-ME</v>
          </cell>
          <cell r="G919">
            <v>100815</v>
          </cell>
        </row>
        <row r="920">
          <cell r="B920">
            <v>610000004382</v>
          </cell>
          <cell r="C920">
            <v>348572</v>
          </cell>
          <cell r="D920" t="str">
            <v>PRO001</v>
          </cell>
          <cell r="F920" t="str">
            <v>610000004382 &amp; PE7-MI-ME</v>
          </cell>
          <cell r="G920">
            <v>100816</v>
          </cell>
        </row>
        <row r="921">
          <cell r="B921">
            <v>610000004383</v>
          </cell>
          <cell r="C921">
            <v>348573</v>
          </cell>
          <cell r="D921" t="str">
            <v>PRO001</v>
          </cell>
          <cell r="F921" t="str">
            <v>610000004383 &amp; PE7-ML-ME</v>
          </cell>
          <cell r="G921">
            <v>100817</v>
          </cell>
        </row>
        <row r="922">
          <cell r="B922">
            <v>610000004384</v>
          </cell>
          <cell r="C922">
            <v>348574</v>
          </cell>
          <cell r="D922" t="str">
            <v>PRO001</v>
          </cell>
          <cell r="F922" t="str">
            <v>610000004384 &amp; PE7-HC-ME</v>
          </cell>
          <cell r="G922">
            <v>100818</v>
          </cell>
        </row>
        <row r="923">
          <cell r="B923">
            <v>610000004385</v>
          </cell>
          <cell r="C923">
            <v>348575</v>
          </cell>
          <cell r="D923" t="str">
            <v>PRO001</v>
          </cell>
          <cell r="F923" t="str">
            <v>610000004385 &amp; PE7-HI-ME</v>
          </cell>
          <cell r="G923">
            <v>100819</v>
          </cell>
        </row>
        <row r="924">
          <cell r="B924">
            <v>610000004386</v>
          </cell>
          <cell r="C924">
            <v>348576</v>
          </cell>
          <cell r="D924" t="str">
            <v>PRO001</v>
          </cell>
          <cell r="F924" t="str">
            <v>610000004386 &amp; PE7-QR-ME</v>
          </cell>
          <cell r="G924">
            <v>100820</v>
          </cell>
        </row>
        <row r="925">
          <cell r="B925">
            <v>610000004387</v>
          </cell>
          <cell r="C925">
            <v>348577</v>
          </cell>
          <cell r="D925" t="str">
            <v>PRO002</v>
          </cell>
          <cell r="F925" t="str">
            <v>610000004387 &amp; PE0-NI-EE</v>
          </cell>
          <cell r="G925">
            <v>100821</v>
          </cell>
        </row>
        <row r="926">
          <cell r="B926">
            <v>610000004388</v>
          </cell>
          <cell r="C926">
            <v>348578</v>
          </cell>
          <cell r="D926" t="str">
            <v>PRO002</v>
          </cell>
          <cell r="F926" t="str">
            <v>610000004388 &amp; PE0-MC-EE</v>
          </cell>
          <cell r="G926">
            <v>100822</v>
          </cell>
        </row>
        <row r="927">
          <cell r="B927">
            <v>610000004389</v>
          </cell>
          <cell r="C927">
            <v>348579</v>
          </cell>
          <cell r="D927" t="str">
            <v>PRO002</v>
          </cell>
          <cell r="F927" t="str">
            <v>610000004389 &amp; PE0-NI-EE</v>
          </cell>
          <cell r="G927">
            <v>100823</v>
          </cell>
        </row>
        <row r="928">
          <cell r="B928">
            <v>610000004390</v>
          </cell>
          <cell r="C928">
            <v>348580</v>
          </cell>
          <cell r="D928" t="str">
            <v>PRO002</v>
          </cell>
          <cell r="F928" t="str">
            <v>610000004390 &amp; PE0-QT-EE</v>
          </cell>
          <cell r="G928">
            <v>100824</v>
          </cell>
        </row>
        <row r="929">
          <cell r="B929">
            <v>610000004391</v>
          </cell>
          <cell r="C929">
            <v>348581</v>
          </cell>
          <cell r="D929" t="str">
            <v>PRO002</v>
          </cell>
          <cell r="F929" t="str">
            <v>610000004391 &amp; PE0-HI-EE</v>
          </cell>
          <cell r="G929">
            <v>100825</v>
          </cell>
        </row>
        <row r="930">
          <cell r="B930">
            <v>610000004392</v>
          </cell>
          <cell r="C930">
            <v>348582</v>
          </cell>
          <cell r="D930" t="str">
            <v>PRO002</v>
          </cell>
          <cell r="F930" t="str">
            <v>610000004392 &amp; PE1-FI-EE</v>
          </cell>
          <cell r="G930">
            <v>100826</v>
          </cell>
        </row>
        <row r="931">
          <cell r="B931">
            <v>610000004393</v>
          </cell>
          <cell r="C931">
            <v>348583</v>
          </cell>
          <cell r="D931" t="str">
            <v>PRO002</v>
          </cell>
          <cell r="F931" t="str">
            <v>610000004393 &amp; PE1-MC-EE</v>
          </cell>
          <cell r="G931">
            <v>100827</v>
          </cell>
        </row>
        <row r="932">
          <cell r="B932">
            <v>610000004394</v>
          </cell>
          <cell r="C932">
            <v>348584</v>
          </cell>
          <cell r="D932" t="str">
            <v>PRO002</v>
          </cell>
          <cell r="F932" t="str">
            <v>610000004394 &amp; PE1-NI-EE</v>
          </cell>
          <cell r="G932">
            <v>100828</v>
          </cell>
        </row>
        <row r="933">
          <cell r="B933">
            <v>610000004395</v>
          </cell>
          <cell r="C933">
            <v>348585</v>
          </cell>
          <cell r="D933" t="str">
            <v>PRO002</v>
          </cell>
          <cell r="F933" t="str">
            <v>610000004395 &amp; PE1-QT-EE</v>
          </cell>
          <cell r="G933">
            <v>100829</v>
          </cell>
        </row>
        <row r="934">
          <cell r="B934">
            <v>610000004396</v>
          </cell>
          <cell r="C934">
            <v>348586</v>
          </cell>
          <cell r="D934" t="str">
            <v>PRO002</v>
          </cell>
          <cell r="F934" t="str">
            <v>610000004396 &amp; PE1-HI-EE</v>
          </cell>
          <cell r="G934">
            <v>100830</v>
          </cell>
        </row>
        <row r="935">
          <cell r="B935">
            <v>610000004397</v>
          </cell>
          <cell r="C935">
            <v>348587</v>
          </cell>
          <cell r="D935" t="str">
            <v>PRO002</v>
          </cell>
          <cell r="F935" t="str">
            <v>610000004397 &amp; PE2-NI-EE</v>
          </cell>
          <cell r="G935">
            <v>100831</v>
          </cell>
        </row>
        <row r="936">
          <cell r="B936">
            <v>610000004398</v>
          </cell>
          <cell r="C936">
            <v>348588</v>
          </cell>
          <cell r="D936" t="str">
            <v>PRO002</v>
          </cell>
          <cell r="F936" t="str">
            <v>610000004398 &amp; PE2-NI-EE2</v>
          </cell>
          <cell r="G936">
            <v>100832</v>
          </cell>
        </row>
        <row r="937">
          <cell r="B937">
            <v>610000004417</v>
          </cell>
          <cell r="C937">
            <v>348589</v>
          </cell>
          <cell r="D937" t="str">
            <v>PRO002</v>
          </cell>
          <cell r="F937" t="str">
            <v>610000004417 &amp; PE5-MI-EE</v>
          </cell>
          <cell r="G937">
            <v>100851</v>
          </cell>
        </row>
        <row r="938">
          <cell r="B938">
            <v>610000004418</v>
          </cell>
          <cell r="C938">
            <v>348590</v>
          </cell>
          <cell r="D938" t="str">
            <v>PRO002</v>
          </cell>
          <cell r="F938" t="str">
            <v>610000004418 &amp; PE5-MT-EE</v>
          </cell>
          <cell r="G938">
            <v>100852</v>
          </cell>
        </row>
        <row r="939">
          <cell r="B939">
            <v>610000004419</v>
          </cell>
          <cell r="C939">
            <v>348591</v>
          </cell>
          <cell r="D939" t="str">
            <v>PRO002</v>
          </cell>
          <cell r="F939" t="str">
            <v>610000004419 &amp; PE5-NC-EE</v>
          </cell>
          <cell r="G939">
            <v>100853</v>
          </cell>
        </row>
        <row r="940">
          <cell r="B940">
            <v>610000004420</v>
          </cell>
          <cell r="C940">
            <v>348592</v>
          </cell>
          <cell r="D940" t="str">
            <v>PRO002</v>
          </cell>
          <cell r="F940" t="str">
            <v>610000004420 &amp; PE5-NI-EE</v>
          </cell>
          <cell r="G940">
            <v>100854</v>
          </cell>
        </row>
        <row r="941">
          <cell r="B941">
            <v>610000004421</v>
          </cell>
          <cell r="C941">
            <v>348593</v>
          </cell>
          <cell r="D941" t="str">
            <v>PRO002</v>
          </cell>
          <cell r="F941" t="str">
            <v>610000004421 &amp; PE5-NT-EE</v>
          </cell>
          <cell r="G941">
            <v>100855</v>
          </cell>
        </row>
        <row r="942">
          <cell r="B942">
            <v>610000004422</v>
          </cell>
          <cell r="C942">
            <v>348594</v>
          </cell>
          <cell r="D942" t="str">
            <v>PRO002</v>
          </cell>
          <cell r="F942" t="str">
            <v>610000004422 &amp; PE5-QC-EE</v>
          </cell>
          <cell r="G942">
            <v>100856</v>
          </cell>
        </row>
        <row r="943">
          <cell r="B943">
            <v>610000004423</v>
          </cell>
          <cell r="C943">
            <v>348595</v>
          </cell>
          <cell r="D943" t="str">
            <v>PRO002</v>
          </cell>
          <cell r="F943" t="str">
            <v>610000004423 &amp; PE5-QT-EE</v>
          </cell>
          <cell r="G943">
            <v>100857</v>
          </cell>
        </row>
        <row r="944">
          <cell r="B944">
            <v>610000004424</v>
          </cell>
          <cell r="C944">
            <v>348596</v>
          </cell>
          <cell r="D944" t="str">
            <v>PRO002</v>
          </cell>
          <cell r="F944" t="str">
            <v>610000004424 &amp; PE5-NI-EE2</v>
          </cell>
          <cell r="G944">
            <v>100858</v>
          </cell>
        </row>
        <row r="945">
          <cell r="B945">
            <v>610000004425</v>
          </cell>
          <cell r="C945">
            <v>348597</v>
          </cell>
          <cell r="D945" t="str">
            <v>PRO002</v>
          </cell>
          <cell r="F945" t="str">
            <v>610000004425 &amp; PE6-NI-EE2</v>
          </cell>
          <cell r="G945">
            <v>100859</v>
          </cell>
        </row>
        <row r="946">
          <cell r="B946">
            <v>610000004426</v>
          </cell>
          <cell r="C946">
            <v>348598</v>
          </cell>
          <cell r="D946" t="str">
            <v>PRO002</v>
          </cell>
          <cell r="F946" t="str">
            <v>610000004426 &amp; PE6-MI-EE</v>
          </cell>
          <cell r="G946">
            <v>100860</v>
          </cell>
        </row>
        <row r="947">
          <cell r="B947">
            <v>610000004427</v>
          </cell>
          <cell r="C947">
            <v>348599</v>
          </cell>
          <cell r="D947" t="str">
            <v>PRO002</v>
          </cell>
          <cell r="F947" t="str">
            <v>610000004427 &amp; PE6-NI-EE</v>
          </cell>
          <cell r="G947">
            <v>100861</v>
          </cell>
        </row>
        <row r="948">
          <cell r="B948">
            <v>610000004428</v>
          </cell>
          <cell r="C948">
            <v>348600</v>
          </cell>
          <cell r="D948" t="str">
            <v>PRO002</v>
          </cell>
          <cell r="F948" t="str">
            <v>610000004428 &amp; PE6-NT-EE</v>
          </cell>
          <cell r="G948">
            <v>100862</v>
          </cell>
        </row>
        <row r="949">
          <cell r="B949">
            <v>610000004429</v>
          </cell>
          <cell r="C949">
            <v>348601</v>
          </cell>
          <cell r="D949" t="str">
            <v>PRO002</v>
          </cell>
          <cell r="F949" t="str">
            <v>610000004429 &amp; PE6-QC-EE</v>
          </cell>
          <cell r="G949">
            <v>100863</v>
          </cell>
        </row>
        <row r="950">
          <cell r="B950">
            <v>610000004430</v>
          </cell>
          <cell r="C950">
            <v>348602</v>
          </cell>
          <cell r="D950" t="str">
            <v>PRO002</v>
          </cell>
          <cell r="F950" t="str">
            <v>610000004430 &amp; PE6-QT-EE</v>
          </cell>
          <cell r="G950">
            <v>100864</v>
          </cell>
        </row>
        <row r="951">
          <cell r="B951">
            <v>610000004431</v>
          </cell>
          <cell r="C951">
            <v>348603</v>
          </cell>
          <cell r="D951" t="str">
            <v>PRO002</v>
          </cell>
          <cell r="F951" t="str">
            <v>610000004431 &amp; PE6-HI-EE</v>
          </cell>
          <cell r="G951">
            <v>100865</v>
          </cell>
        </row>
        <row r="952">
          <cell r="B952">
            <v>610000004432</v>
          </cell>
          <cell r="C952">
            <v>348604</v>
          </cell>
          <cell r="D952" t="str">
            <v>PRO002</v>
          </cell>
          <cell r="F952" t="str">
            <v>610000004432 &amp; PE7-FC-EE</v>
          </cell>
          <cell r="G952">
            <v>100866</v>
          </cell>
        </row>
        <row r="953">
          <cell r="B953">
            <v>610000004433</v>
          </cell>
          <cell r="C953">
            <v>348605</v>
          </cell>
          <cell r="D953" t="str">
            <v>PRO002</v>
          </cell>
          <cell r="F953" t="str">
            <v>610000004433 &amp; PE7-MC-EE</v>
          </cell>
          <cell r="G953">
            <v>100867</v>
          </cell>
        </row>
        <row r="954">
          <cell r="B954">
            <v>610000004434</v>
          </cell>
          <cell r="C954">
            <v>348606</v>
          </cell>
          <cell r="D954" t="str">
            <v>PRO002</v>
          </cell>
          <cell r="F954" t="str">
            <v>610000004434 &amp; PE7-MI-EE</v>
          </cell>
          <cell r="G954">
            <v>100868</v>
          </cell>
        </row>
        <row r="955">
          <cell r="B955">
            <v>341697</v>
          </cell>
          <cell r="C955">
            <v>349807</v>
          </cell>
          <cell r="D955" t="str">
            <v>PRO001</v>
          </cell>
          <cell r="F955" t="str">
            <v>341697 &amp; PE1-MC-ME</v>
          </cell>
          <cell r="G955">
            <v>368</v>
          </cell>
        </row>
        <row r="956">
          <cell r="B956">
            <v>341698</v>
          </cell>
          <cell r="C956">
            <v>349808</v>
          </cell>
          <cell r="D956" t="str">
            <v>PRO001</v>
          </cell>
          <cell r="F956" t="str">
            <v>341698 &amp; PE5-QI-ME</v>
          </cell>
          <cell r="G956">
            <v>369</v>
          </cell>
        </row>
        <row r="957">
          <cell r="B957">
            <v>341699</v>
          </cell>
          <cell r="C957">
            <v>349809</v>
          </cell>
          <cell r="D957" t="str">
            <v>PRO001</v>
          </cell>
          <cell r="F957" t="str">
            <v>341699 &amp; PE5-HI-ME</v>
          </cell>
          <cell r="G957">
            <v>370</v>
          </cell>
        </row>
        <row r="958">
          <cell r="B958">
            <v>341700</v>
          </cell>
          <cell r="C958">
            <v>349810</v>
          </cell>
          <cell r="D958" t="str">
            <v>PRO001</v>
          </cell>
          <cell r="F958" t="str">
            <v>341700 &amp; PE5-YR-ME2</v>
          </cell>
          <cell r="G958">
            <v>371</v>
          </cell>
        </row>
        <row r="959">
          <cell r="B959">
            <v>342105</v>
          </cell>
          <cell r="C959">
            <v>350277</v>
          </cell>
          <cell r="D959" t="str">
            <v>PRO002</v>
          </cell>
          <cell r="F959" t="str">
            <v>342105 &amp; PE0-QI-EE</v>
          </cell>
          <cell r="G959">
            <v>436</v>
          </cell>
        </row>
        <row r="960">
          <cell r="B960">
            <v>342109</v>
          </cell>
          <cell r="C960">
            <v>350301</v>
          </cell>
          <cell r="D960" t="str">
            <v>PRO001</v>
          </cell>
          <cell r="F960" t="str">
            <v>342109 &amp; PE7-HI-ME2</v>
          </cell>
          <cell r="G960">
            <v>442</v>
          </cell>
        </row>
        <row r="961">
          <cell r="B961">
            <v>342132</v>
          </cell>
          <cell r="C961">
            <v>350304</v>
          </cell>
          <cell r="D961" t="str">
            <v>PRO001</v>
          </cell>
          <cell r="F961" t="str">
            <v>342132 &amp; PE1-MC-ME2</v>
          </cell>
          <cell r="G961">
            <v>445</v>
          </cell>
        </row>
        <row r="962">
          <cell r="B962">
            <v>342255</v>
          </cell>
          <cell r="C962">
            <v>350425</v>
          </cell>
          <cell r="D962" t="str">
            <v>PRO001</v>
          </cell>
          <cell r="F962" t="str">
            <v>1W - ME Boiler &amp; Hot Water Zone (PE7)</v>
          </cell>
          <cell r="G962">
            <v>451</v>
          </cell>
        </row>
        <row r="963">
          <cell r="B963">
            <v>342283</v>
          </cell>
          <cell r="C963">
            <v>350433</v>
          </cell>
          <cell r="D963" t="str">
            <v>PRO002</v>
          </cell>
          <cell r="F963" t="str">
            <v>342283 &amp; PE7-YCB-EE</v>
          </cell>
          <cell r="G963">
            <v>468</v>
          </cell>
        </row>
        <row r="964">
          <cell r="B964">
            <v>342287</v>
          </cell>
          <cell r="C964">
            <v>350437</v>
          </cell>
          <cell r="D964" t="str">
            <v>PRO001</v>
          </cell>
          <cell r="F964" t="str">
            <v>342287 &amp; PE1-MC-ME3</v>
          </cell>
          <cell r="G964">
            <v>472</v>
          </cell>
        </row>
        <row r="965">
          <cell r="B965">
            <v>342288</v>
          </cell>
          <cell r="C965">
            <v>350438</v>
          </cell>
          <cell r="D965" t="str">
            <v>PRO001</v>
          </cell>
          <cell r="F965" t="str">
            <v>342288 &amp; PE1-WI-ME</v>
          </cell>
          <cell r="G965">
            <v>473</v>
          </cell>
        </row>
        <row r="966">
          <cell r="B966">
            <v>342295</v>
          </cell>
          <cell r="C966">
            <v>350467</v>
          </cell>
          <cell r="D966" t="str">
            <v>PRO001</v>
          </cell>
          <cell r="F966" t="str">
            <v>342295 &amp; PE2-YL-ME</v>
          </cell>
          <cell r="G966">
            <v>467</v>
          </cell>
        </row>
        <row r="967">
          <cell r="B967">
            <v>342338</v>
          </cell>
          <cell r="C967">
            <v>350480</v>
          </cell>
          <cell r="D967" t="str">
            <v>PRO001</v>
          </cell>
          <cell r="F967" t="str">
            <v>342338 &amp; PE4-HI-ME</v>
          </cell>
          <cell r="G967">
            <v>502</v>
          </cell>
        </row>
        <row r="968">
          <cell r="B968">
            <v>342402</v>
          </cell>
          <cell r="C968">
            <v>350604</v>
          </cell>
          <cell r="D968" t="str">
            <v>PRO001</v>
          </cell>
          <cell r="F968" t="str">
            <v>342402 &amp; PE2-QC-ME2</v>
          </cell>
          <cell r="G968">
            <v>522</v>
          </cell>
        </row>
        <row r="969">
          <cell r="B969">
            <v>342394</v>
          </cell>
          <cell r="C969">
            <v>350624</v>
          </cell>
          <cell r="D969" t="str">
            <v>PRO001</v>
          </cell>
          <cell r="F969" t="str">
            <v>342394 &amp; PE7-DI-ME</v>
          </cell>
          <cell r="G969">
            <v>511</v>
          </cell>
        </row>
        <row r="970">
          <cell r="B970">
            <v>342395</v>
          </cell>
          <cell r="C970">
            <v>350625</v>
          </cell>
          <cell r="D970" t="str">
            <v>PRO001</v>
          </cell>
          <cell r="F970" t="str">
            <v>300H - ME Boiler &amp; Hot Water Zone (PE7)</v>
          </cell>
          <cell r="G970">
            <v>512</v>
          </cell>
        </row>
        <row r="971">
          <cell r="B971">
            <v>342396</v>
          </cell>
          <cell r="C971">
            <v>350626</v>
          </cell>
          <cell r="D971" t="str">
            <v>PRO002</v>
          </cell>
          <cell r="F971" t="str">
            <v>300H - EE Boiler &amp; Hot Water Zone (PE7)</v>
          </cell>
          <cell r="G971">
            <v>513</v>
          </cell>
        </row>
        <row r="972">
          <cell r="B972">
            <v>342397</v>
          </cell>
          <cell r="C972">
            <v>350627</v>
          </cell>
          <cell r="D972" t="str">
            <v>PRO001</v>
          </cell>
          <cell r="F972" t="str">
            <v>1500H - ME Boiler &amp; Hot Water Zone (PE7)</v>
          </cell>
          <cell r="G972">
            <v>514</v>
          </cell>
        </row>
        <row r="973">
          <cell r="B973">
            <v>342398</v>
          </cell>
          <cell r="C973">
            <v>350628</v>
          </cell>
          <cell r="D973" t="str">
            <v>PRO001</v>
          </cell>
          <cell r="F973" t="str">
            <v>3000H - ME Boiler &amp; Hot Water Zone (PE7)</v>
          </cell>
          <cell r="G973">
            <v>515</v>
          </cell>
        </row>
        <row r="974">
          <cell r="B974">
            <v>342571</v>
          </cell>
          <cell r="C974">
            <v>350861</v>
          </cell>
          <cell r="D974" t="str">
            <v>PRO001</v>
          </cell>
          <cell r="F974" t="str">
            <v>342571 &amp; PE1-MC-ME4</v>
          </cell>
          <cell r="G974">
            <v>577</v>
          </cell>
        </row>
        <row r="975">
          <cell r="B975">
            <v>343521</v>
          </cell>
          <cell r="C975">
            <v>352001</v>
          </cell>
          <cell r="D975" t="str">
            <v>PRO001</v>
          </cell>
          <cell r="F975" t="str">
            <v>343521 &amp; PE5-WI-ME</v>
          </cell>
          <cell r="G975">
            <v>724</v>
          </cell>
        </row>
        <row r="976">
          <cell r="B976">
            <v>343618</v>
          </cell>
          <cell r="C976">
            <v>352038</v>
          </cell>
          <cell r="D976" t="str">
            <v>PRO002</v>
          </cell>
          <cell r="F976" t="str">
            <v>343618 &amp; PE0-MC-ME2</v>
          </cell>
          <cell r="G976">
            <v>737</v>
          </cell>
        </row>
        <row r="977">
          <cell r="B977">
            <v>343937</v>
          </cell>
          <cell r="C977">
            <v>352477</v>
          </cell>
          <cell r="D977" t="str">
            <v>PRO001</v>
          </cell>
          <cell r="F977" t="str">
            <v>343937 &amp; PE4-RR-ME</v>
          </cell>
          <cell r="G977">
            <v>755</v>
          </cell>
        </row>
        <row r="978">
          <cell r="B978">
            <v>343938</v>
          </cell>
          <cell r="C978">
            <v>352478</v>
          </cell>
          <cell r="D978" t="str">
            <v>PRO001</v>
          </cell>
          <cell r="F978" t="str">
            <v>343938 &amp; PE4-RR-ME2</v>
          </cell>
          <cell r="G978">
            <v>768</v>
          </cell>
        </row>
        <row r="979">
          <cell r="B979">
            <v>343939</v>
          </cell>
          <cell r="C979">
            <v>352479</v>
          </cell>
          <cell r="D979" t="str">
            <v>PRO001</v>
          </cell>
          <cell r="F979" t="str">
            <v>343939 &amp; PE6-YR-ME</v>
          </cell>
          <cell r="G979">
            <v>771</v>
          </cell>
        </row>
        <row r="980">
          <cell r="B980">
            <v>343909</v>
          </cell>
          <cell r="C980">
            <v>352509</v>
          </cell>
          <cell r="D980" t="str">
            <v>PRO001</v>
          </cell>
          <cell r="F980" t="str">
            <v>343909 &amp; PE2-MR-ME</v>
          </cell>
          <cell r="G980">
            <v>754</v>
          </cell>
        </row>
        <row r="981">
          <cell r="B981">
            <v>345957</v>
          </cell>
          <cell r="C981">
            <v>354697</v>
          </cell>
          <cell r="D981" t="str">
            <v>PRO001</v>
          </cell>
          <cell r="F981" t="str">
            <v>&amp; PE2-QR-ME</v>
          </cell>
          <cell r="G981">
            <v>1187</v>
          </cell>
        </row>
        <row r="982">
          <cell r="B982">
            <v>348810</v>
          </cell>
          <cell r="C982">
            <v>361624</v>
          </cell>
          <cell r="D982" t="str">
            <v>PRO001</v>
          </cell>
          <cell r="F982" t="e">
            <v>#REF!</v>
          </cell>
          <cell r="G982">
            <v>1359</v>
          </cell>
        </row>
        <row r="983">
          <cell r="B983">
            <v>351909</v>
          </cell>
          <cell r="C983">
            <v>365189</v>
          </cell>
          <cell r="D983" t="str">
            <v>PRO002</v>
          </cell>
          <cell r="F983" t="str">
            <v>351909 &amp; PE7-YI-EE</v>
          </cell>
          <cell r="G983">
            <v>1429</v>
          </cell>
        </row>
        <row r="984">
          <cell r="B984">
            <v>352101</v>
          </cell>
          <cell r="C984">
            <v>365381</v>
          </cell>
          <cell r="D984" t="str">
            <v>PRO001</v>
          </cell>
          <cell r="F984" t="str">
            <v>352101 &amp; PE3-YR-ME</v>
          </cell>
          <cell r="G984">
            <v>1438</v>
          </cell>
        </row>
        <row r="985">
          <cell r="B985">
            <v>352900</v>
          </cell>
          <cell r="C985">
            <v>366191</v>
          </cell>
          <cell r="D985" t="str">
            <v>PRO002</v>
          </cell>
          <cell r="F985" t="str">
            <v>352900 &amp; PE0-HI-EE</v>
          </cell>
          <cell r="G985">
            <v>1457</v>
          </cell>
        </row>
        <row r="986">
          <cell r="B986">
            <v>356692</v>
          </cell>
          <cell r="C986">
            <v>370142</v>
          </cell>
          <cell r="D986" t="str">
            <v>PRO002</v>
          </cell>
          <cell r="F986" t="str">
            <v>356692 &amp; PE2-YI-EE</v>
          </cell>
          <cell r="G986">
            <v>1613</v>
          </cell>
        </row>
        <row r="987">
          <cell r="B987">
            <v>356703</v>
          </cell>
          <cell r="C987">
            <v>370163</v>
          </cell>
          <cell r="D987" t="str">
            <v>PRO001</v>
          </cell>
          <cell r="F987" t="str">
            <v>356703 &amp; PE3-QL-ME</v>
          </cell>
          <cell r="G987">
            <v>1617</v>
          </cell>
        </row>
        <row r="988">
          <cell r="B988">
            <v>356975</v>
          </cell>
          <cell r="C988">
            <v>370825</v>
          </cell>
          <cell r="D988" t="str">
            <v>PRO001</v>
          </cell>
          <cell r="F988" t="str">
            <v>356975 &amp; PE2-YR-ME2</v>
          </cell>
          <cell r="G988">
            <v>2029</v>
          </cell>
        </row>
        <row r="989">
          <cell r="B989">
            <v>357814</v>
          </cell>
          <cell r="C989">
            <v>371794</v>
          </cell>
          <cell r="D989" t="str">
            <v>PRO002</v>
          </cell>
          <cell r="F989" t="str">
            <v>357814 &amp; PE0-HI-EE2</v>
          </cell>
          <cell r="G989">
            <v>2742</v>
          </cell>
        </row>
        <row r="990">
          <cell r="B990">
            <v>357815</v>
          </cell>
          <cell r="C990">
            <v>371795</v>
          </cell>
          <cell r="D990" t="str">
            <v>PRO002</v>
          </cell>
          <cell r="F990" t="str">
            <v>357815 &amp; PE0-YR-EE</v>
          </cell>
          <cell r="G990">
            <v>2743</v>
          </cell>
        </row>
        <row r="991">
          <cell r="B991">
            <v>610000004529</v>
          </cell>
          <cell r="C991">
            <v>348728</v>
          </cell>
          <cell r="D991" t="str">
            <v>PRO001</v>
          </cell>
          <cell r="F991" t="str">
            <v>610000004529 &amp; RB1-FI-ME</v>
          </cell>
          <cell r="G991">
            <v>100963</v>
          </cell>
        </row>
        <row r="992">
          <cell r="B992">
            <v>610000004530</v>
          </cell>
          <cell r="C992">
            <v>348729</v>
          </cell>
          <cell r="D992" t="str">
            <v>PRO001</v>
          </cell>
          <cell r="F992" t="str">
            <v>610000004530 &amp; RB1-MI-ME</v>
          </cell>
          <cell r="G992">
            <v>100964</v>
          </cell>
        </row>
        <row r="993">
          <cell r="B993">
            <v>610000004531</v>
          </cell>
          <cell r="C993">
            <v>348730</v>
          </cell>
          <cell r="D993" t="str">
            <v>PRO001</v>
          </cell>
          <cell r="F993" t="str">
            <v>610000004531 &amp; RB1-MC-ME</v>
          </cell>
          <cell r="G993">
            <v>100965</v>
          </cell>
        </row>
        <row r="994">
          <cell r="B994">
            <v>610000004532</v>
          </cell>
          <cell r="C994">
            <v>348731</v>
          </cell>
          <cell r="D994" t="str">
            <v>PRO001</v>
          </cell>
          <cell r="F994" t="str">
            <v>610000004532 &amp; RB1-NL-ME</v>
          </cell>
          <cell r="G994">
            <v>100966</v>
          </cell>
        </row>
        <row r="995">
          <cell r="B995">
            <v>610000004533</v>
          </cell>
          <cell r="C995">
            <v>348732</v>
          </cell>
          <cell r="D995" t="str">
            <v>PRO001</v>
          </cell>
          <cell r="F995" t="str">
            <v>610000004533 &amp; RB1-NR-ME</v>
          </cell>
          <cell r="G995">
            <v>100967</v>
          </cell>
        </row>
        <row r="996">
          <cell r="B996">
            <v>610000004534</v>
          </cell>
          <cell r="C996">
            <v>348733</v>
          </cell>
          <cell r="D996" t="str">
            <v>PRO001</v>
          </cell>
          <cell r="F996" t="str">
            <v>610000004534 &amp; RB1-NC-ME</v>
          </cell>
          <cell r="G996">
            <v>100968</v>
          </cell>
        </row>
        <row r="997">
          <cell r="B997">
            <v>610000004535</v>
          </cell>
          <cell r="C997">
            <v>348734</v>
          </cell>
          <cell r="D997" t="str">
            <v>PRO001</v>
          </cell>
          <cell r="F997" t="str">
            <v>610000004535 &amp; RB1-MR-ME</v>
          </cell>
          <cell r="G997">
            <v>100969</v>
          </cell>
        </row>
        <row r="998">
          <cell r="B998">
            <v>610000004536</v>
          </cell>
          <cell r="C998">
            <v>348735</v>
          </cell>
          <cell r="D998" t="str">
            <v>PRO001</v>
          </cell>
          <cell r="F998" t="str">
            <v>610000004536 &amp; RB1-QC-ME</v>
          </cell>
          <cell r="G998">
            <v>100970</v>
          </cell>
        </row>
        <row r="999">
          <cell r="B999">
            <v>610000004537</v>
          </cell>
          <cell r="C999">
            <v>348736</v>
          </cell>
          <cell r="D999" t="str">
            <v>PRO001</v>
          </cell>
          <cell r="F999" t="str">
            <v>610000004537 &amp; RB1-HC-ME</v>
          </cell>
          <cell r="G999">
            <v>100971</v>
          </cell>
        </row>
        <row r="1000">
          <cell r="B1000">
            <v>610000004538</v>
          </cell>
          <cell r="C1000">
            <v>348737</v>
          </cell>
          <cell r="D1000" t="str">
            <v>PRO001</v>
          </cell>
          <cell r="F1000" t="str">
            <v>610000004538 &amp; RB1-HL-ME</v>
          </cell>
          <cell r="G1000">
            <v>100972</v>
          </cell>
        </row>
        <row r="1001">
          <cell r="B1001">
            <v>610000004539</v>
          </cell>
          <cell r="C1001">
            <v>348738</v>
          </cell>
          <cell r="D1001" t="str">
            <v>PRO001</v>
          </cell>
          <cell r="F1001" t="str">
            <v>610000004539 &amp; RB2-FI-ME</v>
          </cell>
          <cell r="G1001">
            <v>100973</v>
          </cell>
        </row>
        <row r="1002">
          <cell r="B1002">
            <v>610000004540</v>
          </cell>
          <cell r="C1002">
            <v>348739</v>
          </cell>
          <cell r="D1002" t="str">
            <v>PRO001</v>
          </cell>
          <cell r="F1002" t="str">
            <v>610000004540 &amp; RB2-ML-ME</v>
          </cell>
          <cell r="G1002">
            <v>100974</v>
          </cell>
        </row>
        <row r="1003">
          <cell r="B1003">
            <v>610000004541</v>
          </cell>
          <cell r="C1003">
            <v>348740</v>
          </cell>
          <cell r="D1003" t="str">
            <v>PRO001</v>
          </cell>
          <cell r="F1003" t="str">
            <v>610000004541 &amp; RB2-MI-ME</v>
          </cell>
          <cell r="G1003">
            <v>100975</v>
          </cell>
        </row>
        <row r="1004">
          <cell r="B1004">
            <v>610000004542</v>
          </cell>
          <cell r="C1004">
            <v>348741</v>
          </cell>
          <cell r="D1004" t="str">
            <v>PRO001</v>
          </cell>
          <cell r="F1004" t="str">
            <v>610000004542 &amp; RB2-HL-ME</v>
          </cell>
          <cell r="G1004">
            <v>100976</v>
          </cell>
        </row>
        <row r="1005">
          <cell r="B1005">
            <v>610000004543</v>
          </cell>
          <cell r="C1005">
            <v>348742</v>
          </cell>
          <cell r="D1005" t="str">
            <v>PRO001</v>
          </cell>
          <cell r="F1005" t="str">
            <v>610000004543 &amp; RB3-WC-ME</v>
          </cell>
          <cell r="G1005">
            <v>100977</v>
          </cell>
        </row>
        <row r="1006">
          <cell r="B1006">
            <v>610000004544</v>
          </cell>
          <cell r="C1006">
            <v>348743</v>
          </cell>
          <cell r="D1006" t="str">
            <v>PRO001</v>
          </cell>
          <cell r="F1006" t="str">
            <v>610000004544 &amp; RB3-FI-ME</v>
          </cell>
          <cell r="G1006">
            <v>100978</v>
          </cell>
        </row>
        <row r="1007">
          <cell r="B1007">
            <v>610000004545</v>
          </cell>
          <cell r="C1007">
            <v>348744</v>
          </cell>
          <cell r="D1007" t="str">
            <v>PRO001</v>
          </cell>
          <cell r="F1007" t="str">
            <v>610000004545 &amp; RB3-ML-ME</v>
          </cell>
          <cell r="G1007">
            <v>100979</v>
          </cell>
        </row>
        <row r="1008">
          <cell r="B1008">
            <v>610000004546</v>
          </cell>
          <cell r="C1008">
            <v>348745</v>
          </cell>
          <cell r="D1008" t="str">
            <v>PRO001</v>
          </cell>
          <cell r="F1008" t="str">
            <v>610000004546 &amp; RB3-ML-ME2</v>
          </cell>
          <cell r="G1008">
            <v>100980</v>
          </cell>
        </row>
        <row r="1009">
          <cell r="B1009">
            <v>610000004567</v>
          </cell>
          <cell r="C1009">
            <v>348746</v>
          </cell>
          <cell r="D1009" t="str">
            <v>PRO001</v>
          </cell>
          <cell r="F1009" t="str">
            <v>610000004567 &amp; RB5-FI-ME</v>
          </cell>
          <cell r="G1009">
            <v>101001</v>
          </cell>
        </row>
        <row r="1010">
          <cell r="B1010">
            <v>610000004568</v>
          </cell>
          <cell r="C1010">
            <v>348747</v>
          </cell>
          <cell r="D1010" t="str">
            <v>PRO001</v>
          </cell>
          <cell r="F1010" t="str">
            <v>610000004568 &amp; RB5-MI-ME</v>
          </cell>
          <cell r="G1010">
            <v>101002</v>
          </cell>
        </row>
        <row r="1011">
          <cell r="B1011">
            <v>610000004569</v>
          </cell>
          <cell r="C1011">
            <v>348748</v>
          </cell>
          <cell r="D1011" t="str">
            <v>PRO001</v>
          </cell>
          <cell r="F1011" t="str">
            <v>610000004569 &amp; RB5-ML-ME</v>
          </cell>
          <cell r="G1011">
            <v>101003</v>
          </cell>
        </row>
        <row r="1012">
          <cell r="B1012">
            <v>610000004570</v>
          </cell>
          <cell r="C1012">
            <v>348749</v>
          </cell>
          <cell r="D1012" t="str">
            <v>PRO001</v>
          </cell>
          <cell r="F1012" t="str">
            <v>610000004570 &amp; RB5-HL-ME</v>
          </cell>
          <cell r="G1012">
            <v>101004</v>
          </cell>
        </row>
        <row r="1013">
          <cell r="B1013">
            <v>610000004571</v>
          </cell>
          <cell r="C1013">
            <v>348750</v>
          </cell>
          <cell r="D1013" t="str">
            <v>PRO001</v>
          </cell>
          <cell r="F1013" t="str">
            <v>610000004571 &amp; RB6-FI-ME</v>
          </cell>
          <cell r="G1013">
            <v>101005</v>
          </cell>
        </row>
        <row r="1014">
          <cell r="B1014">
            <v>610000004572</v>
          </cell>
          <cell r="C1014">
            <v>348751</v>
          </cell>
          <cell r="D1014" t="str">
            <v>PRO001</v>
          </cell>
          <cell r="F1014" t="str">
            <v>610000004572 &amp; RB6-MI-ME</v>
          </cell>
          <cell r="G1014">
            <v>101006</v>
          </cell>
        </row>
        <row r="1015">
          <cell r="B1015">
            <v>610000004573</v>
          </cell>
          <cell r="C1015">
            <v>348752</v>
          </cell>
          <cell r="D1015" t="str">
            <v>PRO001</v>
          </cell>
          <cell r="F1015" t="str">
            <v>610000004573 &amp; RB6-ML-ME</v>
          </cell>
          <cell r="G1015">
            <v>101007</v>
          </cell>
        </row>
        <row r="1016">
          <cell r="B1016">
            <v>610000004574</v>
          </cell>
          <cell r="C1016">
            <v>348753</v>
          </cell>
          <cell r="D1016" t="str">
            <v>PRO001</v>
          </cell>
          <cell r="F1016" t="str">
            <v>610000004574 &amp; RB6-HL-ME</v>
          </cell>
          <cell r="G1016">
            <v>101008</v>
          </cell>
        </row>
        <row r="1017">
          <cell r="B1017">
            <v>610000004575</v>
          </cell>
          <cell r="C1017">
            <v>348754</v>
          </cell>
          <cell r="D1017" t="str">
            <v>PRO002</v>
          </cell>
          <cell r="F1017" t="str">
            <v>610000004575 &amp; RB0-FI-EE</v>
          </cell>
          <cell r="G1017">
            <v>101009</v>
          </cell>
        </row>
        <row r="1018">
          <cell r="B1018">
            <v>610000004576</v>
          </cell>
          <cell r="C1018">
            <v>348755</v>
          </cell>
          <cell r="D1018" t="str">
            <v>PRO002</v>
          </cell>
          <cell r="F1018" t="str">
            <v>610000004576 &amp; RB0-MI-EE</v>
          </cell>
          <cell r="G1018">
            <v>101010</v>
          </cell>
        </row>
        <row r="1019">
          <cell r="B1019">
            <v>610000004577</v>
          </cell>
          <cell r="C1019">
            <v>348756</v>
          </cell>
          <cell r="D1019" t="str">
            <v>PRO002</v>
          </cell>
          <cell r="F1019" t="str">
            <v>610000004577 &amp; RB0-NC-EE</v>
          </cell>
          <cell r="G1019">
            <v>101011</v>
          </cell>
        </row>
        <row r="1020">
          <cell r="B1020">
            <v>610000004578</v>
          </cell>
          <cell r="C1020">
            <v>348757</v>
          </cell>
          <cell r="D1020" t="str">
            <v>PRO002</v>
          </cell>
          <cell r="F1020" t="str">
            <v>610000004578 &amp; RB0-QI-EE</v>
          </cell>
          <cell r="G1020">
            <v>101012</v>
          </cell>
        </row>
        <row r="1021">
          <cell r="B1021">
            <v>610000004579</v>
          </cell>
          <cell r="C1021">
            <v>348758</v>
          </cell>
          <cell r="D1021" t="str">
            <v>PRO002</v>
          </cell>
          <cell r="F1021" t="str">
            <v>610000004579 &amp; RB1-FI-EE</v>
          </cell>
          <cell r="G1021">
            <v>101013</v>
          </cell>
        </row>
        <row r="1022">
          <cell r="B1022">
            <v>610000004580</v>
          </cell>
          <cell r="C1022">
            <v>348759</v>
          </cell>
          <cell r="D1022" t="str">
            <v>PRO002</v>
          </cell>
          <cell r="F1022" t="str">
            <v>610000004580 &amp; RB1-MI-EE</v>
          </cell>
          <cell r="G1022">
            <v>101014</v>
          </cell>
        </row>
        <row r="1023">
          <cell r="B1023">
            <v>610000004581</v>
          </cell>
          <cell r="C1023">
            <v>348760</v>
          </cell>
          <cell r="D1023" t="str">
            <v>PRO002</v>
          </cell>
          <cell r="F1023" t="str">
            <v>610000004581 &amp; RB1-NC-EE</v>
          </cell>
          <cell r="G1023">
            <v>101015</v>
          </cell>
        </row>
        <row r="1024">
          <cell r="B1024">
            <v>610000004582</v>
          </cell>
          <cell r="C1024">
            <v>348761</v>
          </cell>
          <cell r="D1024" t="str">
            <v>PRO002</v>
          </cell>
          <cell r="F1024" t="str">
            <v>610000004582 &amp; RB1-QI-EE</v>
          </cell>
          <cell r="G1024">
            <v>101016</v>
          </cell>
        </row>
        <row r="1025">
          <cell r="B1025">
            <v>610000004583</v>
          </cell>
          <cell r="C1025">
            <v>348762</v>
          </cell>
          <cell r="D1025" t="str">
            <v>PRO002</v>
          </cell>
          <cell r="F1025" t="str">
            <v>610000004583 &amp; RB2-FI-EE</v>
          </cell>
          <cell r="G1025">
            <v>101017</v>
          </cell>
        </row>
        <row r="1026">
          <cell r="B1026">
            <v>610000004584</v>
          </cell>
          <cell r="C1026">
            <v>348763</v>
          </cell>
          <cell r="D1026" t="str">
            <v>PRO002</v>
          </cell>
          <cell r="F1026" t="str">
            <v>610000004584 &amp; RB2-MI-EE</v>
          </cell>
          <cell r="G1026">
            <v>101018</v>
          </cell>
        </row>
        <row r="1027">
          <cell r="B1027">
            <v>610000004585</v>
          </cell>
          <cell r="C1027">
            <v>348764</v>
          </cell>
          <cell r="D1027" t="str">
            <v>PRO002</v>
          </cell>
          <cell r="F1027" t="str">
            <v>610000004585 &amp; RB2-NC-EE</v>
          </cell>
          <cell r="G1027">
            <v>101019</v>
          </cell>
        </row>
        <row r="1028">
          <cell r="B1028">
            <v>610000004607</v>
          </cell>
          <cell r="C1028">
            <v>348765</v>
          </cell>
          <cell r="D1028" t="str">
            <v>PRO002</v>
          </cell>
          <cell r="F1028" t="str">
            <v>610000004607 &amp; RB6-MI-EE</v>
          </cell>
          <cell r="G1028">
            <v>101041</v>
          </cell>
        </row>
        <row r="1029">
          <cell r="B1029">
            <v>610000004608</v>
          </cell>
          <cell r="C1029">
            <v>348766</v>
          </cell>
          <cell r="D1029" t="str">
            <v>PRO002</v>
          </cell>
          <cell r="F1029" t="str">
            <v>610000004608 &amp; RB6-NC-EE</v>
          </cell>
          <cell r="G1029">
            <v>101042</v>
          </cell>
        </row>
        <row r="1030">
          <cell r="B1030">
            <v>610000004609</v>
          </cell>
          <cell r="C1030">
            <v>348767</v>
          </cell>
          <cell r="D1030" t="str">
            <v>PRO002</v>
          </cell>
          <cell r="F1030" t="str">
            <v>610000004609 &amp; RB6-QI-EE</v>
          </cell>
          <cell r="G1030">
            <v>101043</v>
          </cell>
        </row>
        <row r="1031">
          <cell r="B1031">
            <v>610000004515</v>
          </cell>
          <cell r="C1031">
            <v>349006</v>
          </cell>
          <cell r="D1031" t="str">
            <v>PRO001</v>
          </cell>
          <cell r="F1031" t="str">
            <v>610000004515 &amp; RB0-FC-ME</v>
          </cell>
          <cell r="G1031">
            <v>100949</v>
          </cell>
        </row>
        <row r="1032">
          <cell r="B1032">
            <v>610000004516</v>
          </cell>
          <cell r="C1032">
            <v>349007</v>
          </cell>
          <cell r="D1032" t="str">
            <v>PRO001</v>
          </cell>
          <cell r="F1032" t="str">
            <v>610000004516 &amp; RB0-MI-ME</v>
          </cell>
          <cell r="G1032">
            <v>100950</v>
          </cell>
        </row>
        <row r="1033">
          <cell r="B1033">
            <v>610000004517</v>
          </cell>
          <cell r="C1033">
            <v>349008</v>
          </cell>
          <cell r="D1033" t="str">
            <v>PRO001</v>
          </cell>
          <cell r="F1033" t="str">
            <v>610000004517 &amp; RB0-MI-ME</v>
          </cell>
          <cell r="G1033">
            <v>100951</v>
          </cell>
        </row>
        <row r="1034">
          <cell r="B1034">
            <v>610000004518</v>
          </cell>
          <cell r="C1034">
            <v>349009</v>
          </cell>
          <cell r="D1034" t="str">
            <v>PRO001</v>
          </cell>
          <cell r="F1034" t="str">
            <v>610000004518 &amp; RB0-ML-ME</v>
          </cell>
          <cell r="G1034">
            <v>100952</v>
          </cell>
        </row>
        <row r="1035">
          <cell r="B1035">
            <v>610000004519</v>
          </cell>
          <cell r="C1035">
            <v>349010</v>
          </cell>
          <cell r="D1035" t="str">
            <v>PRO001</v>
          </cell>
          <cell r="F1035" t="str">
            <v>610000004519 &amp; RB0-MC-ME</v>
          </cell>
          <cell r="G1035">
            <v>100953</v>
          </cell>
        </row>
        <row r="1036">
          <cell r="B1036">
            <v>610000004520</v>
          </cell>
          <cell r="C1036">
            <v>349011</v>
          </cell>
          <cell r="D1036" t="str">
            <v>PRO001</v>
          </cell>
          <cell r="F1036" t="str">
            <v>610000004520 &amp; RB0-NL-ME</v>
          </cell>
          <cell r="G1036">
            <v>100954</v>
          </cell>
        </row>
        <row r="1037">
          <cell r="B1037">
            <v>610000004521</v>
          </cell>
          <cell r="C1037">
            <v>349012</v>
          </cell>
          <cell r="D1037" t="str">
            <v>PRO001</v>
          </cell>
          <cell r="F1037" t="str">
            <v>610000004521 &amp; RB0-NR-ME</v>
          </cell>
          <cell r="G1037">
            <v>100955</v>
          </cell>
        </row>
        <row r="1038">
          <cell r="B1038">
            <v>610000004522</v>
          </cell>
          <cell r="C1038">
            <v>349013</v>
          </cell>
          <cell r="D1038" t="str">
            <v>PRO001</v>
          </cell>
          <cell r="F1038" t="str">
            <v>610000004522 &amp; RB0-NC-ME</v>
          </cell>
          <cell r="G1038">
            <v>100956</v>
          </cell>
        </row>
        <row r="1039">
          <cell r="B1039">
            <v>610000004523</v>
          </cell>
          <cell r="C1039">
            <v>349014</v>
          </cell>
          <cell r="D1039" t="str">
            <v>PRO001</v>
          </cell>
          <cell r="F1039" t="str">
            <v>610000004523 &amp; RB0-QC-ME</v>
          </cell>
          <cell r="G1039">
            <v>100957</v>
          </cell>
        </row>
        <row r="1040">
          <cell r="B1040">
            <v>610000004524</v>
          </cell>
          <cell r="C1040">
            <v>349015</v>
          </cell>
          <cell r="D1040" t="str">
            <v>PRO001</v>
          </cell>
          <cell r="F1040" t="str">
            <v>610000004524 &amp; RB0-HL-ME</v>
          </cell>
          <cell r="G1040">
            <v>100958</v>
          </cell>
        </row>
        <row r="1041">
          <cell r="B1041">
            <v>610000004525</v>
          </cell>
          <cell r="C1041">
            <v>349016</v>
          </cell>
          <cell r="D1041" t="str">
            <v>PRO001</v>
          </cell>
          <cell r="F1041" t="str">
            <v>610000004525 &amp; RB0-YL-ME</v>
          </cell>
          <cell r="G1041">
            <v>100959</v>
          </cell>
        </row>
        <row r="1042">
          <cell r="B1042">
            <v>610000004526</v>
          </cell>
          <cell r="C1042">
            <v>349017</v>
          </cell>
          <cell r="D1042" t="str">
            <v>PRO001</v>
          </cell>
          <cell r="F1042" t="str">
            <v>610000004526 &amp; RB1-WI-ME</v>
          </cell>
          <cell r="G1042">
            <v>100960</v>
          </cell>
        </row>
        <row r="1043">
          <cell r="B1043">
            <v>610000004527</v>
          </cell>
          <cell r="C1043">
            <v>349018</v>
          </cell>
          <cell r="D1043" t="str">
            <v>PRO001</v>
          </cell>
          <cell r="F1043" t="str">
            <v>610000004527 &amp; RB1-FC-ME</v>
          </cell>
          <cell r="G1043">
            <v>100961</v>
          </cell>
        </row>
        <row r="1044">
          <cell r="B1044">
            <v>610000004528</v>
          </cell>
          <cell r="C1044">
            <v>349019</v>
          </cell>
          <cell r="D1044" t="str">
            <v>PRO001</v>
          </cell>
          <cell r="F1044" t="str">
            <v>610000004528 &amp; RB1-FA-ME</v>
          </cell>
          <cell r="G1044">
            <v>100962</v>
          </cell>
        </row>
        <row r="1045">
          <cell r="B1045">
            <v>610000004547</v>
          </cell>
          <cell r="C1045">
            <v>349020</v>
          </cell>
          <cell r="D1045" t="str">
            <v>PRO001</v>
          </cell>
          <cell r="F1045" t="str">
            <v>610000004547 &amp; RB3-MI-ME</v>
          </cell>
          <cell r="G1045">
            <v>100981</v>
          </cell>
        </row>
        <row r="1046">
          <cell r="B1046">
            <v>610000004548</v>
          </cell>
          <cell r="C1046">
            <v>349021</v>
          </cell>
          <cell r="D1046" t="str">
            <v>PRO001</v>
          </cell>
          <cell r="F1046" t="str">
            <v>610000004548 &amp; RB3-QR-ME</v>
          </cell>
          <cell r="G1046">
            <v>100982</v>
          </cell>
        </row>
        <row r="1047">
          <cell r="B1047">
            <v>610000004549</v>
          </cell>
          <cell r="C1047">
            <v>349022</v>
          </cell>
          <cell r="D1047" t="str">
            <v>PRO001</v>
          </cell>
          <cell r="F1047" t="str">
            <v>610000004549 &amp; RB3-HR-ME</v>
          </cell>
          <cell r="G1047">
            <v>100983</v>
          </cell>
        </row>
        <row r="1048">
          <cell r="B1048">
            <v>610000004550</v>
          </cell>
          <cell r="C1048">
            <v>349023</v>
          </cell>
          <cell r="D1048" t="str">
            <v>PRO001</v>
          </cell>
          <cell r="F1048" t="str">
            <v>610000004550 &amp; RB3-GR-ME</v>
          </cell>
          <cell r="G1048">
            <v>100984</v>
          </cell>
        </row>
        <row r="1049">
          <cell r="B1049">
            <v>610000004551</v>
          </cell>
          <cell r="C1049">
            <v>349024</v>
          </cell>
          <cell r="D1049" t="str">
            <v>PRO001</v>
          </cell>
          <cell r="F1049" t="str">
            <v>610000004551 &amp; RB3-GR-ME2</v>
          </cell>
          <cell r="G1049">
            <v>100985</v>
          </cell>
        </row>
        <row r="1050">
          <cell r="B1050">
            <v>610000004552</v>
          </cell>
          <cell r="C1050">
            <v>349025</v>
          </cell>
          <cell r="D1050" t="str">
            <v>PRO001</v>
          </cell>
          <cell r="F1050" t="str">
            <v>610000004552 &amp; RB3-GL-ME</v>
          </cell>
          <cell r="G1050">
            <v>100986</v>
          </cell>
        </row>
        <row r="1051">
          <cell r="B1051">
            <v>610000004553</v>
          </cell>
          <cell r="C1051">
            <v>349026</v>
          </cell>
          <cell r="D1051" t="str">
            <v>PRO001</v>
          </cell>
          <cell r="F1051" t="str">
            <v>610000004553 &amp; RB3-GL-ME2</v>
          </cell>
          <cell r="G1051">
            <v>100987</v>
          </cell>
        </row>
        <row r="1052">
          <cell r="B1052">
            <v>610000004554</v>
          </cell>
          <cell r="C1052">
            <v>349027</v>
          </cell>
          <cell r="D1052" t="str">
            <v>PRO001</v>
          </cell>
          <cell r="F1052" t="str">
            <v>610000004554 &amp; RB3-GL-ME3</v>
          </cell>
          <cell r="G1052">
            <v>100988</v>
          </cell>
        </row>
        <row r="1053">
          <cell r="B1053">
            <v>610000004555</v>
          </cell>
          <cell r="C1053">
            <v>349028</v>
          </cell>
          <cell r="D1053" t="str">
            <v>PRO001</v>
          </cell>
          <cell r="F1053" t="str">
            <v>610000004555 &amp; RB3-GL-ME4</v>
          </cell>
          <cell r="G1053">
            <v>100989</v>
          </cell>
        </row>
        <row r="1054">
          <cell r="B1054">
            <v>610000004556</v>
          </cell>
          <cell r="C1054">
            <v>349029</v>
          </cell>
          <cell r="D1054" t="str">
            <v>PRO001</v>
          </cell>
          <cell r="F1054" t="str">
            <v>610000004556 &amp; RB3-GL-ME5</v>
          </cell>
          <cell r="G1054">
            <v>100990</v>
          </cell>
        </row>
        <row r="1055">
          <cell r="B1055">
            <v>610000004557</v>
          </cell>
          <cell r="C1055">
            <v>349030</v>
          </cell>
          <cell r="D1055" t="str">
            <v>PRO001</v>
          </cell>
          <cell r="F1055" t="str">
            <v>610000004557 &amp; RB3-GL-ME6</v>
          </cell>
          <cell r="G1055">
            <v>100991</v>
          </cell>
        </row>
        <row r="1056">
          <cell r="B1056">
            <v>610000004558</v>
          </cell>
          <cell r="C1056">
            <v>349031</v>
          </cell>
          <cell r="D1056" t="str">
            <v>PRO001</v>
          </cell>
          <cell r="F1056" t="str">
            <v>610000004558 &amp; RB3-GL-ME7</v>
          </cell>
          <cell r="G1056">
            <v>100992</v>
          </cell>
        </row>
        <row r="1057">
          <cell r="B1057">
            <v>610000004559</v>
          </cell>
          <cell r="C1057">
            <v>349032</v>
          </cell>
          <cell r="D1057" t="str">
            <v>PRO001</v>
          </cell>
          <cell r="F1057" t="str">
            <v>610000004559 &amp; RB4-WL-ME</v>
          </cell>
          <cell r="G1057">
            <v>100993</v>
          </cell>
        </row>
        <row r="1058">
          <cell r="B1058">
            <v>610000004560</v>
          </cell>
          <cell r="C1058">
            <v>349033</v>
          </cell>
          <cell r="D1058" t="str">
            <v>PRO001</v>
          </cell>
          <cell r="F1058" t="str">
            <v>610000004560 &amp; RB4-FI-ME</v>
          </cell>
          <cell r="G1058">
            <v>100994</v>
          </cell>
        </row>
        <row r="1059">
          <cell r="B1059">
            <v>610000004561</v>
          </cell>
          <cell r="C1059">
            <v>349034</v>
          </cell>
          <cell r="D1059" t="str">
            <v>PRO001</v>
          </cell>
          <cell r="F1059" t="str">
            <v>610000004561 &amp; RB4-FC-ME</v>
          </cell>
          <cell r="G1059">
            <v>100995</v>
          </cell>
        </row>
        <row r="1060">
          <cell r="B1060">
            <v>610000004562</v>
          </cell>
          <cell r="C1060">
            <v>349035</v>
          </cell>
          <cell r="D1060" t="str">
            <v>PRO001</v>
          </cell>
          <cell r="F1060" t="str">
            <v>610000004562 &amp; RB4-QL-ME</v>
          </cell>
          <cell r="G1060">
            <v>100996</v>
          </cell>
        </row>
        <row r="1061">
          <cell r="B1061">
            <v>610000004563</v>
          </cell>
          <cell r="C1061">
            <v>349036</v>
          </cell>
          <cell r="D1061" t="str">
            <v>PRO001</v>
          </cell>
          <cell r="F1061" t="str">
            <v>610000004563 &amp; RB4-ML-MEs</v>
          </cell>
          <cell r="G1061">
            <v>100997</v>
          </cell>
        </row>
        <row r="1062">
          <cell r="B1062">
            <v>610000004564</v>
          </cell>
          <cell r="C1062">
            <v>349037</v>
          </cell>
          <cell r="D1062" t="str">
            <v>PRO001</v>
          </cell>
          <cell r="F1062" t="str">
            <v>610000004564 &amp; RB4-MI-ME</v>
          </cell>
          <cell r="G1062">
            <v>100998</v>
          </cell>
        </row>
        <row r="1063">
          <cell r="B1063">
            <v>610000004565</v>
          </cell>
          <cell r="C1063">
            <v>349038</v>
          </cell>
          <cell r="D1063" t="str">
            <v>PRO001</v>
          </cell>
          <cell r="F1063" t="str">
            <v>610000004565 &amp; RB4-HL-ME</v>
          </cell>
          <cell r="G1063">
            <v>100999</v>
          </cell>
        </row>
        <row r="1064">
          <cell r="B1064">
            <v>610000004586</v>
          </cell>
          <cell r="C1064">
            <v>349039</v>
          </cell>
          <cell r="D1064" t="str">
            <v>PRO002</v>
          </cell>
          <cell r="F1064" t="str">
            <v>610000004586 &amp; RB2-QI-EE</v>
          </cell>
          <cell r="G1064">
            <v>101020</v>
          </cell>
        </row>
        <row r="1065">
          <cell r="B1065">
            <v>610000004587</v>
          </cell>
          <cell r="C1065">
            <v>349040</v>
          </cell>
          <cell r="D1065" t="str">
            <v>PRO002</v>
          </cell>
          <cell r="F1065" t="str">
            <v>610000004587 &amp; RB3-FI-EE</v>
          </cell>
          <cell r="G1065">
            <v>101021</v>
          </cell>
        </row>
        <row r="1066">
          <cell r="B1066">
            <v>610000004588</v>
          </cell>
          <cell r="C1066">
            <v>349041</v>
          </cell>
          <cell r="D1066" t="str">
            <v>PRO002</v>
          </cell>
          <cell r="F1066" t="str">
            <v>610000004588 &amp; RB3-MC-EE</v>
          </cell>
          <cell r="G1066">
            <v>101022</v>
          </cell>
        </row>
        <row r="1067">
          <cell r="B1067">
            <v>610000004589</v>
          </cell>
          <cell r="C1067">
            <v>349042</v>
          </cell>
          <cell r="D1067" t="str">
            <v>PRO002</v>
          </cell>
          <cell r="F1067" t="str">
            <v>610000004589 &amp; RB3-MI-EE</v>
          </cell>
          <cell r="G1067">
            <v>101023</v>
          </cell>
        </row>
        <row r="1068">
          <cell r="B1068">
            <v>610000004590</v>
          </cell>
          <cell r="C1068">
            <v>349043</v>
          </cell>
          <cell r="D1068" t="str">
            <v>PRO002</v>
          </cell>
          <cell r="F1068" t="str">
            <v>610000004590 &amp; RB3-NC-EE</v>
          </cell>
          <cell r="G1068">
            <v>101024</v>
          </cell>
        </row>
        <row r="1069">
          <cell r="B1069">
            <v>610000004591</v>
          </cell>
          <cell r="C1069">
            <v>349044</v>
          </cell>
          <cell r="D1069" t="str">
            <v>PRO002</v>
          </cell>
          <cell r="F1069" t="str">
            <v>610000004591 &amp; RB3-QI-EE</v>
          </cell>
          <cell r="G1069">
            <v>101025</v>
          </cell>
        </row>
        <row r="1070">
          <cell r="B1070">
            <v>610000004592</v>
          </cell>
          <cell r="C1070">
            <v>349045</v>
          </cell>
          <cell r="D1070" t="str">
            <v>PRO002</v>
          </cell>
          <cell r="F1070" t="str">
            <v>610000004592 &amp; RB4-FI-EE</v>
          </cell>
          <cell r="G1070">
            <v>101026</v>
          </cell>
        </row>
        <row r="1071">
          <cell r="B1071">
            <v>610000004593</v>
          </cell>
          <cell r="C1071">
            <v>349046</v>
          </cell>
          <cell r="D1071" t="str">
            <v>PRO002</v>
          </cell>
          <cell r="F1071" t="str">
            <v>610000004593 &amp; RB4-MI-EE</v>
          </cell>
          <cell r="G1071">
            <v>101027</v>
          </cell>
        </row>
        <row r="1072">
          <cell r="B1072">
            <v>610000004594</v>
          </cell>
          <cell r="C1072">
            <v>349047</v>
          </cell>
          <cell r="D1072" t="str">
            <v>PRO002</v>
          </cell>
          <cell r="F1072" t="str">
            <v>610000004594 &amp; RB4-MI-EE2</v>
          </cell>
          <cell r="G1072">
            <v>101028</v>
          </cell>
        </row>
        <row r="1073">
          <cell r="B1073">
            <v>610000004595</v>
          </cell>
          <cell r="C1073">
            <v>349048</v>
          </cell>
          <cell r="D1073" t="str">
            <v>PRO002</v>
          </cell>
          <cell r="F1073" t="str">
            <v>610000004595 &amp; RB4-MC-EE</v>
          </cell>
          <cell r="G1073">
            <v>101029</v>
          </cell>
        </row>
        <row r="1074">
          <cell r="B1074">
            <v>610000004596</v>
          </cell>
          <cell r="C1074">
            <v>349049</v>
          </cell>
          <cell r="D1074" t="str">
            <v>PRO002</v>
          </cell>
          <cell r="F1074" t="str">
            <v>610000004596 &amp; RB4-NC-EE</v>
          </cell>
          <cell r="G1074">
            <v>101030</v>
          </cell>
        </row>
        <row r="1075">
          <cell r="B1075">
            <v>610000004597</v>
          </cell>
          <cell r="C1075">
            <v>349050</v>
          </cell>
          <cell r="D1075" t="str">
            <v>PRO002</v>
          </cell>
          <cell r="F1075" t="str">
            <v>610000004597 &amp; RB4-QI-EE</v>
          </cell>
          <cell r="G1075">
            <v>101031</v>
          </cell>
        </row>
        <row r="1076">
          <cell r="B1076">
            <v>610000004598</v>
          </cell>
          <cell r="C1076">
            <v>349051</v>
          </cell>
          <cell r="D1076" t="str">
            <v>PRO002</v>
          </cell>
          <cell r="F1076" t="str">
            <v>610000004598 &amp; RB4-YCB-EE</v>
          </cell>
          <cell r="G1076">
            <v>101032</v>
          </cell>
        </row>
        <row r="1077">
          <cell r="B1077">
            <v>610000004599</v>
          </cell>
          <cell r="C1077">
            <v>349052</v>
          </cell>
          <cell r="D1077" t="str">
            <v>PRO002</v>
          </cell>
          <cell r="F1077" t="str">
            <v>610000004599 &amp; RB5-FI-EE</v>
          </cell>
          <cell r="G1077">
            <v>101033</v>
          </cell>
        </row>
        <row r="1078">
          <cell r="B1078">
            <v>610000004600</v>
          </cell>
          <cell r="C1078">
            <v>349053</v>
          </cell>
          <cell r="D1078" t="str">
            <v>PRO002</v>
          </cell>
          <cell r="F1078" t="str">
            <v>610000004600 &amp; RB5-MI-EE</v>
          </cell>
          <cell r="G1078">
            <v>101034</v>
          </cell>
        </row>
        <row r="1079">
          <cell r="B1079">
            <v>610000004601</v>
          </cell>
          <cell r="C1079">
            <v>349054</v>
          </cell>
          <cell r="D1079" t="str">
            <v>PRO002</v>
          </cell>
          <cell r="F1079" t="str">
            <v>610000004601 &amp; RB5-MI-EE2</v>
          </cell>
          <cell r="G1079">
            <v>101035</v>
          </cell>
        </row>
        <row r="1080">
          <cell r="B1080">
            <v>610000004602</v>
          </cell>
          <cell r="C1080">
            <v>349055</v>
          </cell>
          <cell r="D1080" t="str">
            <v>PRO002</v>
          </cell>
          <cell r="F1080" t="str">
            <v>610000004602 &amp; RB5-MC-EE</v>
          </cell>
          <cell r="G1080">
            <v>101036</v>
          </cell>
        </row>
        <row r="1081">
          <cell r="B1081">
            <v>610000004603</v>
          </cell>
          <cell r="C1081">
            <v>349056</v>
          </cell>
          <cell r="D1081" t="str">
            <v>PRO002</v>
          </cell>
          <cell r="F1081" t="str">
            <v>610000004603 &amp; RB5-NC-EE</v>
          </cell>
          <cell r="G1081">
            <v>101037</v>
          </cell>
        </row>
        <row r="1082">
          <cell r="B1082">
            <v>610000004604</v>
          </cell>
          <cell r="C1082">
            <v>349057</v>
          </cell>
          <cell r="D1082" t="str">
            <v>PRO002</v>
          </cell>
          <cell r="F1082" t="str">
            <v>610000004604 &amp; RB5-QI-EE</v>
          </cell>
          <cell r="G1082">
            <v>101038</v>
          </cell>
        </row>
        <row r="1083">
          <cell r="B1083">
            <v>610000004605</v>
          </cell>
          <cell r="C1083">
            <v>349058</v>
          </cell>
          <cell r="D1083" t="str">
            <v>PRO002</v>
          </cell>
          <cell r="F1083" t="str">
            <v>610000004605 &amp; RB5-YCB-EE</v>
          </cell>
          <cell r="G1083">
            <v>101039</v>
          </cell>
        </row>
        <row r="1084">
          <cell r="B1084">
            <v>610000004606</v>
          </cell>
          <cell r="C1084">
            <v>349059</v>
          </cell>
          <cell r="D1084" t="str">
            <v>PRO002</v>
          </cell>
          <cell r="F1084" t="str">
            <v>610000004606 &amp; RB6-FI-EE</v>
          </cell>
          <cell r="G1084">
            <v>101040</v>
          </cell>
        </row>
        <row r="1085">
          <cell r="B1085">
            <v>610000004566</v>
          </cell>
          <cell r="C1085">
            <v>349148</v>
          </cell>
          <cell r="D1085" t="str">
            <v>PRO001</v>
          </cell>
          <cell r="F1085" t="str">
            <v>610000004566 &amp; RB5-FC-ME</v>
          </cell>
          <cell r="G1085">
            <v>101000</v>
          </cell>
        </row>
        <row r="1086">
          <cell r="B1086">
            <v>342103</v>
          </cell>
          <cell r="C1086">
            <v>350275</v>
          </cell>
          <cell r="D1086" t="str">
            <v>PRO002</v>
          </cell>
          <cell r="F1086" t="str">
            <v>342103 &amp; RB0-QI-EE2</v>
          </cell>
          <cell r="G1086">
            <v>433</v>
          </cell>
        </row>
        <row r="1087">
          <cell r="B1087">
            <v>342110</v>
          </cell>
          <cell r="C1087">
            <v>350302</v>
          </cell>
          <cell r="D1087" t="str">
            <v>PRO001</v>
          </cell>
          <cell r="F1087" t="str">
            <v>342110 &amp; RB1-HI-ME</v>
          </cell>
          <cell r="G1087">
            <v>443</v>
          </cell>
        </row>
        <row r="1088">
          <cell r="B1088">
            <v>342745</v>
          </cell>
          <cell r="C1088">
            <v>351035</v>
          </cell>
          <cell r="D1088" t="str">
            <v>PRO002</v>
          </cell>
          <cell r="F1088" t="str">
            <v>342745 &amp; RB5-YR-EE</v>
          </cell>
          <cell r="G1088">
            <v>641</v>
          </cell>
        </row>
        <row r="1089">
          <cell r="B1089">
            <v>342762</v>
          </cell>
          <cell r="C1089">
            <v>351102</v>
          </cell>
          <cell r="D1089" t="str">
            <v>PRO002</v>
          </cell>
          <cell r="F1089" t="str">
            <v>342762 &amp; RB5-HI-EE</v>
          </cell>
          <cell r="G1089">
            <v>640</v>
          </cell>
        </row>
        <row r="1090">
          <cell r="B1090">
            <v>344291</v>
          </cell>
          <cell r="C1090">
            <v>353041</v>
          </cell>
          <cell r="D1090" t="str">
            <v>PRO002</v>
          </cell>
          <cell r="F1090" t="str">
            <v>344291 &amp; RB4-FC-EE</v>
          </cell>
          <cell r="G1090">
            <v>797</v>
          </cell>
        </row>
        <row r="1091">
          <cell r="B1091">
            <v>344301</v>
          </cell>
          <cell r="C1091">
            <v>353061</v>
          </cell>
          <cell r="D1091" t="str">
            <v>PRO002</v>
          </cell>
          <cell r="F1091" t="str">
            <v>344301 &amp; RB5-FC-EE</v>
          </cell>
          <cell r="G1091">
            <v>798</v>
          </cell>
        </row>
        <row r="1092">
          <cell r="B1092">
            <v>344423</v>
          </cell>
          <cell r="C1092">
            <v>353163</v>
          </cell>
          <cell r="D1092" t="str">
            <v>PRO001</v>
          </cell>
          <cell r="F1092" t="str">
            <v>344423 &amp; RB3-NV-ME</v>
          </cell>
          <cell r="G1092">
            <v>807</v>
          </cell>
        </row>
        <row r="1093">
          <cell r="B1093">
            <v>344486</v>
          </cell>
          <cell r="C1093">
            <v>353226</v>
          </cell>
          <cell r="D1093" t="str">
            <v>PRO001</v>
          </cell>
          <cell r="F1093" t="str">
            <v>344486 &amp; RB1-HC-ME</v>
          </cell>
          <cell r="G1093">
            <v>813</v>
          </cell>
        </row>
        <row r="1094">
          <cell r="B1094">
            <v>352102</v>
          </cell>
          <cell r="C1094">
            <v>365382</v>
          </cell>
          <cell r="D1094" t="str">
            <v>PRO001</v>
          </cell>
          <cell r="F1094" t="str">
            <v>352102 &amp; RB5-HR-ME</v>
          </cell>
          <cell r="G1094">
            <v>1439</v>
          </cell>
        </row>
        <row r="1095">
          <cell r="B1095">
            <v>352898</v>
          </cell>
          <cell r="C1095">
            <v>366189</v>
          </cell>
          <cell r="D1095" t="str">
            <v>PRO001</v>
          </cell>
          <cell r="F1095" t="str">
            <v>352898 &amp; RB1-FC-ME2</v>
          </cell>
          <cell r="G1095">
            <v>1455</v>
          </cell>
        </row>
        <row r="1096">
          <cell r="B1096">
            <v>352899</v>
          </cell>
          <cell r="C1096">
            <v>366190</v>
          </cell>
          <cell r="D1096" t="str">
            <v>PRO002</v>
          </cell>
          <cell r="F1096" t="str">
            <v>352899 &amp; RB0-HI-EE</v>
          </cell>
          <cell r="G1096">
            <v>1456</v>
          </cell>
        </row>
        <row r="1097">
          <cell r="B1097">
            <v>357562</v>
          </cell>
          <cell r="C1097">
            <v>371482</v>
          </cell>
          <cell r="D1097" t="str">
            <v>PRO002</v>
          </cell>
          <cell r="F1097" t="str">
            <v>357562 &amp; RB6-MI-EE2</v>
          </cell>
          <cell r="G1097">
            <v>2073</v>
          </cell>
        </row>
        <row r="1098">
          <cell r="B1098">
            <v>357563</v>
          </cell>
          <cell r="C1098">
            <v>371483</v>
          </cell>
          <cell r="D1098" t="str">
            <v>PRO002</v>
          </cell>
          <cell r="F1098" t="str">
            <v>357563 &amp; RB5-QI-EE2</v>
          </cell>
          <cell r="G1098">
            <v>2074</v>
          </cell>
        </row>
        <row r="1099">
          <cell r="B1099">
            <v>357564</v>
          </cell>
          <cell r="C1099">
            <v>371484</v>
          </cell>
          <cell r="D1099" t="str">
            <v>PRO002</v>
          </cell>
          <cell r="F1099" t="str">
            <v>357564 &amp; RB5-YI-EE</v>
          </cell>
          <cell r="G1099">
            <v>2075</v>
          </cell>
        </row>
        <row r="1100">
          <cell r="B1100">
            <v>357615</v>
          </cell>
          <cell r="C1100">
            <v>371515</v>
          </cell>
          <cell r="D1100" t="str">
            <v>PRO002</v>
          </cell>
          <cell r="F1100" t="str">
            <v>357615 &amp; RB5-MI-EE3</v>
          </cell>
          <cell r="G1100">
            <v>2072</v>
          </cell>
        </row>
        <row r="1101">
          <cell r="B1101">
            <v>357594</v>
          </cell>
          <cell r="C1101">
            <v>371524</v>
          </cell>
          <cell r="D1101" t="str">
            <v>PRO001</v>
          </cell>
          <cell r="F1101" t="str">
            <v>357594 &amp; RB3-YR-ME</v>
          </cell>
          <cell r="G1101">
            <v>2051</v>
          </cell>
        </row>
        <row r="1102">
          <cell r="B1102">
            <v>357595</v>
          </cell>
          <cell r="C1102">
            <v>371525</v>
          </cell>
          <cell r="D1102" t="str">
            <v>PRO002</v>
          </cell>
          <cell r="F1102" t="str">
            <v>357595 &amp; RB6-QI-EE2</v>
          </cell>
          <cell r="G1102">
            <v>2076</v>
          </cell>
        </row>
        <row r="1103">
          <cell r="B1103">
            <v>357596</v>
          </cell>
          <cell r="C1103">
            <v>371526</v>
          </cell>
          <cell r="D1103" t="str">
            <v>PRO002</v>
          </cell>
          <cell r="F1103" t="str">
            <v>357596 &amp; RB6-YI-EE</v>
          </cell>
          <cell r="G1103">
            <v>2077</v>
          </cell>
        </row>
        <row r="1104">
          <cell r="B1104">
            <v>357638</v>
          </cell>
          <cell r="C1104">
            <v>371578</v>
          </cell>
          <cell r="D1104" t="str">
            <v>PRO002</v>
          </cell>
          <cell r="F1104" t="str">
            <v>357638 &amp; RB3-HC-EE</v>
          </cell>
          <cell r="G1104">
            <v>2052</v>
          </cell>
        </row>
        <row r="1105">
          <cell r="B1105">
            <v>357639</v>
          </cell>
          <cell r="C1105">
            <v>371579</v>
          </cell>
          <cell r="D1105" t="str">
            <v>PRO002</v>
          </cell>
          <cell r="F1105" t="str">
            <v>357639 &amp; RB0-HC-EE</v>
          </cell>
          <cell r="G1105">
            <v>2053</v>
          </cell>
        </row>
        <row r="1106">
          <cell r="B1106">
            <v>357721</v>
          </cell>
          <cell r="C1106">
            <v>371681</v>
          </cell>
          <cell r="D1106" t="str">
            <v>PRO002</v>
          </cell>
          <cell r="F1106" t="str">
            <v>357721 &amp; RB1-YCB-EE</v>
          </cell>
          <cell r="G1106">
            <v>2083</v>
          </cell>
        </row>
        <row r="1107">
          <cell r="B1107">
            <v>357722</v>
          </cell>
          <cell r="C1107">
            <v>371682</v>
          </cell>
          <cell r="D1107" t="str">
            <v>PRO002</v>
          </cell>
          <cell r="F1107" t="str">
            <v>357722 &amp; RB6-YCB-EE</v>
          </cell>
          <cell r="G1107">
            <v>2084</v>
          </cell>
        </row>
        <row r="1108">
          <cell r="B1108">
            <v>358792</v>
          </cell>
          <cell r="C1108">
            <v>371692</v>
          </cell>
          <cell r="D1108" t="str">
            <v>PRO002</v>
          </cell>
          <cell r="F1108" t="str">
            <v>&amp; RB3-YCB-EE</v>
          </cell>
          <cell r="G1108">
            <v>2737</v>
          </cell>
        </row>
        <row r="1109">
          <cell r="B1109">
            <v>357731</v>
          </cell>
          <cell r="C1109">
            <v>371701</v>
          </cell>
          <cell r="D1109" t="str">
            <v>PRO002</v>
          </cell>
          <cell r="F1109" t="str">
            <v>357731&amp; RB0-YCB-EE</v>
          </cell>
          <cell r="G1109">
            <v>2085</v>
          </cell>
        </row>
        <row r="1110">
          <cell r="B1110">
            <v>610000004473</v>
          </cell>
          <cell r="C1110">
            <v>348690</v>
          </cell>
          <cell r="D1110" t="str">
            <v>PRO001</v>
          </cell>
          <cell r="F1110" t="str">
            <v>610000004473 &amp; SE5-HL-ME</v>
          </cell>
          <cell r="G1110">
            <v>100907</v>
          </cell>
        </row>
        <row r="1111">
          <cell r="B1111">
            <v>610000004436</v>
          </cell>
          <cell r="C1111">
            <v>348691</v>
          </cell>
          <cell r="D1111" t="str">
            <v>PRO001</v>
          </cell>
          <cell r="F1111" t="str">
            <v>610000004436 &amp; SE0-FL-ME</v>
          </cell>
          <cell r="G1111">
            <v>100870</v>
          </cell>
        </row>
        <row r="1112">
          <cell r="B1112">
            <v>610000004437</v>
          </cell>
          <cell r="C1112">
            <v>348692</v>
          </cell>
          <cell r="D1112" t="str">
            <v>PRO001</v>
          </cell>
          <cell r="F1112" t="str">
            <v>610000004437 &amp; SE0-MI-ME</v>
          </cell>
          <cell r="G1112">
            <v>100871</v>
          </cell>
        </row>
        <row r="1113">
          <cell r="B1113">
            <v>610000004438</v>
          </cell>
          <cell r="C1113">
            <v>348693</v>
          </cell>
          <cell r="D1113" t="str">
            <v>PRO001</v>
          </cell>
          <cell r="F1113" t="str">
            <v>1M - ME RM Loading &amp; Transfer Zone (SE0)</v>
          </cell>
          <cell r="G1113">
            <v>100872</v>
          </cell>
        </row>
        <row r="1114">
          <cell r="B1114">
            <v>610000004439</v>
          </cell>
          <cell r="C1114">
            <v>348694</v>
          </cell>
          <cell r="D1114" t="str">
            <v>PRO001</v>
          </cell>
          <cell r="F1114" t="str">
            <v>610000004439 &amp; SE0-ML-ME</v>
          </cell>
          <cell r="G1114">
            <v>100873</v>
          </cell>
        </row>
        <row r="1115">
          <cell r="B1115">
            <v>610000004440</v>
          </cell>
          <cell r="C1115">
            <v>348695</v>
          </cell>
          <cell r="D1115" t="str">
            <v>PRO001</v>
          </cell>
          <cell r="F1115" t="str">
            <v>610000004440 &amp; SE0-NI-ME</v>
          </cell>
          <cell r="G1115">
            <v>100874</v>
          </cell>
        </row>
        <row r="1116">
          <cell r="B1116">
            <v>610000004441</v>
          </cell>
          <cell r="C1116">
            <v>348696</v>
          </cell>
          <cell r="D1116" t="str">
            <v>PRO001</v>
          </cell>
          <cell r="F1116" t="str">
            <v>610000004441 &amp; SE0-HL-ME</v>
          </cell>
          <cell r="G1116">
            <v>100875</v>
          </cell>
        </row>
        <row r="1117">
          <cell r="B1117">
            <v>610000004442</v>
          </cell>
          <cell r="C1117">
            <v>348697</v>
          </cell>
          <cell r="D1117" t="str">
            <v>PRO001</v>
          </cell>
          <cell r="F1117" t="str">
            <v>610000004442 &amp; SE0-YL-ME</v>
          </cell>
          <cell r="G1117">
            <v>100876</v>
          </cell>
        </row>
        <row r="1118">
          <cell r="B1118">
            <v>610000004443</v>
          </cell>
          <cell r="C1118">
            <v>348698</v>
          </cell>
          <cell r="D1118" t="str">
            <v>PRO001</v>
          </cell>
          <cell r="F1118" t="str">
            <v>610000004443 &amp; SE1-WC-ME</v>
          </cell>
          <cell r="G1118">
            <v>100877</v>
          </cell>
        </row>
        <row r="1119">
          <cell r="B1119">
            <v>610000004444</v>
          </cell>
          <cell r="C1119">
            <v>348699</v>
          </cell>
          <cell r="D1119" t="str">
            <v>PRO001</v>
          </cell>
          <cell r="F1119" t="str">
            <v>610000004444 &amp; SE1-FI-ME</v>
          </cell>
          <cell r="G1119">
            <v>100878</v>
          </cell>
        </row>
        <row r="1120">
          <cell r="B1120">
            <v>610000004445</v>
          </cell>
          <cell r="C1120">
            <v>348700</v>
          </cell>
          <cell r="D1120" t="str">
            <v>PRO001</v>
          </cell>
          <cell r="F1120" t="str">
            <v>610000004445 &amp; SE1-FC-ME</v>
          </cell>
          <cell r="G1120">
            <v>100879</v>
          </cell>
        </row>
        <row r="1121">
          <cell r="B1121">
            <v>610000004446</v>
          </cell>
          <cell r="C1121">
            <v>348701</v>
          </cell>
          <cell r="D1121" t="str">
            <v>PRO001</v>
          </cell>
          <cell r="F1121" t="str">
            <v>610000004446 &amp; SE1-MC-ME</v>
          </cell>
          <cell r="G1121">
            <v>100880</v>
          </cell>
        </row>
        <row r="1122">
          <cell r="B1122">
            <v>610000004447</v>
          </cell>
          <cell r="C1122">
            <v>348702</v>
          </cell>
          <cell r="D1122" t="str">
            <v>PRO001</v>
          </cell>
          <cell r="F1122" t="str">
            <v>610000004447 &amp; SE1-QR-ME</v>
          </cell>
          <cell r="G1122">
            <v>100881</v>
          </cell>
        </row>
        <row r="1123">
          <cell r="B1123">
            <v>610000004448</v>
          </cell>
          <cell r="C1123">
            <v>348703</v>
          </cell>
          <cell r="D1123" t="str">
            <v>PRO001</v>
          </cell>
          <cell r="F1123" t="str">
            <v>610000004448 &amp; SE1-HL-ME</v>
          </cell>
          <cell r="G1123">
            <v>100882</v>
          </cell>
        </row>
        <row r="1124">
          <cell r="B1124">
            <v>610000004449</v>
          </cell>
          <cell r="C1124">
            <v>348704</v>
          </cell>
          <cell r="D1124" t="str">
            <v>PRO001</v>
          </cell>
          <cell r="F1124" t="str">
            <v>610000004449 &amp; SE1-HC-ME</v>
          </cell>
          <cell r="G1124">
            <v>100883</v>
          </cell>
        </row>
        <row r="1125">
          <cell r="B1125">
            <v>610000004450</v>
          </cell>
          <cell r="C1125">
            <v>348705</v>
          </cell>
          <cell r="D1125" t="str">
            <v>PRO001</v>
          </cell>
          <cell r="F1125" t="str">
            <v>610000004450 &amp; SE1-YL-ME</v>
          </cell>
          <cell r="G1125">
            <v>100884</v>
          </cell>
        </row>
        <row r="1126">
          <cell r="B1126">
            <v>610000004451</v>
          </cell>
          <cell r="C1126">
            <v>348706</v>
          </cell>
          <cell r="D1126" t="str">
            <v>PRO001</v>
          </cell>
          <cell r="F1126" t="str">
            <v>610000004451 &amp; SE2-FC-ME</v>
          </cell>
          <cell r="G1126">
            <v>100885</v>
          </cell>
        </row>
        <row r="1127">
          <cell r="B1127">
            <v>610000004452</v>
          </cell>
          <cell r="C1127">
            <v>348707</v>
          </cell>
          <cell r="D1127" t="str">
            <v>PRO001</v>
          </cell>
          <cell r="F1127" t="str">
            <v>610000004452 &amp; SE2-FI-ME</v>
          </cell>
          <cell r="G1127">
            <v>100886</v>
          </cell>
        </row>
        <row r="1128">
          <cell r="B1128">
            <v>610000004453</v>
          </cell>
          <cell r="C1128">
            <v>348708</v>
          </cell>
          <cell r="D1128" t="str">
            <v>PRO001</v>
          </cell>
          <cell r="F1128" t="str">
            <v>610000004453 &amp; SE2-FL-ME</v>
          </cell>
          <cell r="G1128">
            <v>100887</v>
          </cell>
        </row>
        <row r="1129">
          <cell r="B1129">
            <v>610000004492</v>
          </cell>
          <cell r="C1129">
            <v>348709</v>
          </cell>
          <cell r="D1129" t="str">
            <v>PRO002</v>
          </cell>
          <cell r="F1129" t="str">
            <v>610000004492 &amp; SE2-NC-EE</v>
          </cell>
          <cell r="G1129">
            <v>100926</v>
          </cell>
        </row>
        <row r="1130">
          <cell r="B1130">
            <v>610000004493</v>
          </cell>
          <cell r="C1130">
            <v>348710</v>
          </cell>
          <cell r="D1130" t="str">
            <v>PRO002</v>
          </cell>
          <cell r="F1130" t="str">
            <v>610000004493 &amp; SE2-QI-EE</v>
          </cell>
          <cell r="G1130">
            <v>100927</v>
          </cell>
        </row>
        <row r="1131">
          <cell r="B1131">
            <v>610000004494</v>
          </cell>
          <cell r="C1131">
            <v>348711</v>
          </cell>
          <cell r="D1131" t="str">
            <v>PRO002</v>
          </cell>
          <cell r="F1131" t="str">
            <v>610000004494 &amp; SE2-HCB-EE</v>
          </cell>
          <cell r="G1131">
            <v>100928</v>
          </cell>
        </row>
        <row r="1132">
          <cell r="B1132">
            <v>610000004495</v>
          </cell>
          <cell r="C1132">
            <v>348712</v>
          </cell>
          <cell r="D1132" t="str">
            <v>PRO002</v>
          </cell>
          <cell r="F1132" t="str">
            <v>610000004495 &amp; SE3-FI-EE</v>
          </cell>
          <cell r="G1132">
            <v>100929</v>
          </cell>
        </row>
        <row r="1133">
          <cell r="B1133">
            <v>610000004496</v>
          </cell>
          <cell r="C1133">
            <v>348713</v>
          </cell>
          <cell r="D1133" t="str">
            <v>PRO002</v>
          </cell>
          <cell r="F1133" t="str">
            <v>610000004496 &amp; SE3-MI-EE</v>
          </cell>
          <cell r="G1133">
            <v>100930</v>
          </cell>
        </row>
        <row r="1134">
          <cell r="B1134">
            <v>610000004497</v>
          </cell>
          <cell r="C1134">
            <v>348714</v>
          </cell>
          <cell r="D1134" t="str">
            <v>PRO002</v>
          </cell>
          <cell r="F1134" t="str">
            <v>610000004497 &amp; SE3-NC-EE</v>
          </cell>
          <cell r="G1134">
            <v>100931</v>
          </cell>
        </row>
        <row r="1135">
          <cell r="B1135">
            <v>610000004498</v>
          </cell>
          <cell r="C1135">
            <v>348715</v>
          </cell>
          <cell r="D1135" t="str">
            <v>PRO002</v>
          </cell>
          <cell r="F1135" t="str">
            <v>610000004498 &amp; SE3-QI-EE</v>
          </cell>
          <cell r="G1135">
            <v>100932</v>
          </cell>
        </row>
        <row r="1136">
          <cell r="B1136">
            <v>610000004499</v>
          </cell>
          <cell r="C1136">
            <v>348716</v>
          </cell>
          <cell r="D1136" t="str">
            <v>PRO002</v>
          </cell>
          <cell r="F1136" t="str">
            <v>610000004499 &amp; SE4-WC-EE</v>
          </cell>
          <cell r="G1136">
            <v>100933</v>
          </cell>
        </row>
        <row r="1137">
          <cell r="B1137">
            <v>610000004500</v>
          </cell>
          <cell r="C1137">
            <v>348717</v>
          </cell>
          <cell r="D1137" t="str">
            <v>PRO002</v>
          </cell>
          <cell r="F1137" t="str">
            <v>610000004500 &amp; SE4-FI-EE</v>
          </cell>
          <cell r="G1137">
            <v>100934</v>
          </cell>
        </row>
        <row r="1138">
          <cell r="B1138">
            <v>610000004501</v>
          </cell>
          <cell r="C1138">
            <v>348718</v>
          </cell>
          <cell r="D1138" t="str">
            <v>PRO002</v>
          </cell>
          <cell r="F1138" t="str">
            <v>610000004501 &amp; SE4-MI-EE</v>
          </cell>
          <cell r="G1138">
            <v>100935</v>
          </cell>
        </row>
        <row r="1139">
          <cell r="B1139">
            <v>610000004502</v>
          </cell>
          <cell r="C1139">
            <v>348719</v>
          </cell>
          <cell r="D1139" t="str">
            <v>PRO002</v>
          </cell>
          <cell r="F1139" t="str">
            <v>610000004502 &amp; SE4-MI-EE2</v>
          </cell>
          <cell r="G1139">
            <v>100936</v>
          </cell>
        </row>
        <row r="1140">
          <cell r="B1140">
            <v>610000004503</v>
          </cell>
          <cell r="C1140">
            <v>348720</v>
          </cell>
          <cell r="D1140" t="str">
            <v>PRO002</v>
          </cell>
          <cell r="F1140" t="str">
            <v>610000004503 &amp; SE4-NC-EE</v>
          </cell>
          <cell r="G1140">
            <v>100937</v>
          </cell>
        </row>
        <row r="1141">
          <cell r="B1141">
            <v>610000004504</v>
          </cell>
          <cell r="C1141">
            <v>348721</v>
          </cell>
          <cell r="D1141" t="str">
            <v>PRO002</v>
          </cell>
          <cell r="F1141" t="str">
            <v>610000004504 &amp; SE4-QI-EE</v>
          </cell>
          <cell r="G1141">
            <v>100938</v>
          </cell>
        </row>
        <row r="1142">
          <cell r="B1142">
            <v>610000004505</v>
          </cell>
          <cell r="C1142">
            <v>348722</v>
          </cell>
          <cell r="D1142" t="str">
            <v>PRO002</v>
          </cell>
          <cell r="F1142" t="str">
            <v>610000004505 &amp; SE4-HCB-EE</v>
          </cell>
          <cell r="G1142">
            <v>100939</v>
          </cell>
        </row>
        <row r="1143">
          <cell r="B1143">
            <v>610000004506</v>
          </cell>
          <cell r="C1143">
            <v>348723</v>
          </cell>
          <cell r="D1143" t="str">
            <v>PRO002</v>
          </cell>
          <cell r="F1143" t="str">
            <v>610000004506 &amp; SE5-FI-EE</v>
          </cell>
          <cell r="G1143">
            <v>100940</v>
          </cell>
        </row>
        <row r="1144">
          <cell r="B1144">
            <v>610000004507</v>
          </cell>
          <cell r="C1144">
            <v>348724</v>
          </cell>
          <cell r="D1144" t="str">
            <v>PRO002</v>
          </cell>
          <cell r="F1144" t="str">
            <v>610000004507 &amp; SE5-MI-EE</v>
          </cell>
          <cell r="G1144">
            <v>100941</v>
          </cell>
        </row>
        <row r="1145">
          <cell r="B1145">
            <v>610000004508</v>
          </cell>
          <cell r="C1145">
            <v>348725</v>
          </cell>
          <cell r="D1145" t="str">
            <v>PRO002</v>
          </cell>
          <cell r="F1145" t="str">
            <v>610000004508 &amp; SE5-NC-EE</v>
          </cell>
          <cell r="G1145">
            <v>100942</v>
          </cell>
        </row>
        <row r="1146">
          <cell r="B1146">
            <v>610000004509</v>
          </cell>
          <cell r="C1146">
            <v>348726</v>
          </cell>
          <cell r="D1146" t="str">
            <v>PRO002</v>
          </cell>
          <cell r="F1146" t="str">
            <v>610000004509 &amp; SE5-QI-EE</v>
          </cell>
          <cell r="G1146">
            <v>100943</v>
          </cell>
        </row>
        <row r="1147">
          <cell r="B1147">
            <v>610000004510</v>
          </cell>
          <cell r="C1147">
            <v>348727</v>
          </cell>
          <cell r="D1147" t="str">
            <v>PRO002</v>
          </cell>
          <cell r="F1147" t="str">
            <v>610000004510 &amp; SE5-YCB-EE</v>
          </cell>
          <cell r="G1147">
            <v>100944</v>
          </cell>
        </row>
        <row r="1148">
          <cell r="B1148">
            <v>610000004454</v>
          </cell>
          <cell r="C1148">
            <v>348965</v>
          </cell>
          <cell r="D1148" t="str">
            <v>PRO001</v>
          </cell>
          <cell r="F1148" t="str">
            <v>610000004454 &amp; SE2-MI-ME</v>
          </cell>
          <cell r="G1148">
            <v>100888</v>
          </cell>
        </row>
        <row r="1149">
          <cell r="B1149">
            <v>610000004455</v>
          </cell>
          <cell r="C1149">
            <v>348966</v>
          </cell>
          <cell r="D1149" t="str">
            <v>PRO001</v>
          </cell>
          <cell r="F1149" t="str">
            <v>610000004455 &amp; SE2-MV-ME</v>
          </cell>
          <cell r="G1149">
            <v>100889</v>
          </cell>
        </row>
        <row r="1150">
          <cell r="B1150">
            <v>610000004456</v>
          </cell>
          <cell r="C1150">
            <v>348967</v>
          </cell>
          <cell r="D1150" t="str">
            <v>PRO001</v>
          </cell>
          <cell r="F1150" t="str">
            <v>610000004456 &amp; SE2-ML-ME</v>
          </cell>
          <cell r="G1150">
            <v>100890</v>
          </cell>
        </row>
        <row r="1151">
          <cell r="B1151">
            <v>610000004457</v>
          </cell>
          <cell r="C1151">
            <v>348968</v>
          </cell>
          <cell r="D1151" t="str">
            <v>PRO001</v>
          </cell>
          <cell r="F1151" t="str">
            <v>610000004457 &amp; SE2-HL-ME</v>
          </cell>
          <cell r="G1151">
            <v>100891</v>
          </cell>
        </row>
        <row r="1152">
          <cell r="B1152">
            <v>610000004458</v>
          </cell>
          <cell r="C1152">
            <v>348969</v>
          </cell>
          <cell r="D1152" t="str">
            <v>PRO001</v>
          </cell>
          <cell r="F1152" t="str">
            <v>610000004458 &amp; SE2-YR-ME</v>
          </cell>
          <cell r="G1152">
            <v>100892</v>
          </cell>
        </row>
        <row r="1153">
          <cell r="B1153">
            <v>610000004459</v>
          </cell>
          <cell r="C1153">
            <v>348970</v>
          </cell>
          <cell r="D1153" t="str">
            <v>PRO001</v>
          </cell>
          <cell r="F1153" t="str">
            <v>610000004459 &amp; SE3-FI-ME</v>
          </cell>
          <cell r="G1153">
            <v>100893</v>
          </cell>
        </row>
        <row r="1154">
          <cell r="B1154">
            <v>610000004460</v>
          </cell>
          <cell r="C1154">
            <v>348971</v>
          </cell>
          <cell r="D1154" t="str">
            <v>PRO001</v>
          </cell>
          <cell r="F1154" t="str">
            <v>610000004460 &amp; SE3-FL-ME</v>
          </cell>
          <cell r="G1154">
            <v>100894</v>
          </cell>
        </row>
        <row r="1155">
          <cell r="B1155">
            <v>610000004461</v>
          </cell>
          <cell r="C1155">
            <v>348972</v>
          </cell>
          <cell r="D1155" t="str">
            <v>PRO001</v>
          </cell>
          <cell r="F1155" t="str">
            <v>610000004461 &amp; SE3-MI-ME</v>
          </cell>
          <cell r="G1155">
            <v>100895</v>
          </cell>
        </row>
        <row r="1156">
          <cell r="B1156">
            <v>610000004462</v>
          </cell>
          <cell r="C1156">
            <v>348973</v>
          </cell>
          <cell r="D1156" t="str">
            <v>PRO001</v>
          </cell>
          <cell r="F1156" t="str">
            <v>610000004462 &amp; SE3-ML-ME</v>
          </cell>
          <cell r="G1156">
            <v>100896</v>
          </cell>
        </row>
        <row r="1157">
          <cell r="B1157">
            <v>610000004463</v>
          </cell>
          <cell r="C1157">
            <v>348974</v>
          </cell>
          <cell r="D1157" t="str">
            <v>PRO001</v>
          </cell>
          <cell r="F1157" t="str">
            <v>610000004463 &amp; SE3-NI-ME</v>
          </cell>
          <cell r="G1157">
            <v>100897</v>
          </cell>
        </row>
        <row r="1158">
          <cell r="B1158">
            <v>610000004464</v>
          </cell>
          <cell r="C1158">
            <v>348975</v>
          </cell>
          <cell r="D1158" t="str">
            <v>PRO001</v>
          </cell>
          <cell r="F1158" t="str">
            <v>610000004464 &amp; SE3-NL-ME</v>
          </cell>
          <cell r="G1158">
            <v>100898</v>
          </cell>
        </row>
        <row r="1159">
          <cell r="B1159">
            <v>610000004465</v>
          </cell>
          <cell r="C1159">
            <v>348976</v>
          </cell>
          <cell r="D1159" t="str">
            <v>PRO001</v>
          </cell>
          <cell r="F1159" t="str">
            <v>610000004465 &amp; SE3-QR-ME</v>
          </cell>
          <cell r="G1159">
            <v>100899</v>
          </cell>
        </row>
        <row r="1160">
          <cell r="B1160">
            <v>610000004466</v>
          </cell>
          <cell r="C1160">
            <v>348977</v>
          </cell>
          <cell r="D1160" t="str">
            <v>PRO001</v>
          </cell>
          <cell r="F1160" t="str">
            <v>610000004466 &amp; SE3-HL-ME</v>
          </cell>
          <cell r="G1160">
            <v>100900</v>
          </cell>
        </row>
        <row r="1161">
          <cell r="B1161">
            <v>610000004467</v>
          </cell>
          <cell r="C1161">
            <v>348978</v>
          </cell>
          <cell r="D1161" t="str">
            <v>PRO001</v>
          </cell>
          <cell r="F1161" t="str">
            <v>610000004467 &amp; SE3-YL-ME</v>
          </cell>
          <cell r="G1161">
            <v>100901</v>
          </cell>
        </row>
        <row r="1162">
          <cell r="B1162">
            <v>610000004468</v>
          </cell>
          <cell r="C1162">
            <v>348979</v>
          </cell>
          <cell r="D1162" t="str">
            <v>PRO001</v>
          </cell>
          <cell r="F1162" t="str">
            <v>610000004468 &amp; SE4-ML-ME</v>
          </cell>
          <cell r="G1162">
            <v>100902</v>
          </cell>
        </row>
        <row r="1163">
          <cell r="B1163">
            <v>610000004469</v>
          </cell>
          <cell r="C1163">
            <v>348980</v>
          </cell>
          <cell r="D1163" t="str">
            <v>PRO001</v>
          </cell>
          <cell r="F1163" t="str">
            <v>610000004469 &amp; SE4-MI-ME</v>
          </cell>
          <cell r="G1163">
            <v>100903</v>
          </cell>
        </row>
        <row r="1164">
          <cell r="B1164">
            <v>610000004470</v>
          </cell>
          <cell r="C1164">
            <v>348981</v>
          </cell>
          <cell r="D1164" t="str">
            <v>PRO001</v>
          </cell>
          <cell r="F1164" t="str">
            <v>610000004470 &amp; SE4-ML-ME</v>
          </cell>
          <cell r="G1164">
            <v>100904</v>
          </cell>
        </row>
        <row r="1165">
          <cell r="B1165">
            <v>610000004471</v>
          </cell>
          <cell r="C1165">
            <v>348982</v>
          </cell>
          <cell r="D1165" t="str">
            <v>PRO001</v>
          </cell>
          <cell r="F1165" t="str">
            <v>610000004471 &amp; SE5-MI-ME</v>
          </cell>
          <cell r="G1165">
            <v>100905</v>
          </cell>
        </row>
        <row r="1166">
          <cell r="B1166">
            <v>610000004472</v>
          </cell>
          <cell r="C1166">
            <v>348983</v>
          </cell>
          <cell r="D1166" t="str">
            <v>PRO001</v>
          </cell>
          <cell r="F1166" t="str">
            <v>610000004472 &amp; SE5-ML-ME</v>
          </cell>
          <cell r="G1166">
            <v>100906</v>
          </cell>
        </row>
        <row r="1167">
          <cell r="B1167">
            <v>610000004474</v>
          </cell>
          <cell r="C1167">
            <v>348984</v>
          </cell>
          <cell r="D1167" t="str">
            <v>PRO001</v>
          </cell>
          <cell r="F1167" t="str">
            <v>610000004474 &amp; SE6-MI-ME</v>
          </cell>
          <cell r="G1167">
            <v>100908</v>
          </cell>
        </row>
        <row r="1168">
          <cell r="B1168">
            <v>610000004475</v>
          </cell>
          <cell r="C1168">
            <v>348985</v>
          </cell>
          <cell r="D1168" t="str">
            <v>PRO001</v>
          </cell>
          <cell r="F1168" t="str">
            <v>610000004475 &amp; SE6-ML-ME</v>
          </cell>
          <cell r="G1168">
            <v>100909</v>
          </cell>
        </row>
        <row r="1169">
          <cell r="B1169">
            <v>610000004476</v>
          </cell>
          <cell r="C1169">
            <v>348986</v>
          </cell>
          <cell r="D1169" t="str">
            <v>PRO001</v>
          </cell>
          <cell r="F1169" t="str">
            <v>610000004476 &amp; SE6-HL-ME</v>
          </cell>
          <cell r="G1169">
            <v>100910</v>
          </cell>
        </row>
        <row r="1170">
          <cell r="B1170">
            <v>610000004477</v>
          </cell>
          <cell r="C1170">
            <v>348987</v>
          </cell>
          <cell r="D1170" t="str">
            <v>PRO002</v>
          </cell>
          <cell r="F1170" t="str">
            <v>610000004477 &amp; SE0-FI-EE</v>
          </cell>
          <cell r="G1170">
            <v>100911</v>
          </cell>
        </row>
        <row r="1171">
          <cell r="B1171">
            <v>610000004478</v>
          </cell>
          <cell r="C1171">
            <v>348988</v>
          </cell>
          <cell r="D1171" t="str">
            <v>PRO002</v>
          </cell>
          <cell r="F1171" t="str">
            <v>610000004478 &amp; SE0-MI-EE</v>
          </cell>
          <cell r="G1171">
            <v>100912</v>
          </cell>
        </row>
        <row r="1172">
          <cell r="B1172">
            <v>610000004479</v>
          </cell>
          <cell r="C1172">
            <v>348989</v>
          </cell>
          <cell r="D1172" t="str">
            <v>PRO002</v>
          </cell>
          <cell r="F1172" t="str">
            <v>610000004479 &amp; SE0-NC-EE</v>
          </cell>
          <cell r="G1172">
            <v>100913</v>
          </cell>
        </row>
        <row r="1173">
          <cell r="B1173">
            <v>610000004480</v>
          </cell>
          <cell r="C1173">
            <v>348990</v>
          </cell>
          <cell r="D1173" t="str">
            <v>PRO002</v>
          </cell>
          <cell r="F1173" t="str">
            <v>610000004480 &amp; SE0-QI-EE</v>
          </cell>
          <cell r="G1173">
            <v>100914</v>
          </cell>
        </row>
        <row r="1174">
          <cell r="B1174">
            <v>610000004481</v>
          </cell>
          <cell r="C1174">
            <v>348991</v>
          </cell>
          <cell r="D1174" t="str">
            <v>PRO002</v>
          </cell>
          <cell r="F1174" t="str">
            <v>610000004481 &amp; SE1-FI-EE</v>
          </cell>
          <cell r="G1174">
            <v>100915</v>
          </cell>
        </row>
        <row r="1175">
          <cell r="B1175">
            <v>610000004482</v>
          </cell>
          <cell r="C1175">
            <v>348992</v>
          </cell>
          <cell r="D1175" t="str">
            <v>PRO002</v>
          </cell>
          <cell r="F1175" t="str">
            <v>610000004482 &amp; SE1-FI-EE2</v>
          </cell>
          <cell r="G1175">
            <v>100916</v>
          </cell>
        </row>
        <row r="1176">
          <cell r="B1176">
            <v>610000004483</v>
          </cell>
          <cell r="C1176">
            <v>348993</v>
          </cell>
          <cell r="D1176" t="str">
            <v>PRO002</v>
          </cell>
          <cell r="F1176" t="str">
            <v>610000004483 &amp; SE1-MC-EE</v>
          </cell>
          <cell r="G1176">
            <v>100917</v>
          </cell>
        </row>
        <row r="1177">
          <cell r="B1177">
            <v>610000004484</v>
          </cell>
          <cell r="C1177">
            <v>348994</v>
          </cell>
          <cell r="D1177" t="str">
            <v>PRO002</v>
          </cell>
          <cell r="F1177" t="str">
            <v>610000004484 &amp; SE1-MI-EE</v>
          </cell>
          <cell r="G1177">
            <v>100918</v>
          </cell>
        </row>
        <row r="1178">
          <cell r="B1178">
            <v>610000004485</v>
          </cell>
          <cell r="C1178">
            <v>348995</v>
          </cell>
          <cell r="D1178" t="str">
            <v>PRO002</v>
          </cell>
          <cell r="F1178" t="str">
            <v>610000004485 &amp; SE1-NI-EE</v>
          </cell>
          <cell r="G1178">
            <v>100919</v>
          </cell>
        </row>
        <row r="1179">
          <cell r="B1179">
            <v>610000004486</v>
          </cell>
          <cell r="C1179">
            <v>348996</v>
          </cell>
          <cell r="D1179" t="str">
            <v>PRO002</v>
          </cell>
          <cell r="F1179" t="str">
            <v>610000004486 &amp; SE1-NC-EE</v>
          </cell>
          <cell r="G1179">
            <v>100920</v>
          </cell>
        </row>
        <row r="1180">
          <cell r="B1180">
            <v>610000004487</v>
          </cell>
          <cell r="C1180">
            <v>348997</v>
          </cell>
          <cell r="D1180" t="str">
            <v>PRO002</v>
          </cell>
          <cell r="F1180" t="str">
            <v>610000004487 &amp; SE1-QI-EE</v>
          </cell>
          <cell r="G1180">
            <v>100921</v>
          </cell>
        </row>
        <row r="1181">
          <cell r="B1181">
            <v>610000004488</v>
          </cell>
          <cell r="C1181">
            <v>348998</v>
          </cell>
          <cell r="D1181" t="str">
            <v>PRO002</v>
          </cell>
          <cell r="F1181" t="str">
            <v>610000004488 &amp; SE2-FI-EE</v>
          </cell>
          <cell r="G1181">
            <v>100922</v>
          </cell>
        </row>
        <row r="1182">
          <cell r="B1182">
            <v>610000004489</v>
          </cell>
          <cell r="C1182">
            <v>348999</v>
          </cell>
          <cell r="D1182" t="str">
            <v>PRO002</v>
          </cell>
          <cell r="F1182" t="str">
            <v>610000004489 &amp; SE2-MC-EE</v>
          </cell>
          <cell r="G1182">
            <v>100923</v>
          </cell>
        </row>
        <row r="1183">
          <cell r="B1183">
            <v>610000004490</v>
          </cell>
          <cell r="C1183">
            <v>349000</v>
          </cell>
          <cell r="D1183" t="str">
            <v>PRO002</v>
          </cell>
          <cell r="F1183" t="str">
            <v>610000004490 &amp; SE2-MI-EE</v>
          </cell>
          <cell r="G1183">
            <v>100924</v>
          </cell>
        </row>
        <row r="1184">
          <cell r="B1184">
            <v>610000004491</v>
          </cell>
          <cell r="C1184">
            <v>349001</v>
          </cell>
          <cell r="D1184" t="str">
            <v>PRO002</v>
          </cell>
          <cell r="F1184" t="str">
            <v>610000004491 &amp; SE2-NI-EE</v>
          </cell>
          <cell r="G1184">
            <v>100925</v>
          </cell>
        </row>
        <row r="1185">
          <cell r="B1185">
            <v>610000004511</v>
          </cell>
          <cell r="C1185">
            <v>349002</v>
          </cell>
          <cell r="D1185" t="str">
            <v>PRO002</v>
          </cell>
          <cell r="F1185" t="str">
            <v>610000004511 &amp; SE6-FI-EE</v>
          </cell>
          <cell r="G1185">
            <v>100945</v>
          </cell>
        </row>
        <row r="1186">
          <cell r="B1186">
            <v>610000004512</v>
          </cell>
          <cell r="C1186">
            <v>349003</v>
          </cell>
          <cell r="D1186" t="str">
            <v>PRO002</v>
          </cell>
          <cell r="F1186" t="str">
            <v>610000004512 &amp; SE6-MI-EE</v>
          </cell>
          <cell r="G1186">
            <v>100946</v>
          </cell>
        </row>
        <row r="1187">
          <cell r="B1187">
            <v>610000004513</v>
          </cell>
          <cell r="C1187">
            <v>349004</v>
          </cell>
          <cell r="D1187" t="str">
            <v>PRO002</v>
          </cell>
          <cell r="F1187" t="str">
            <v>610000004513 &amp; SE6-NC-EE</v>
          </cell>
          <cell r="G1187">
            <v>100947</v>
          </cell>
        </row>
        <row r="1188">
          <cell r="B1188">
            <v>610000004514</v>
          </cell>
          <cell r="C1188">
            <v>349005</v>
          </cell>
          <cell r="D1188" t="str">
            <v>PRO002</v>
          </cell>
          <cell r="F1188" t="str">
            <v>610000004514 &amp; SE6-QI-EE</v>
          </cell>
          <cell r="G1188">
            <v>100948</v>
          </cell>
        </row>
        <row r="1189">
          <cell r="B1189">
            <v>610000004435</v>
          </cell>
          <cell r="C1189">
            <v>349168</v>
          </cell>
          <cell r="D1189" t="str">
            <v>PRO001</v>
          </cell>
          <cell r="F1189" t="str">
            <v>610000004435 &amp; SE0-FI-ME</v>
          </cell>
          <cell r="G1189">
            <v>100869</v>
          </cell>
        </row>
        <row r="1190">
          <cell r="B1190">
            <v>342107</v>
          </cell>
          <cell r="C1190">
            <v>350279</v>
          </cell>
          <cell r="D1190" t="str">
            <v>PRO001</v>
          </cell>
          <cell r="F1190" t="str">
            <v>342107 &amp; SE1-HI-ME</v>
          </cell>
          <cell r="G1190">
            <v>440</v>
          </cell>
        </row>
        <row r="1191">
          <cell r="B1191">
            <v>342282</v>
          </cell>
          <cell r="C1191">
            <v>350432</v>
          </cell>
          <cell r="D1191" t="str">
            <v>PRO002</v>
          </cell>
          <cell r="F1191" t="str">
            <v>342282 &amp; SE4-FC-EE</v>
          </cell>
          <cell r="G1191">
            <v>459</v>
          </cell>
        </row>
        <row r="1192">
          <cell r="B1192">
            <v>342346</v>
          </cell>
          <cell r="C1192">
            <v>350526</v>
          </cell>
          <cell r="D1192" t="str">
            <v>PRO002</v>
          </cell>
          <cell r="F1192" t="str">
            <v>342346 &amp; SE4-HC-EE</v>
          </cell>
          <cell r="G1192">
            <v>494</v>
          </cell>
        </row>
        <row r="1193">
          <cell r="B1193">
            <v>342854</v>
          </cell>
          <cell r="C1193">
            <v>351204</v>
          </cell>
          <cell r="D1193" t="str">
            <v>PRO002</v>
          </cell>
          <cell r="F1193" t="str">
            <v>342854 &amp; SE4-HCB-EE</v>
          </cell>
          <cell r="G1193">
            <v>100939</v>
          </cell>
        </row>
        <row r="1194">
          <cell r="B1194">
            <v>343322</v>
          </cell>
          <cell r="C1194">
            <v>351742</v>
          </cell>
          <cell r="D1194" t="str">
            <v>PRO001</v>
          </cell>
          <cell r="F1194" t="str">
            <v>343322 &amp; SE2-HI-ME</v>
          </cell>
          <cell r="G1194">
            <v>710</v>
          </cell>
        </row>
        <row r="1195">
          <cell r="B1195">
            <v>344487</v>
          </cell>
          <cell r="C1195">
            <v>353227</v>
          </cell>
          <cell r="D1195" t="str">
            <v>PRO001</v>
          </cell>
          <cell r="F1195" t="str">
            <v>344487 &amp; SE1-HC-ME</v>
          </cell>
          <cell r="G1195">
            <v>814</v>
          </cell>
        </row>
        <row r="1196">
          <cell r="B1196">
            <v>352897</v>
          </cell>
          <cell r="C1196">
            <v>366188</v>
          </cell>
          <cell r="D1196" t="str">
            <v>PRO001</v>
          </cell>
          <cell r="F1196" t="str">
            <v>352897 &amp; SE2-YR-ME2</v>
          </cell>
          <cell r="G1196">
            <v>1453</v>
          </cell>
        </row>
        <row r="1197">
          <cell r="B1197">
            <v>355585</v>
          </cell>
          <cell r="C1197">
            <v>368865</v>
          </cell>
          <cell r="D1197" t="str">
            <v>PRO002</v>
          </cell>
          <cell r="F1197" t="str">
            <v>355585 &amp; SE4-QC-EE</v>
          </cell>
          <cell r="G1197">
            <v>1470</v>
          </cell>
        </row>
        <row r="1198">
          <cell r="B1198">
            <v>355586</v>
          </cell>
          <cell r="C1198">
            <v>368866</v>
          </cell>
          <cell r="D1198" t="str">
            <v>PRO002</v>
          </cell>
          <cell r="F1198" t="str">
            <v>355586 &amp; SE4-HR-EE</v>
          </cell>
          <cell r="G1198">
            <v>1471</v>
          </cell>
        </row>
        <row r="1199">
          <cell r="B1199">
            <v>356691</v>
          </cell>
          <cell r="C1199">
            <v>370141</v>
          </cell>
          <cell r="D1199" t="str">
            <v>PRO002</v>
          </cell>
          <cell r="F1199" t="str">
            <v>356691 &amp; SE2-YI-EE</v>
          </cell>
          <cell r="G1199">
            <v>1614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P"/>
      <sheetName val="BCP"/>
      <sheetName val="Frypack"/>
      <sheetName val="Schaaf#2"/>
      <sheetName val="Stax"/>
      <sheetName val="PC50MZ"/>
      <sheetName val="PC14"/>
      <sheetName val="Schaaf"/>
      <sheetName val="RBS"/>
      <sheetName val="Pellet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D6">
            <v>345664</v>
          </cell>
          <cell r="F6" t="str">
            <v>ST0-FI-ME</v>
          </cell>
          <cell r="G6" t="str">
            <v>Flour Storage Tank</v>
          </cell>
          <cell r="H6" t="str">
            <v>ตรวจเช็คการรั่วของแป้งจาก Flour Storage Hopper</v>
          </cell>
          <cell r="I6">
            <v>15</v>
          </cell>
          <cell r="J6">
            <v>30</v>
          </cell>
          <cell r="K6">
            <v>1</v>
          </cell>
        </row>
        <row r="7">
          <cell r="D7">
            <v>345664</v>
          </cell>
          <cell r="F7" t="str">
            <v>ST0-FI-ME</v>
          </cell>
          <cell r="G7" t="str">
            <v>Flour Mixer</v>
          </cell>
          <cell r="H7" t="str">
            <v>ตรวจเช็คการรั่วของแป้งจาก Flour Mixer</v>
          </cell>
          <cell r="I7">
            <v>15</v>
          </cell>
        </row>
        <row r="8">
          <cell r="D8">
            <v>345664</v>
          </cell>
          <cell r="F8" t="str">
            <v>ST0-FI-ME</v>
          </cell>
          <cell r="G8" t="str">
            <v>Flour Mixer</v>
          </cell>
          <cell r="H8" t="str">
            <v>ตรวจเช็คการรั่วของลมข้อต่อ Cylinder เปิด-ปิด Flour Mixer</v>
          </cell>
          <cell r="I8">
            <v>15</v>
          </cell>
        </row>
        <row r="9">
          <cell r="D9">
            <v>345664</v>
          </cell>
          <cell r="F9" t="str">
            <v>ST0-FI-ME</v>
          </cell>
          <cell r="G9" t="str">
            <v>Flour Mixer</v>
          </cell>
          <cell r="H9" t="str">
            <v>ตรวจเช็คการอุดตันของลมเป่าเพลาใบกวนใน Flour Mixer</v>
          </cell>
          <cell r="I9">
            <v>15</v>
          </cell>
          <cell r="J9">
            <v>30</v>
          </cell>
          <cell r="K9">
            <v>1</v>
          </cell>
        </row>
        <row r="10">
          <cell r="D10">
            <v>345664</v>
          </cell>
          <cell r="F10" t="str">
            <v>ST0-FI-ME</v>
          </cell>
          <cell r="G10" t="str">
            <v>Flour Storage Tank</v>
          </cell>
          <cell r="H10" t="str">
            <v>ตรวจเช็คการรั่วของแป้งจาก Storage Tank</v>
          </cell>
          <cell r="I10">
            <v>15</v>
          </cell>
        </row>
        <row r="11">
          <cell r="D11">
            <v>345664</v>
          </cell>
          <cell r="F11" t="str">
            <v>ST0-FI-ME</v>
          </cell>
          <cell r="G11" t="str">
            <v>Pneumatic Conveyor</v>
          </cell>
          <cell r="H11" t="str">
            <v>ตรวจเช็คการทำงานของ Vacuum Pump</v>
          </cell>
          <cell r="I11">
            <v>15</v>
          </cell>
        </row>
        <row r="12">
          <cell r="D12">
            <v>345664</v>
          </cell>
          <cell r="F12" t="str">
            <v>ST0-FI-ME</v>
          </cell>
          <cell r="G12" t="str">
            <v>Pneumatic Conveyor</v>
          </cell>
          <cell r="H12" t="str">
            <v>ตรวจเช็คการรั่วของลมข้อต่อ Vacuum Pump</v>
          </cell>
          <cell r="I12">
            <v>15</v>
          </cell>
        </row>
        <row r="13">
          <cell r="D13">
            <v>345664</v>
          </cell>
          <cell r="F13" t="str">
            <v>ST0-FI-ME</v>
          </cell>
          <cell r="G13" t="str">
            <v>Rotary Sieve</v>
          </cell>
          <cell r="H13" t="str">
            <v>ตรวจเช็คการรั่วของแป้งจาก Rotary Sieve</v>
          </cell>
          <cell r="I13">
            <v>15</v>
          </cell>
        </row>
        <row r="14">
          <cell r="D14">
            <v>345664</v>
          </cell>
          <cell r="F14" t="str">
            <v>ST0-FI-ME</v>
          </cell>
          <cell r="G14" t="str">
            <v>Pneumatic Conveyor</v>
          </cell>
          <cell r="H14" t="str">
            <v>ตรวจเช็คการรั่วของแป้งจาก Pneumatic Conveyor</v>
          </cell>
          <cell r="I14">
            <v>15</v>
          </cell>
        </row>
        <row r="15">
          <cell r="D15">
            <v>345665</v>
          </cell>
          <cell r="F15" t="str">
            <v>ST0-FC-ME</v>
          </cell>
          <cell r="G15" t="str">
            <v>Pneumatic Conveyor</v>
          </cell>
          <cell r="H15" t="str">
            <v>ทำความสะอาด Filter Vacuum Pump</v>
          </cell>
          <cell r="I15">
            <v>15</v>
          </cell>
          <cell r="J15">
            <v>60</v>
          </cell>
          <cell r="K15">
            <v>1</v>
          </cell>
        </row>
        <row r="16">
          <cell r="D16">
            <v>345666</v>
          </cell>
          <cell r="E16">
            <v>100688</v>
          </cell>
          <cell r="F16" t="str">
            <v>ST0-FL-ME</v>
          </cell>
          <cell r="G16" t="str">
            <v>Flour Mixer Charge Screw #1</v>
          </cell>
          <cell r="H16" t="str">
            <v>อัดจาระบี Bearing Screw Charge #1 1 จุด</v>
          </cell>
          <cell r="I16">
            <v>15</v>
          </cell>
          <cell r="J16">
            <v>30</v>
          </cell>
          <cell r="K16">
            <v>1</v>
          </cell>
        </row>
        <row r="17">
          <cell r="D17">
            <v>345666</v>
          </cell>
          <cell r="E17">
            <v>100688</v>
          </cell>
          <cell r="F17" t="str">
            <v>ST0-FL-ME</v>
          </cell>
          <cell r="G17" t="str">
            <v>Flour Mixer Charge Screw #2</v>
          </cell>
          <cell r="H17" t="str">
            <v>อัดจาระบี Bearing Screw Charge #2 1 จุด</v>
          </cell>
          <cell r="I17">
            <v>15</v>
          </cell>
        </row>
        <row r="18">
          <cell r="D18">
            <v>345666</v>
          </cell>
          <cell r="E18">
            <v>100688</v>
          </cell>
          <cell r="F18" t="str">
            <v>ST0-FL-ME</v>
          </cell>
          <cell r="G18" t="str">
            <v>Flour Mixer Charge Screw #3</v>
          </cell>
          <cell r="H18" t="str">
            <v>อัดจาระบี Bearing Screw Charge #3 1 จุด</v>
          </cell>
          <cell r="I18">
            <v>15</v>
          </cell>
        </row>
        <row r="19">
          <cell r="D19">
            <v>345666</v>
          </cell>
          <cell r="E19">
            <v>100688</v>
          </cell>
          <cell r="F19" t="str">
            <v>ST0-FL-ME</v>
          </cell>
          <cell r="G19" t="str">
            <v>Flour Mixer</v>
          </cell>
          <cell r="H19" t="str">
            <v>อัดจาระบี Bearing Flour Mixer 4 จุด</v>
          </cell>
          <cell r="I19">
            <v>15</v>
          </cell>
          <cell r="J19">
            <v>30</v>
          </cell>
          <cell r="K19">
            <v>1</v>
          </cell>
        </row>
        <row r="20">
          <cell r="D20">
            <v>345666</v>
          </cell>
          <cell r="E20">
            <v>100688</v>
          </cell>
          <cell r="F20" t="str">
            <v>ST0-FL-ME</v>
          </cell>
          <cell r="G20" t="str">
            <v>Flour Mixer</v>
          </cell>
          <cell r="H20" t="str">
            <v>อัดจาระบี Bearing Motor ขับ Flour Mixer 2 จุด</v>
          </cell>
          <cell r="I20">
            <v>15</v>
          </cell>
        </row>
        <row r="21">
          <cell r="D21">
            <v>345666</v>
          </cell>
          <cell r="E21">
            <v>100688</v>
          </cell>
          <cell r="F21" t="str">
            <v>ST0-FL-ME</v>
          </cell>
          <cell r="G21" t="str">
            <v>Flour Discharge Horizental Screw</v>
          </cell>
          <cell r="H21" t="str">
            <v>อัดจาระบี Storage Tank Discharge Horizontal Screw 1 จุด</v>
          </cell>
          <cell r="I21">
            <v>15</v>
          </cell>
        </row>
        <row r="22">
          <cell r="D22">
            <v>345666</v>
          </cell>
          <cell r="E22">
            <v>100688</v>
          </cell>
          <cell r="F22" t="str">
            <v>ST0-FL-ME</v>
          </cell>
          <cell r="G22" t="str">
            <v>Flour Discharge Vertical Screw</v>
          </cell>
          <cell r="H22" t="str">
            <v>อัดจาระบี Storage Tank Discharge Vertical Screw 1 จุด</v>
          </cell>
          <cell r="I22">
            <v>15</v>
          </cell>
        </row>
        <row r="23">
          <cell r="D23">
            <v>345666</v>
          </cell>
          <cell r="E23">
            <v>100688</v>
          </cell>
          <cell r="F23" t="str">
            <v>ST0-FL-ME</v>
          </cell>
          <cell r="G23" t="str">
            <v>Rotary Sieve</v>
          </cell>
          <cell r="H23" t="str">
            <v>อัดจาระบี Rotary Sieve 2 จุด</v>
          </cell>
          <cell r="I23">
            <v>15</v>
          </cell>
        </row>
        <row r="24">
          <cell r="D24">
            <v>345666</v>
          </cell>
          <cell r="E24">
            <v>100688</v>
          </cell>
          <cell r="F24" t="str">
            <v>ST0-FL-ME</v>
          </cell>
          <cell r="G24" t="str">
            <v>Rotary Sieve</v>
          </cell>
          <cell r="H24" t="str">
            <v>อัดจาระบี Bearing ใต้ Rotary Sieve 2 จุด</v>
          </cell>
          <cell r="I24">
            <v>15</v>
          </cell>
        </row>
        <row r="25">
          <cell r="D25">
            <v>345891</v>
          </cell>
          <cell r="F25" t="str">
            <v>ST0-MV-ME</v>
          </cell>
          <cell r="G25" t="str">
            <v>Flour Mixer</v>
          </cell>
          <cell r="H25" t="str">
            <v>ตรวจวัดค่า Vibration Flour Mixer</v>
          </cell>
          <cell r="I25">
            <v>30</v>
          </cell>
          <cell r="J25">
            <v>10</v>
          </cell>
          <cell r="K25">
            <v>1</v>
          </cell>
        </row>
        <row r="26">
          <cell r="D26">
            <v>345862</v>
          </cell>
          <cell r="E26">
            <v>100690</v>
          </cell>
          <cell r="F26" t="str">
            <v>ST0-HL-ME</v>
          </cell>
          <cell r="G26" t="str">
            <v>Flour Mixer Charge Screw #1</v>
          </cell>
          <cell r="H26" t="str">
            <v>เติมจาระบี Gear Screw Charge #1</v>
          </cell>
          <cell r="I26">
            <v>180</v>
          </cell>
          <cell r="J26">
            <v>10</v>
          </cell>
        </row>
        <row r="27">
          <cell r="D27">
            <v>345862</v>
          </cell>
          <cell r="E27">
            <v>100690</v>
          </cell>
          <cell r="F27" t="str">
            <v>ST0-HL-ME</v>
          </cell>
          <cell r="G27" t="str">
            <v>Flour Mixer Charge Screw #2</v>
          </cell>
          <cell r="H27" t="str">
            <v>เติมจาระบี Gear Screw Charge #2</v>
          </cell>
          <cell r="I27">
            <v>180</v>
          </cell>
          <cell r="J27">
            <v>10</v>
          </cell>
          <cell r="K27">
            <v>1</v>
          </cell>
        </row>
        <row r="28">
          <cell r="D28">
            <v>345862</v>
          </cell>
          <cell r="E28">
            <v>100690</v>
          </cell>
          <cell r="F28" t="str">
            <v>ST0-HL-ME</v>
          </cell>
          <cell r="G28" t="str">
            <v>Flour Mixer Charge Screw #3</v>
          </cell>
          <cell r="H28" t="str">
            <v>เติมจาระบี Gear Screw Charge #3</v>
          </cell>
          <cell r="I28">
            <v>180</v>
          </cell>
        </row>
        <row r="29">
          <cell r="D29">
            <v>350690</v>
          </cell>
          <cell r="E29">
            <v>1410</v>
          </cell>
          <cell r="F29" t="str">
            <v>ST0-HR-ME</v>
          </cell>
          <cell r="G29" t="str">
            <v>Flour Mixer</v>
          </cell>
          <cell r="H29" t="str">
            <v xml:space="preserve">เปลี่ยนปะเก็นเชือกและ oil seal ของชุด Agitator </v>
          </cell>
          <cell r="I29">
            <v>180</v>
          </cell>
          <cell r="J29">
            <v>240</v>
          </cell>
          <cell r="K29">
            <v>3</v>
          </cell>
        </row>
        <row r="30">
          <cell r="D30">
            <v>350841</v>
          </cell>
          <cell r="E30">
            <v>1411</v>
          </cell>
          <cell r="F30" t="str">
            <v>ST0-HL-ME2</v>
          </cell>
          <cell r="G30" t="str">
            <v>Flour Mixer</v>
          </cell>
          <cell r="H30" t="str">
            <v>เปลี่ยนน้ำมันเกียร์ Flour Mixer</v>
          </cell>
          <cell r="I30">
            <v>180</v>
          </cell>
          <cell r="J30">
            <v>30</v>
          </cell>
          <cell r="K30">
            <v>2</v>
          </cell>
        </row>
        <row r="31">
          <cell r="D31">
            <v>345667</v>
          </cell>
          <cell r="F31" t="str">
            <v>ST1-WC-ME</v>
          </cell>
          <cell r="G31" t="str">
            <v>RO Unit</v>
          </cell>
          <cell r="H31" t="str">
            <v>ทำความสะอาดถังกรองคาร์บอนด้วยการ Back Flush พร้อมจดค่า Meter น้ำ ก่อนทำ และหลังทำ</v>
          </cell>
          <cell r="I31">
            <v>7</v>
          </cell>
          <cell r="J31">
            <v>30</v>
          </cell>
          <cell r="K31">
            <v>1</v>
          </cell>
        </row>
        <row r="32">
          <cell r="D32">
            <v>350842</v>
          </cell>
          <cell r="E32">
            <v>1412</v>
          </cell>
          <cell r="F32" t="str">
            <v>ST1-WI-ME</v>
          </cell>
          <cell r="G32" t="str">
            <v>RO Unit</v>
          </cell>
          <cell r="H32" t="str">
            <v>ตรวจเช็คค่า Conductivity ไมโครซีเมนส์ต่อเซนติเมตร (µs/cm)</v>
          </cell>
          <cell r="I32">
            <v>7</v>
          </cell>
          <cell r="J32">
            <v>30</v>
          </cell>
          <cell r="K32">
            <v>1</v>
          </cell>
        </row>
        <row r="33">
          <cell r="D33">
            <v>345668</v>
          </cell>
          <cell r="F33" t="str">
            <v>ST1-FC-ME</v>
          </cell>
          <cell r="G33" t="str">
            <v>RO Unit</v>
          </cell>
          <cell r="H33" t="str">
            <v>ทำความสะอาด Water Filter ขนาด 5 ไมครอน ทั้ง 2 ชุดให้สะอาด</v>
          </cell>
          <cell r="I33">
            <v>15</v>
          </cell>
          <cell r="J33">
            <v>30</v>
          </cell>
          <cell r="K33">
            <v>1</v>
          </cell>
        </row>
        <row r="34">
          <cell r="D34">
            <v>345892</v>
          </cell>
          <cell r="E34">
            <v>100693</v>
          </cell>
          <cell r="F34" t="str">
            <v>ST1-MI-ME</v>
          </cell>
          <cell r="G34" t="str">
            <v>Liquid Storage Tank #1</v>
          </cell>
          <cell r="H34" t="str">
            <v>ตรวจเช็คการรั่วซึมของ ข้อต่อ Valve ต่างของ Liquid Storage Tank #1</v>
          </cell>
          <cell r="I34">
            <v>30</v>
          </cell>
          <cell r="J34">
            <v>30</v>
          </cell>
          <cell r="K34">
            <v>1</v>
          </cell>
        </row>
        <row r="35">
          <cell r="D35">
            <v>345892</v>
          </cell>
          <cell r="E35">
            <v>100693</v>
          </cell>
          <cell r="F35" t="str">
            <v>ST1-MI-ME</v>
          </cell>
          <cell r="G35" t="str">
            <v>Liquid Storage Tank #2</v>
          </cell>
          <cell r="H35" t="str">
            <v>ตรวจเช็คการรั่วซึมของ ข้อต่อ Valve ต่างของ Liquid Storage Tank #2</v>
          </cell>
          <cell r="I35">
            <v>30</v>
          </cell>
          <cell r="J35">
            <v>30</v>
          </cell>
          <cell r="K35">
            <v>1</v>
          </cell>
        </row>
        <row r="36">
          <cell r="D36">
            <v>345892</v>
          </cell>
          <cell r="E36">
            <v>100693</v>
          </cell>
          <cell r="F36" t="str">
            <v>ST1-MI-ME</v>
          </cell>
          <cell r="G36" t="str">
            <v>Liquid Storage Tank #1-2</v>
          </cell>
          <cell r="H36" t="str">
            <v>ตรวจเช็คการทำงาน Motor Liquid Storage Tank #1-2</v>
          </cell>
          <cell r="I36">
            <v>30</v>
          </cell>
        </row>
        <row r="37">
          <cell r="D37">
            <v>345892</v>
          </cell>
          <cell r="E37">
            <v>100693</v>
          </cell>
          <cell r="F37" t="str">
            <v>ST1-MI-ME</v>
          </cell>
          <cell r="G37" t="str">
            <v>Water Cooling Unit (GREEN BOX)</v>
          </cell>
          <cell r="H37" t="str">
            <v>ตรวจเช็คการทำงานCool Fan Water Cooling Unit (GREEN BOX)</v>
          </cell>
          <cell r="I37">
            <v>30</v>
          </cell>
        </row>
        <row r="38">
          <cell r="D38">
            <v>345863</v>
          </cell>
          <cell r="E38">
            <v>100694</v>
          </cell>
          <cell r="F38" t="str">
            <v>ST1-HR-ME</v>
          </cell>
          <cell r="G38" t="str">
            <v>RO Unit</v>
          </cell>
          <cell r="H38" t="str">
            <v>เปลี่ยน Water Filter ขนาด 5 ไมครอนทั้ง 1 ชุด</v>
          </cell>
          <cell r="I38">
            <v>30</v>
          </cell>
          <cell r="J38">
            <v>30</v>
          </cell>
          <cell r="K38">
            <v>1</v>
          </cell>
        </row>
        <row r="39">
          <cell r="D39">
            <v>344488</v>
          </cell>
          <cell r="F39" t="str">
            <v>ST1-HC-ME</v>
          </cell>
          <cell r="G39" t="str">
            <v>RO Unit</v>
          </cell>
          <cell r="H39" t="str">
            <v>ล้างทำความสะอาดเมมเบรนด้วยสารเคมี</v>
          </cell>
          <cell r="I39">
            <v>180</v>
          </cell>
          <cell r="J39">
            <v>240</v>
          </cell>
          <cell r="K39">
            <v>1</v>
          </cell>
        </row>
        <row r="40">
          <cell r="D40">
            <v>342108</v>
          </cell>
          <cell r="F40" t="str">
            <v>ST1-HI-ME</v>
          </cell>
          <cell r="G40" t="str">
            <v>RO Unit</v>
          </cell>
          <cell r="H40" t="str">
            <v>ส่งน้ำ RO ไปตรวจสอบคุณภาพที่ Lab</v>
          </cell>
          <cell r="I40">
            <v>180</v>
          </cell>
          <cell r="J40">
            <v>30</v>
          </cell>
          <cell r="K40">
            <v>1</v>
          </cell>
        </row>
        <row r="41">
          <cell r="D41">
            <v>345864</v>
          </cell>
          <cell r="E41">
            <v>100695</v>
          </cell>
          <cell r="F41" t="str">
            <v>ST1-HL-ME</v>
          </cell>
          <cell r="G41" t="str">
            <v>Liquid Storage Tank #1</v>
          </cell>
          <cell r="H41" t="str">
            <v>เปลี่ยนน้ำมันเกียร์ขับ Liquid Storage Tank#1</v>
          </cell>
          <cell r="I41">
            <v>180</v>
          </cell>
          <cell r="J41">
            <v>60</v>
          </cell>
          <cell r="K41">
            <v>2</v>
          </cell>
        </row>
        <row r="42">
          <cell r="D42">
            <v>345864</v>
          </cell>
          <cell r="E42">
            <v>100695</v>
          </cell>
          <cell r="F42" t="str">
            <v>ST1-HL-ME</v>
          </cell>
          <cell r="G42" t="str">
            <v>Liquid Storage Tank #2</v>
          </cell>
          <cell r="H42" t="str">
            <v>เปลี่ยนน้ำมันเกียร์ขับ Liquid Storage Tank#2</v>
          </cell>
          <cell r="I42">
            <v>180</v>
          </cell>
        </row>
        <row r="43">
          <cell r="D43">
            <v>345669</v>
          </cell>
          <cell r="E43">
            <v>100696</v>
          </cell>
          <cell r="F43" t="str">
            <v>ST2-ML-ME</v>
          </cell>
          <cell r="G43" t="str">
            <v>Metal Detector Belt</v>
          </cell>
          <cell r="H43" t="str">
            <v>อัดจาระบี Bearing Metal Detector Belt 4 จุด</v>
          </cell>
          <cell r="I43">
            <v>30</v>
          </cell>
          <cell r="J43">
            <v>15</v>
          </cell>
          <cell r="K43">
            <v>1</v>
          </cell>
        </row>
        <row r="44">
          <cell r="D44">
            <v>345669</v>
          </cell>
          <cell r="E44">
            <v>100696</v>
          </cell>
          <cell r="F44" t="str">
            <v>ST2-ML-ME</v>
          </cell>
          <cell r="G44" t="str">
            <v>Wet Mixer</v>
          </cell>
          <cell r="H44" t="str">
            <v>อัดจาระบี Bearing Wet Mixer 2 จุด</v>
          </cell>
          <cell r="I44">
            <v>30</v>
          </cell>
        </row>
        <row r="45">
          <cell r="D45">
            <v>345669</v>
          </cell>
          <cell r="E45">
            <v>100696</v>
          </cell>
          <cell r="F45" t="str">
            <v>ST2-ML-ME</v>
          </cell>
          <cell r="G45" t="str">
            <v>Laminating Roll Infeed Belt</v>
          </cell>
          <cell r="H45" t="str">
            <v>อัดจาระบี Bearing Laminating Roll Infeed Belt 2 จุด</v>
          </cell>
          <cell r="I45">
            <v>30</v>
          </cell>
          <cell r="J45">
            <v>15</v>
          </cell>
          <cell r="K45">
            <v>1</v>
          </cell>
        </row>
        <row r="46">
          <cell r="D46">
            <v>345669</v>
          </cell>
          <cell r="E46">
            <v>100696</v>
          </cell>
          <cell r="F46" t="str">
            <v>ST2-ML-ME</v>
          </cell>
          <cell r="G46" t="str">
            <v>Reversible Transport Belt</v>
          </cell>
          <cell r="H46" t="str">
            <v>อัดจาระบี Bearing Reversible Transport Belt 2 จุด</v>
          </cell>
          <cell r="I46">
            <v>30</v>
          </cell>
        </row>
        <row r="47">
          <cell r="D47">
            <v>345669</v>
          </cell>
          <cell r="E47">
            <v>100696</v>
          </cell>
          <cell r="F47" t="str">
            <v>ST2-ML-ME</v>
          </cell>
          <cell r="G47" t="str">
            <v>Widening Drum</v>
          </cell>
          <cell r="H47" t="str">
            <v>อัดจาระบี Bearing Widening Drum 2 จุด</v>
          </cell>
          <cell r="I47">
            <v>30</v>
          </cell>
        </row>
        <row r="48">
          <cell r="D48">
            <v>345670</v>
          </cell>
          <cell r="E48">
            <v>100697</v>
          </cell>
          <cell r="F48" t="str">
            <v>ST2-FI-ME</v>
          </cell>
          <cell r="G48" t="str">
            <v>Metal Detector Belt</v>
          </cell>
          <cell r="H48" t="str">
            <v>ตรวจเช็ค ปรับตั้ง ความตึงของ Metal Detector Belt</v>
          </cell>
          <cell r="I48">
            <v>15</v>
          </cell>
          <cell r="J48">
            <v>60</v>
          </cell>
          <cell r="K48">
            <v>1</v>
          </cell>
        </row>
        <row r="49">
          <cell r="D49">
            <v>345670</v>
          </cell>
          <cell r="E49">
            <v>100697</v>
          </cell>
          <cell r="F49" t="str">
            <v>ST2-FI-ME</v>
          </cell>
          <cell r="G49" t="str">
            <v>Metal Detector Belt</v>
          </cell>
          <cell r="H49" t="str">
            <v>ตรวจสอบสภาพสายพานและแผ่นรองสายพาน metal detector</v>
          </cell>
          <cell r="I49">
            <v>15</v>
          </cell>
        </row>
        <row r="50">
          <cell r="D50">
            <v>345670</v>
          </cell>
          <cell r="E50">
            <v>100697</v>
          </cell>
          <cell r="F50" t="str">
            <v>ST2-FI-ME</v>
          </cell>
          <cell r="G50" t="str">
            <v>Flour Storage Tank</v>
          </cell>
          <cell r="H50" t="str">
            <v>ตรวจเช็ค การรั่วของแป้งจาก Flour Storage Tank</v>
          </cell>
          <cell r="I50">
            <v>15</v>
          </cell>
          <cell r="J50">
            <v>60</v>
          </cell>
          <cell r="K50">
            <v>1</v>
          </cell>
        </row>
        <row r="51">
          <cell r="D51">
            <v>345670</v>
          </cell>
          <cell r="E51">
            <v>100697</v>
          </cell>
          <cell r="F51" t="str">
            <v>ST2-FI-ME</v>
          </cell>
          <cell r="G51" t="str">
            <v>Flour Doser (K-TRON)</v>
          </cell>
          <cell r="H51" t="str">
            <v>ตรวจเช็คการรั่วของลมข้อต่อ Supply Flour Doser</v>
          </cell>
          <cell r="I51">
            <v>15</v>
          </cell>
        </row>
        <row r="52">
          <cell r="D52">
            <v>345670</v>
          </cell>
          <cell r="E52">
            <v>100697</v>
          </cell>
          <cell r="F52" t="str">
            <v>ST2-FI-ME</v>
          </cell>
          <cell r="G52" t="str">
            <v>Reversible Transport Belt</v>
          </cell>
          <cell r="H52" t="str">
            <v>ตรวจเช็ค ปรับตั้ง ความตึงของ Reversible Transport Belt</v>
          </cell>
          <cell r="I52">
            <v>15</v>
          </cell>
        </row>
        <row r="53">
          <cell r="D53">
            <v>345670</v>
          </cell>
          <cell r="E53">
            <v>100697</v>
          </cell>
          <cell r="F53" t="str">
            <v>ST2-FI-ME</v>
          </cell>
          <cell r="G53" t="str">
            <v>Flour Doser (K-TRON)</v>
          </cell>
          <cell r="H53" t="str">
            <v>ตรวจเช็คการทำงานพร้อมจดบันทึกค่า feed rate Max-Min ที่เบี่ยงเบนจากค่า set point ใน 1 นาที ของ Flour Doser (K-TRON)</v>
          </cell>
          <cell r="I53">
            <v>15</v>
          </cell>
        </row>
        <row r="54">
          <cell r="D54">
            <v>345670</v>
          </cell>
          <cell r="E54">
            <v>100697</v>
          </cell>
          <cell r="F54" t="str">
            <v>ST2-FI-ME</v>
          </cell>
          <cell r="G54" t="str">
            <v>Widening Drum</v>
          </cell>
          <cell r="H54" t="str">
            <v>ตรวจเช็ค ปรับตั้ง ความตึงของ Widening Drum</v>
          </cell>
          <cell r="I54">
            <v>15</v>
          </cell>
        </row>
        <row r="55">
          <cell r="D55">
            <v>345670</v>
          </cell>
          <cell r="E55">
            <v>100697</v>
          </cell>
          <cell r="F55" t="str">
            <v>ST2-FI-ME</v>
          </cell>
          <cell r="G55" t="str">
            <v>Wet Mixer</v>
          </cell>
          <cell r="H55" t="str">
            <v>ตรวจเช็คการรั่วของแป้งจาก Wet Mixer</v>
          </cell>
          <cell r="I55">
            <v>15</v>
          </cell>
        </row>
        <row r="56">
          <cell r="D56">
            <v>345670</v>
          </cell>
          <cell r="E56">
            <v>100697</v>
          </cell>
          <cell r="F56" t="str">
            <v>ST2-FI-ME</v>
          </cell>
          <cell r="G56" t="str">
            <v>Wet Mixer</v>
          </cell>
          <cell r="H56" t="str">
            <v>ตรวจเช็ค ปรับตั้ง ความตึงของสายพานขับ Wet Mixer</v>
          </cell>
          <cell r="I56">
            <v>15</v>
          </cell>
        </row>
        <row r="57">
          <cell r="D57">
            <v>345670</v>
          </cell>
          <cell r="E57">
            <v>100697</v>
          </cell>
          <cell r="F57" t="str">
            <v>ST2-FI-ME</v>
          </cell>
          <cell r="G57" t="str">
            <v>Laminating Roll Infeed Belt</v>
          </cell>
          <cell r="H57" t="str">
            <v>ตรวจเช็คสภาพสายพานและปรับตั้ง Laminating Roll Infeed Belt</v>
          </cell>
          <cell r="I57">
            <v>15</v>
          </cell>
        </row>
        <row r="58">
          <cell r="D58">
            <v>345670</v>
          </cell>
          <cell r="E58">
            <v>100697</v>
          </cell>
          <cell r="F58" t="str">
            <v>ST2-FI-ME</v>
          </cell>
          <cell r="G58" t="str">
            <v>Mixer Jacket Cooling Unit</v>
          </cell>
          <cell r="H58" t="str">
            <v>ตรวจเช็คการรั่วซึมของ Mixer jacket cooling unit</v>
          </cell>
          <cell r="I58">
            <v>15</v>
          </cell>
        </row>
        <row r="59">
          <cell r="D59">
            <v>345893</v>
          </cell>
          <cell r="F59" t="str">
            <v>ST2-MV-ME</v>
          </cell>
          <cell r="G59" t="str">
            <v>Wet Mixer</v>
          </cell>
          <cell r="H59" t="str">
            <v>ตรวจวัดค่า Vibration Wet Mixer Motor</v>
          </cell>
          <cell r="I59">
            <v>30</v>
          </cell>
          <cell r="J59">
            <v>30</v>
          </cell>
          <cell r="K59">
            <v>1</v>
          </cell>
        </row>
        <row r="60">
          <cell r="D60">
            <v>345893</v>
          </cell>
          <cell r="F60" t="str">
            <v>ST2-MV-ME</v>
          </cell>
          <cell r="G60" t="str">
            <v>Wet Mixer</v>
          </cell>
          <cell r="H60" t="str">
            <v>ตรวจวัดค่า Vibration Bearing ขับเพลา Paddle ทั้ง ซ้ายและขวา</v>
          </cell>
          <cell r="I60">
            <v>30</v>
          </cell>
        </row>
        <row r="61">
          <cell r="D61">
            <v>345865</v>
          </cell>
          <cell r="E61">
            <v>372</v>
          </cell>
          <cell r="F61" t="str">
            <v>ST2-QI-ME</v>
          </cell>
          <cell r="G61" t="str">
            <v>Flour Doser (K-TRON)</v>
          </cell>
          <cell r="H61" t="str">
            <v>ตรวจเช็คสภาพทั่วไปของ Gear Box  K-Tron</v>
          </cell>
          <cell r="I61">
            <v>90</v>
          </cell>
          <cell r="J61">
            <v>30</v>
          </cell>
          <cell r="K61">
            <v>1</v>
          </cell>
        </row>
        <row r="62">
          <cell r="D62">
            <v>345922</v>
          </cell>
          <cell r="F62" t="str">
            <v>ST2-HL-ME</v>
          </cell>
          <cell r="G62" t="str">
            <v>Flour Storage Tank</v>
          </cell>
          <cell r="H62" t="str">
            <v>เปลี่ยนน้ำมัน Gear Flour Storage Tank</v>
          </cell>
          <cell r="I62">
            <v>180</v>
          </cell>
          <cell r="J62">
            <v>60</v>
          </cell>
          <cell r="K62">
            <v>2</v>
          </cell>
        </row>
        <row r="63">
          <cell r="D63">
            <v>345922</v>
          </cell>
          <cell r="F63" t="str">
            <v>ST2-HL-ME</v>
          </cell>
          <cell r="G63" t="str">
            <v>Metal Detector Belt</v>
          </cell>
          <cell r="H63" t="str">
            <v>เปลี่ยนน้ำมัน Gear Metal Detector Belt</v>
          </cell>
          <cell r="I63">
            <v>180</v>
          </cell>
        </row>
        <row r="64">
          <cell r="D64">
            <v>345923</v>
          </cell>
          <cell r="F64" t="str">
            <v>ST2-YR-ME</v>
          </cell>
          <cell r="G64" t="str">
            <v>Laminating Roll Infeed Belt</v>
          </cell>
          <cell r="H64" t="str">
            <v>เปลี่ยนสายพาน Laminating Roll Infeed Belt</v>
          </cell>
          <cell r="I64">
            <v>365</v>
          </cell>
          <cell r="J64">
            <v>240</v>
          </cell>
          <cell r="K64">
            <v>6</v>
          </cell>
        </row>
        <row r="65">
          <cell r="D65">
            <v>345924</v>
          </cell>
          <cell r="E65">
            <v>100700</v>
          </cell>
          <cell r="F65" t="str">
            <v>ST2-HL-ME</v>
          </cell>
          <cell r="G65" t="str">
            <v>Reversible Transport Belt</v>
          </cell>
          <cell r="H65" t="str">
            <v>เปลี่ยนน้ำมัน Gear Reversible Transport Belt</v>
          </cell>
          <cell r="I65">
            <v>180</v>
          </cell>
          <cell r="J65">
            <v>90</v>
          </cell>
          <cell r="K65">
            <v>2</v>
          </cell>
        </row>
        <row r="66">
          <cell r="D66">
            <v>345924</v>
          </cell>
          <cell r="E66">
            <v>100700</v>
          </cell>
          <cell r="F66" t="str">
            <v>ST2-HL-ME</v>
          </cell>
          <cell r="G66" t="str">
            <v>Laminating Roll Infeed Belt</v>
          </cell>
          <cell r="H66" t="str">
            <v>เปลี่ยนน้ำมัน Gear Laminating Roll Infeed Belt</v>
          </cell>
          <cell r="I66">
            <v>180</v>
          </cell>
        </row>
        <row r="67">
          <cell r="D67">
            <v>345924</v>
          </cell>
          <cell r="E67">
            <v>100700</v>
          </cell>
          <cell r="F67" t="str">
            <v>ST2-HL-ME</v>
          </cell>
          <cell r="G67" t="str">
            <v>Widening Drum</v>
          </cell>
          <cell r="H67" t="str">
            <v>เปลี่ยนน้ำมัน Gear Widening Drum</v>
          </cell>
          <cell r="I67">
            <v>180</v>
          </cell>
        </row>
        <row r="68">
          <cell r="D68">
            <v>345881</v>
          </cell>
          <cell r="E68">
            <v>100701</v>
          </cell>
          <cell r="F68" t="str">
            <v>ST3-ML-ME</v>
          </cell>
          <cell r="G68" t="str">
            <v>Laminating Rolls (Rear)</v>
          </cell>
          <cell r="H68" t="str">
            <v>อัดจาระบี Bearing Laminating Rolls (Rear - Front) 8 จุด</v>
          </cell>
          <cell r="I68">
            <v>30</v>
          </cell>
          <cell r="J68">
            <v>15</v>
          </cell>
          <cell r="K68">
            <v>1</v>
          </cell>
        </row>
        <row r="69">
          <cell r="D69">
            <v>345881</v>
          </cell>
          <cell r="E69">
            <v>100701</v>
          </cell>
          <cell r="F69" t="str">
            <v>ST3-ML-ME</v>
          </cell>
          <cell r="G69" t="str">
            <v>Laminating Rolls (Rear- Front)</v>
          </cell>
          <cell r="H69" t="str">
            <v>อัดจาระบี Water Rotary union</v>
          </cell>
          <cell r="I69">
            <v>30</v>
          </cell>
        </row>
        <row r="70">
          <cell r="D70">
            <v>345881</v>
          </cell>
          <cell r="E70">
            <v>100701</v>
          </cell>
          <cell r="F70" t="str">
            <v>ST3-ML-ME</v>
          </cell>
          <cell r="G70" t="str">
            <v>Cutter Conveyor</v>
          </cell>
          <cell r="H70" t="str">
            <v>อัดจาระบี Bearing Cutter Conveyor 4 จุด</v>
          </cell>
          <cell r="I70">
            <v>30</v>
          </cell>
        </row>
        <row r="71">
          <cell r="D71">
            <v>345881</v>
          </cell>
          <cell r="E71">
            <v>100701</v>
          </cell>
          <cell r="F71" t="str">
            <v>ST3-ML-ME</v>
          </cell>
          <cell r="G71" t="str">
            <v>Cutter Roller</v>
          </cell>
          <cell r="H71" t="str">
            <v>อัดจาระบี Bearing Cutter Roller 2 จุด</v>
          </cell>
          <cell r="I71">
            <v>30</v>
          </cell>
        </row>
        <row r="72">
          <cell r="D72">
            <v>345881</v>
          </cell>
          <cell r="E72">
            <v>100701</v>
          </cell>
          <cell r="F72" t="str">
            <v>ST3-ML-ME</v>
          </cell>
          <cell r="G72" t="str">
            <v>Slitter Infeed</v>
          </cell>
          <cell r="H72" t="str">
            <v>อัดจาระบี Bearing Slitter Infeed 2 จุด</v>
          </cell>
          <cell r="I72">
            <v>30</v>
          </cell>
        </row>
        <row r="73">
          <cell r="D73">
            <v>345881</v>
          </cell>
          <cell r="E73">
            <v>100701</v>
          </cell>
          <cell r="F73" t="str">
            <v>ST3-ML-ME</v>
          </cell>
          <cell r="G73" t="str">
            <v>Slitter</v>
          </cell>
          <cell r="H73" t="str">
            <v>อัดจาระบี Bearing Slitter 4 จุด</v>
          </cell>
          <cell r="I73">
            <v>30</v>
          </cell>
        </row>
        <row r="74">
          <cell r="D74">
            <v>345894</v>
          </cell>
          <cell r="F74" t="str">
            <v>ST3-MI-ME</v>
          </cell>
          <cell r="G74" t="str">
            <v>Laminating Rolls (Front)</v>
          </cell>
          <cell r="H74" t="str">
            <v>ตรวจเช็คการรั่วซึมของน้ำ Cooling Laminating Rolls (Rear - Front)</v>
          </cell>
          <cell r="I74">
            <v>30</v>
          </cell>
          <cell r="J74">
            <v>60</v>
          </cell>
          <cell r="K74">
            <v>1</v>
          </cell>
        </row>
        <row r="75">
          <cell r="D75">
            <v>345894</v>
          </cell>
          <cell r="F75" t="str">
            <v>ST3-MI-ME</v>
          </cell>
          <cell r="G75" t="str">
            <v>Laminating Rolls (Rear)</v>
          </cell>
          <cell r="H75" t="str">
            <v>ตรวจเช็คการรั่วซึมของลม Laminating Rolls (Rear - Front)</v>
          </cell>
          <cell r="I75">
            <v>30</v>
          </cell>
        </row>
        <row r="76">
          <cell r="D76">
            <v>345894</v>
          </cell>
          <cell r="F76" t="str">
            <v>ST3-MI-ME</v>
          </cell>
          <cell r="G76" t="str">
            <v>Cutter Conveyor</v>
          </cell>
          <cell r="H76" t="str">
            <v>ตรวจเช็ค ปรับตั้ง ความตึงของ Cutter Conveyor</v>
          </cell>
          <cell r="I76">
            <v>30</v>
          </cell>
        </row>
        <row r="77">
          <cell r="D77">
            <v>345894</v>
          </cell>
          <cell r="F77" t="str">
            <v>ST3-MI-ME</v>
          </cell>
          <cell r="G77" t="str">
            <v>Cutter Roller</v>
          </cell>
          <cell r="H77" t="str">
            <v>ตรวจเช็ค ความสึกหรอ ของ Cutter Roller</v>
          </cell>
          <cell r="I77">
            <v>30</v>
          </cell>
        </row>
        <row r="78">
          <cell r="D78">
            <v>345894</v>
          </cell>
          <cell r="F78" t="str">
            <v>ST3-MI-ME</v>
          </cell>
          <cell r="G78" t="str">
            <v>Cutter Roller</v>
          </cell>
          <cell r="H78" t="str">
            <v>ตรวจเช็คการรั่วซึมของลม Cutter Roller</v>
          </cell>
          <cell r="I78">
            <v>30</v>
          </cell>
        </row>
        <row r="79">
          <cell r="D79">
            <v>345894</v>
          </cell>
          <cell r="F79" t="str">
            <v>ST3-MI-ME</v>
          </cell>
          <cell r="G79" t="str">
            <v>Slitter Infeed</v>
          </cell>
          <cell r="H79" t="str">
            <v>ตรวจเช็ค ปรับตั้ง ความตึงของ Slitter Infeed</v>
          </cell>
          <cell r="I79">
            <v>30</v>
          </cell>
        </row>
        <row r="80">
          <cell r="D80">
            <v>345894</v>
          </cell>
          <cell r="F80" t="str">
            <v>ST3-MI-ME</v>
          </cell>
          <cell r="G80" t="str">
            <v>Slitter</v>
          </cell>
          <cell r="H80" t="str">
            <v>ตรวจเช็ค ปรับตั้ง ความตึงของ Slitter Take Out Conveyor</v>
          </cell>
          <cell r="I80">
            <v>30</v>
          </cell>
        </row>
        <row r="81">
          <cell r="D81">
            <v>345894</v>
          </cell>
          <cell r="F81" t="str">
            <v>ST3-MI-ME</v>
          </cell>
          <cell r="G81" t="str">
            <v>Scrap Grinder</v>
          </cell>
          <cell r="H81" t="str">
            <v>ตรวจเช็คการรั่ว Blower Scrap Grinder</v>
          </cell>
          <cell r="I81">
            <v>30</v>
          </cell>
        </row>
        <row r="82">
          <cell r="D82">
            <v>345894</v>
          </cell>
          <cell r="F82" t="str">
            <v>ST3-MI-ME</v>
          </cell>
          <cell r="G82" t="str">
            <v>Scrap Pneumatic Conveyor</v>
          </cell>
          <cell r="H82" t="str">
            <v>ตรวจเช็คการรั่ว Scrap Pneumatic Conveyor</v>
          </cell>
          <cell r="I82">
            <v>30</v>
          </cell>
        </row>
        <row r="83">
          <cell r="D83">
            <v>345895</v>
          </cell>
          <cell r="F83" t="str">
            <v>ST3-MV-ME</v>
          </cell>
          <cell r="G83" t="str">
            <v>Laminating Rolls (Rear)</v>
          </cell>
          <cell r="H83" t="str">
            <v>ตรวจวัดค่า Vibration Laminating Rolls (Rear)</v>
          </cell>
          <cell r="I83">
            <v>30</v>
          </cell>
          <cell r="J83">
            <v>30</v>
          </cell>
          <cell r="K83">
            <v>1</v>
          </cell>
        </row>
        <row r="84">
          <cell r="D84">
            <v>345895</v>
          </cell>
          <cell r="F84" t="str">
            <v>ST3-MV-ME</v>
          </cell>
          <cell r="G84" t="str">
            <v>Laminating Rolls (Front)</v>
          </cell>
          <cell r="H84" t="str">
            <v>ตรวจวัดค่า Vibration Laminating Rolls (Front)</v>
          </cell>
          <cell r="I84">
            <v>30</v>
          </cell>
        </row>
        <row r="85">
          <cell r="D85">
            <v>342585</v>
          </cell>
          <cell r="F85" t="str">
            <v>ST-MC-ME</v>
          </cell>
          <cell r="G85" t="str">
            <v>Laminating Rolls</v>
          </cell>
          <cell r="H85" t="str">
            <v>ถอดล้างทำความสะอาด Y-strainer ของท่อน้ำเย็นเข้า Sheet laminating roll</v>
          </cell>
          <cell r="I85">
            <v>30</v>
          </cell>
          <cell r="J85">
            <v>30</v>
          </cell>
          <cell r="K85">
            <v>1</v>
          </cell>
        </row>
        <row r="86">
          <cell r="D86">
            <v>345925</v>
          </cell>
          <cell r="E86">
            <v>374</v>
          </cell>
          <cell r="F86" t="str">
            <v>ST3-HL-ME</v>
          </cell>
          <cell r="G86" t="str">
            <v>Laminating Rolls (Rear)</v>
          </cell>
          <cell r="H86" t="str">
            <v>เปลี่ยนน้ำมัน Gear Laminating Rolls (Rear)</v>
          </cell>
          <cell r="I86">
            <v>180</v>
          </cell>
          <cell r="J86">
            <v>60</v>
          </cell>
          <cell r="K86">
            <v>2</v>
          </cell>
        </row>
        <row r="87">
          <cell r="D87">
            <v>345925</v>
          </cell>
          <cell r="E87">
            <v>374</v>
          </cell>
          <cell r="F87" t="str">
            <v>ST3-HL-ME</v>
          </cell>
          <cell r="G87" t="str">
            <v>Laminating Rolls (Front)</v>
          </cell>
          <cell r="H87" t="str">
            <v>เปลี่ยนน้ำมัน Gear Laminating Rolls (Front)</v>
          </cell>
          <cell r="I87">
            <v>180</v>
          </cell>
        </row>
        <row r="88">
          <cell r="D88">
            <v>342332</v>
          </cell>
          <cell r="F88" t="str">
            <v>ST3-QR-ME</v>
          </cell>
          <cell r="G88" t="str">
            <v>Cutter Conveyor</v>
          </cell>
          <cell r="H88" t="str">
            <v>เปลี่ยนสายพาน Cutter Conveyor</v>
          </cell>
          <cell r="I88">
            <v>90</v>
          </cell>
          <cell r="J88">
            <v>150</v>
          </cell>
          <cell r="K88">
            <v>4</v>
          </cell>
        </row>
        <row r="89">
          <cell r="D89">
            <v>342511</v>
          </cell>
          <cell r="F89" t="str">
            <v>ST3-HI-ME</v>
          </cell>
          <cell r="G89" t="str">
            <v>Scrap Grinder</v>
          </cell>
          <cell r="H89" t="str">
            <v xml:space="preserve">ถอดออกเพื่อตรวจสอบสภาพใบมีด </v>
          </cell>
          <cell r="I89">
            <v>180</v>
          </cell>
          <cell r="J89">
            <v>60</v>
          </cell>
          <cell r="K89">
            <v>4</v>
          </cell>
        </row>
        <row r="90">
          <cell r="D90">
            <v>345926</v>
          </cell>
          <cell r="E90">
            <v>100706</v>
          </cell>
          <cell r="F90" t="str">
            <v>ST3-HL-ME</v>
          </cell>
          <cell r="G90" t="str">
            <v>Cutter Conveyor</v>
          </cell>
          <cell r="H90" t="str">
            <v>เปลี่ยนน้ำมัน Gear Cutter Conveyor</v>
          </cell>
          <cell r="I90">
            <v>180</v>
          </cell>
          <cell r="J90">
            <v>120</v>
          </cell>
        </row>
        <row r="91">
          <cell r="D91">
            <v>345926</v>
          </cell>
          <cell r="E91">
            <v>100706</v>
          </cell>
          <cell r="F91" t="str">
            <v>ST3-HL-ME</v>
          </cell>
          <cell r="G91" t="str">
            <v>Cutter Roller</v>
          </cell>
          <cell r="H91" t="str">
            <v>เปลี่ยนน้ำมัน Gear Cutter Roller</v>
          </cell>
          <cell r="I91">
            <v>180</v>
          </cell>
          <cell r="J91">
            <v>120</v>
          </cell>
          <cell r="K91">
            <v>2</v>
          </cell>
        </row>
        <row r="92">
          <cell r="D92">
            <v>345926</v>
          </cell>
          <cell r="E92">
            <v>100706</v>
          </cell>
          <cell r="F92" t="str">
            <v>ST3-HL-ME</v>
          </cell>
          <cell r="G92" t="str">
            <v>Slitter Infeed</v>
          </cell>
          <cell r="H92" t="str">
            <v>เปลี่ยนน้ำมัน Gear Slitter Infeed</v>
          </cell>
          <cell r="I92">
            <v>180</v>
          </cell>
        </row>
        <row r="93">
          <cell r="D93">
            <v>345926</v>
          </cell>
          <cell r="E93">
            <v>100706</v>
          </cell>
          <cell r="F93" t="str">
            <v>ST3-HL-ME</v>
          </cell>
          <cell r="G93" t="str">
            <v>Slitter</v>
          </cell>
          <cell r="H93" t="str">
            <v>เปลี่ยนน้ำมัน Gear Slitter</v>
          </cell>
          <cell r="I93">
            <v>180</v>
          </cell>
        </row>
        <row r="94">
          <cell r="D94">
            <v>343634</v>
          </cell>
          <cell r="F94" t="str">
            <v>ST4-WL-ME</v>
          </cell>
          <cell r="G94" t="str">
            <v>Fryer Product Conveyor</v>
          </cell>
          <cell r="H94" t="str">
            <v>อัดจาระบี Bearing Product Conveyor ทุกตัว</v>
          </cell>
          <cell r="I94">
            <v>7</v>
          </cell>
          <cell r="J94">
            <v>15</v>
          </cell>
          <cell r="K94">
            <v>1</v>
          </cell>
        </row>
        <row r="95">
          <cell r="D95">
            <v>343634</v>
          </cell>
          <cell r="F95" t="str">
            <v>ST4-WL-ME</v>
          </cell>
          <cell r="G95" t="str">
            <v>Fryer Mold Conveyer</v>
          </cell>
          <cell r="H95" t="str">
            <v>อัดจาระบี Bearing Mold Conveyor</v>
          </cell>
          <cell r="I95">
            <v>7</v>
          </cell>
          <cell r="J95">
            <v>15</v>
          </cell>
          <cell r="K95">
            <v>1</v>
          </cell>
        </row>
        <row r="96">
          <cell r="D96">
            <v>343634</v>
          </cell>
          <cell r="F96" t="str">
            <v>ST4-WL-ME</v>
          </cell>
          <cell r="G96" t="str">
            <v>Air Cooling Conveyor</v>
          </cell>
          <cell r="H96" t="str">
            <v>อัดจาระบี BearingAir Cooling Conveyor</v>
          </cell>
          <cell r="I96">
            <v>7</v>
          </cell>
        </row>
        <row r="97">
          <cell r="D97">
            <v>345882</v>
          </cell>
          <cell r="E97">
            <v>100707</v>
          </cell>
          <cell r="F97" t="str">
            <v>ST4-FI-ME</v>
          </cell>
          <cell r="G97" t="str">
            <v>Fryer Product Conveyor</v>
          </cell>
          <cell r="H97" t="str">
            <v>ตรวจเช็คสภาพสายพาน Fryer Product Conveyorพร้อมปรับตั้ง</v>
          </cell>
          <cell r="I97">
            <v>15</v>
          </cell>
          <cell r="J97">
            <v>30</v>
          </cell>
          <cell r="K97">
            <v>1</v>
          </cell>
        </row>
        <row r="98">
          <cell r="D98">
            <v>345882</v>
          </cell>
          <cell r="E98">
            <v>100707</v>
          </cell>
          <cell r="F98" t="str">
            <v>ST4-FI-ME</v>
          </cell>
          <cell r="G98" t="str">
            <v>Fryer Mold Conveyer</v>
          </cell>
          <cell r="H98" t="str">
            <v>ตรวจเช็คสภาพสายพาน Fryer Mold Conveyerพร้อมปรับตั้ง</v>
          </cell>
          <cell r="I98">
            <v>15</v>
          </cell>
          <cell r="J98">
            <v>30</v>
          </cell>
          <cell r="K98">
            <v>1</v>
          </cell>
        </row>
        <row r="99">
          <cell r="D99">
            <v>345882</v>
          </cell>
          <cell r="E99">
            <v>100707</v>
          </cell>
          <cell r="G99" t="str">
            <v>Hold Down Conveyor</v>
          </cell>
          <cell r="H99" t="str">
            <v>ตรวจเช็คสภาพสายพาน Hold Down Conveyorพร้อมปรับตั้ง</v>
          </cell>
          <cell r="I99">
            <v>15</v>
          </cell>
        </row>
        <row r="100">
          <cell r="D100">
            <v>345883</v>
          </cell>
          <cell r="F100" t="str">
            <v>ST4-FL-ME</v>
          </cell>
          <cell r="G100" t="str">
            <v>Exhaust Fan Infeed</v>
          </cell>
          <cell r="H100" t="str">
            <v>อัดจาระบี Bearing OME Exhaust Fan Infeed Side</v>
          </cell>
          <cell r="I100">
            <v>15</v>
          </cell>
          <cell r="J100">
            <v>15</v>
          </cell>
          <cell r="K100">
            <v>1</v>
          </cell>
        </row>
        <row r="101">
          <cell r="D101">
            <v>345883</v>
          </cell>
          <cell r="F101" t="str">
            <v>ST4-FL-ME</v>
          </cell>
          <cell r="G101" t="str">
            <v>Exhaust Fan Discharge</v>
          </cell>
          <cell r="H101" t="str">
            <v>อัดจาระบี Bearing OME Exhaust Fan Discharge Side</v>
          </cell>
          <cell r="I101">
            <v>15</v>
          </cell>
          <cell r="J101">
            <v>15</v>
          </cell>
          <cell r="K101">
            <v>1</v>
          </cell>
        </row>
        <row r="102">
          <cell r="D102">
            <v>345883</v>
          </cell>
          <cell r="F102" t="str">
            <v>ST4-FL-ME</v>
          </cell>
          <cell r="G102" t="str">
            <v>Air Cooling Exhaust Fan</v>
          </cell>
          <cell r="H102" t="str">
            <v>อัดจาระบี Bearing Air Cooling Exhaust Fan</v>
          </cell>
          <cell r="I102">
            <v>15</v>
          </cell>
        </row>
        <row r="103">
          <cell r="D103">
            <v>345896</v>
          </cell>
          <cell r="F103" t="str">
            <v>ST4-MI-ME</v>
          </cell>
          <cell r="G103" t="str">
            <v>Exhaust Fan Discharge</v>
          </cell>
          <cell r="H103" t="str">
            <v>ตรวจเช็คสภาพสายพานขับ OME Exhaust Fan Discharge Side ทั้ง 2 เส้น</v>
          </cell>
          <cell r="I103">
            <v>30</v>
          </cell>
          <cell r="J103">
            <v>15</v>
          </cell>
          <cell r="K103">
            <v>1</v>
          </cell>
        </row>
        <row r="104">
          <cell r="D104">
            <v>345896</v>
          </cell>
          <cell r="F104" t="str">
            <v>ST4-MI-ME</v>
          </cell>
          <cell r="G104" t="str">
            <v>Fryer Mold Conveyer</v>
          </cell>
          <cell r="H104" t="str">
            <v>ตรวจเช็คความตึงหย่อนของโซ่ขับใน Fryer ทั้งหมด</v>
          </cell>
          <cell r="I104">
            <v>30</v>
          </cell>
          <cell r="J104">
            <v>15</v>
          </cell>
          <cell r="K104">
            <v>1</v>
          </cell>
        </row>
        <row r="105">
          <cell r="D105">
            <v>345896</v>
          </cell>
          <cell r="F105" t="str">
            <v>ST4-MI-ME</v>
          </cell>
          <cell r="G105" t="str">
            <v>Exhaust Fan Infeed</v>
          </cell>
          <cell r="H105" t="str">
            <v>ตรวจเช็คสภาพสายพานขับ OME Exhaust Fan Infeed Side ทั้ง 2 เส้น</v>
          </cell>
          <cell r="I105">
            <v>30</v>
          </cell>
        </row>
        <row r="106">
          <cell r="D106">
            <v>345927</v>
          </cell>
          <cell r="E106">
            <v>100710</v>
          </cell>
          <cell r="F106" t="str">
            <v>ST4-HL-ME</v>
          </cell>
          <cell r="G106" t="str">
            <v>Fryer Product Conveyor</v>
          </cell>
          <cell r="H106" t="str">
            <v>เปลี่ยนน้ำมัน Gear Fryer Product Conveyor</v>
          </cell>
          <cell r="I106">
            <v>180</v>
          </cell>
          <cell r="J106">
            <v>120</v>
          </cell>
          <cell r="K106">
            <v>3</v>
          </cell>
        </row>
        <row r="107">
          <cell r="D107">
            <v>345927</v>
          </cell>
          <cell r="E107">
            <v>100710</v>
          </cell>
          <cell r="F107" t="str">
            <v>ST4-HL-ME</v>
          </cell>
          <cell r="G107" t="str">
            <v>Fryer Mold Conveyer</v>
          </cell>
          <cell r="H107" t="str">
            <v>เปลี่ยนน้ำมัน Gear Fryer Mold Conveyor</v>
          </cell>
          <cell r="I107">
            <v>180</v>
          </cell>
          <cell r="J107">
            <v>120</v>
          </cell>
          <cell r="K107">
            <v>3</v>
          </cell>
        </row>
        <row r="108">
          <cell r="D108">
            <v>345927</v>
          </cell>
          <cell r="E108">
            <v>100710</v>
          </cell>
          <cell r="F108" t="str">
            <v>ST4-HL-ME</v>
          </cell>
          <cell r="G108" t="str">
            <v>Fryer Hood &amp; Lifter</v>
          </cell>
          <cell r="H108" t="str">
            <v>เปลี่ยนน้ำมัน Gear Fryer Hood &amp; Lifter</v>
          </cell>
          <cell r="I108">
            <v>180</v>
          </cell>
        </row>
        <row r="109">
          <cell r="D109">
            <v>345927</v>
          </cell>
          <cell r="E109">
            <v>100710</v>
          </cell>
          <cell r="F109" t="str">
            <v>ST4-HL-ME</v>
          </cell>
          <cell r="G109" t="str">
            <v>Air Cooling Conveyor</v>
          </cell>
          <cell r="H109" t="str">
            <v>เปลี่ยนน้ำมัน Gear Ambient Air Cooling Conveyor</v>
          </cell>
          <cell r="I109">
            <v>180</v>
          </cell>
        </row>
        <row r="110">
          <cell r="D110">
            <v>350843</v>
          </cell>
          <cell r="E110">
            <v>1413</v>
          </cell>
          <cell r="F110" t="str">
            <v>ST4-RR-ME</v>
          </cell>
          <cell r="G110" t="str">
            <v>Hold Down Conveyor</v>
          </cell>
          <cell r="H110" t="str">
            <v>เปลี่ยน Bearing Hold Down Conveyor</v>
          </cell>
          <cell r="I110">
            <v>120</v>
          </cell>
          <cell r="J110">
            <v>120</v>
          </cell>
          <cell r="K110">
            <v>3</v>
          </cell>
        </row>
        <row r="111">
          <cell r="D111">
            <v>345928</v>
          </cell>
          <cell r="F111" t="str">
            <v>ST4-HR-ME</v>
          </cell>
          <cell r="G111" t="str">
            <v>Exhaust Fan Infeed</v>
          </cell>
          <cell r="H111" t="str">
            <v>เปลี่ยน Bearing OME Exhaust Fan Infeed Side</v>
          </cell>
          <cell r="I111">
            <v>180</v>
          </cell>
          <cell r="J111">
            <v>180</v>
          </cell>
          <cell r="K111">
            <v>3</v>
          </cell>
        </row>
        <row r="112">
          <cell r="D112">
            <v>345929</v>
          </cell>
          <cell r="F112" t="str">
            <v>ST4-HR-ME2</v>
          </cell>
          <cell r="G112" t="str">
            <v>Exhaust Fan Discharge</v>
          </cell>
          <cell r="H112" t="str">
            <v>เปลี่ยน Bearing OME Exhaust Fan Discharge Side</v>
          </cell>
          <cell r="I112">
            <v>180</v>
          </cell>
          <cell r="J112">
            <v>180</v>
          </cell>
          <cell r="K112">
            <v>3</v>
          </cell>
        </row>
        <row r="113">
          <cell r="D113">
            <v>345930</v>
          </cell>
          <cell r="F113" t="str">
            <v>ST4-HR-ME3</v>
          </cell>
          <cell r="G113" t="str">
            <v>Air Cooling Exhaust Fan</v>
          </cell>
          <cell r="H113" t="str">
            <v>เปลี่ยน Bearing Air Cooling Exhaust Fan</v>
          </cell>
          <cell r="I113">
            <v>180</v>
          </cell>
          <cell r="J113">
            <v>180</v>
          </cell>
          <cell r="K113">
            <v>3</v>
          </cell>
        </row>
        <row r="114">
          <cell r="D114">
            <v>345931</v>
          </cell>
          <cell r="E114">
            <v>100714</v>
          </cell>
          <cell r="F114" t="str">
            <v>ST4-HR-ME4</v>
          </cell>
          <cell r="G114" t="str">
            <v>Fryer Mold Conveyer</v>
          </cell>
          <cell r="H114" t="str">
            <v xml:space="preserve">เปลี่ยน Bearing  Fryer Mold Conveyor </v>
          </cell>
          <cell r="I114">
            <v>180</v>
          </cell>
          <cell r="J114">
            <v>360</v>
          </cell>
          <cell r="K114">
            <v>5</v>
          </cell>
        </row>
        <row r="115">
          <cell r="D115">
            <v>345931</v>
          </cell>
          <cell r="E115">
            <v>100714</v>
          </cell>
          <cell r="F115" t="str">
            <v>ST4-HR-ME4</v>
          </cell>
          <cell r="G115" t="str">
            <v>Fryer Product Conveyor</v>
          </cell>
          <cell r="H115" t="str">
            <v>เปลี่ยน Bearing  Fryer Product Conveyor</v>
          </cell>
          <cell r="I115">
            <v>180</v>
          </cell>
        </row>
        <row r="116">
          <cell r="D116">
            <v>350844</v>
          </cell>
          <cell r="E116">
            <v>1414</v>
          </cell>
          <cell r="F116" t="str">
            <v>ST4-HR-ME5</v>
          </cell>
          <cell r="G116" t="str">
            <v>Fryer Hood &amp; Lifter</v>
          </cell>
          <cell r="H116" t="str">
            <v xml:space="preserve">เปลี่ยน Hood lift brass screw </v>
          </cell>
          <cell r="I116">
            <v>180</v>
          </cell>
          <cell r="J116">
            <v>240</v>
          </cell>
          <cell r="K116">
            <v>4</v>
          </cell>
        </row>
        <row r="117">
          <cell r="D117">
            <v>345884</v>
          </cell>
          <cell r="F117" t="str">
            <v>ST5-FL-ME</v>
          </cell>
          <cell r="G117" t="str">
            <v>Catch Box Conveyor</v>
          </cell>
          <cell r="H117" t="str">
            <v>อัดจาระบี Bearing Fryer Catchbox Conveyor ทั้ง 4 จุด</v>
          </cell>
          <cell r="I117">
            <v>15</v>
          </cell>
          <cell r="J117">
            <v>15</v>
          </cell>
          <cell r="K117">
            <v>1</v>
          </cell>
        </row>
        <row r="118">
          <cell r="D118">
            <v>345884</v>
          </cell>
          <cell r="F118" t="str">
            <v>ST5-FL-ME</v>
          </cell>
          <cell r="G118" t="str">
            <v>Main Oil Pump</v>
          </cell>
          <cell r="H118" t="str">
            <v>อัดจาระบีที่ Lip Seal ห้อง Bearing MOP 2 จุด</v>
          </cell>
          <cell r="I118">
            <v>15</v>
          </cell>
        </row>
        <row r="119">
          <cell r="D119">
            <v>345897</v>
          </cell>
          <cell r="F119" t="str">
            <v>ST5-MI-ME</v>
          </cell>
          <cell r="G119" t="str">
            <v>Catch Box Conveyor</v>
          </cell>
          <cell r="H119" t="str">
            <v>ตรวจเช็คการรั่วของน้ำมันเกียร์ Fryer Catchbox Conveyor</v>
          </cell>
          <cell r="I119">
            <v>30</v>
          </cell>
          <cell r="J119">
            <v>15</v>
          </cell>
          <cell r="K119">
            <v>1</v>
          </cell>
        </row>
        <row r="120">
          <cell r="D120">
            <v>345897</v>
          </cell>
          <cell r="F120" t="str">
            <v>ST5-MI-ME</v>
          </cell>
          <cell r="G120" t="str">
            <v>Catch Box Conveyor</v>
          </cell>
          <cell r="H120" t="str">
            <v>ตรวจเช็คการรั่วของลมที่ชุดปาดเศษ Scrap ของ Catchbox Conveyor</v>
          </cell>
          <cell r="I120">
            <v>30</v>
          </cell>
        </row>
        <row r="121">
          <cell r="D121">
            <v>345897</v>
          </cell>
          <cell r="F121" t="str">
            <v>ST5-MI-ME</v>
          </cell>
          <cell r="G121" t="str">
            <v>Main Oil Pump</v>
          </cell>
          <cell r="H121" t="str">
            <v>ตรวจเช็คระดับน้ำมันหล่อลื่นห้อง Bearing ของ MOP (ท่วม Sightglass)</v>
          </cell>
          <cell r="I121">
            <v>30</v>
          </cell>
        </row>
        <row r="122">
          <cell r="D122">
            <v>345897</v>
          </cell>
          <cell r="F122" t="str">
            <v>ST5-MI-ME</v>
          </cell>
          <cell r="G122" t="str">
            <v>Fresh &amp; Used Oil Make-Up Pump</v>
          </cell>
          <cell r="H122" t="str">
            <v>ตรวจเช็คการรั่วของลมที่ชุด Air Preparation Unit Oil Management</v>
          </cell>
          <cell r="I122">
            <v>30</v>
          </cell>
        </row>
        <row r="123">
          <cell r="D123">
            <v>345932</v>
          </cell>
          <cell r="F123" t="str">
            <v>ST5-MV-ME</v>
          </cell>
          <cell r="G123" t="str">
            <v>Main Oil Pump</v>
          </cell>
          <cell r="H123" t="str">
            <v>ตรวจวัดค่า Vibration  Main Oil Pump</v>
          </cell>
          <cell r="I123">
            <v>30</v>
          </cell>
          <cell r="J123">
            <v>10</v>
          </cell>
          <cell r="K123">
            <v>1</v>
          </cell>
        </row>
        <row r="124">
          <cell r="D124">
            <v>345933</v>
          </cell>
          <cell r="E124">
            <v>100718</v>
          </cell>
          <cell r="F124" t="str">
            <v>ST5-QL-ME</v>
          </cell>
          <cell r="G124" t="str">
            <v>Main Oil Pump</v>
          </cell>
          <cell r="H124" t="str">
            <v>เปลี่ยนน้ำมัน Gear Main Oil Pump</v>
          </cell>
          <cell r="I124">
            <v>90</v>
          </cell>
          <cell r="J124">
            <v>60</v>
          </cell>
          <cell r="K124">
            <v>2</v>
          </cell>
        </row>
        <row r="125">
          <cell r="D125">
            <v>350700</v>
          </cell>
          <cell r="E125">
            <v>1408</v>
          </cell>
          <cell r="F125" t="str">
            <v>ST5-QL-ME2</v>
          </cell>
          <cell r="G125" t="str">
            <v>Catch Box Conveyor</v>
          </cell>
          <cell r="H125" t="str">
            <v>เปลี่ยนน้ำมัน Gear Catch Box Conveyor</v>
          </cell>
          <cell r="I125">
            <v>90</v>
          </cell>
        </row>
        <row r="126">
          <cell r="D126">
            <v>345934</v>
          </cell>
          <cell r="F126" t="str">
            <v>ST5-HR-ME</v>
          </cell>
          <cell r="G126" t="str">
            <v>Catch Box Conveyor</v>
          </cell>
          <cell r="H126" t="str">
            <v>เปลี่ยน Bush ด้านล่าง และตัดต่อสายพานของ Fryer Catch Box Conveyor</v>
          </cell>
          <cell r="I126">
            <v>180</v>
          </cell>
          <cell r="J126">
            <v>360</v>
          </cell>
          <cell r="K126">
            <v>5</v>
          </cell>
        </row>
        <row r="128">
          <cell r="D128">
            <v>345885</v>
          </cell>
          <cell r="F128" t="str">
            <v>ST6-FI-ME</v>
          </cell>
          <cell r="G128" t="str">
            <v>SSN Reclaim Bulk Feeder Screw</v>
          </cell>
          <cell r="H128" t="str">
            <v>ตรวจเช็คความสึกหรอและสภาพทั่วไปของท่อ Spiroflow SSN Reclaim Bulk Feeder Screw</v>
          </cell>
          <cell r="I128">
            <v>15</v>
          </cell>
          <cell r="J128">
            <v>30</v>
          </cell>
          <cell r="K128">
            <v>1</v>
          </cell>
        </row>
        <row r="129">
          <cell r="D129">
            <v>345885</v>
          </cell>
          <cell r="F129" t="str">
            <v>ST6-FI-ME</v>
          </cell>
          <cell r="G129" t="str">
            <v>SSN Bulk Feeder Screw</v>
          </cell>
          <cell r="H129" t="str">
            <v xml:space="preserve">ตรวจเช็คความสึกหรอและสภาพทั่วไปของท่อ Spiroflow SSN Bulk Feeder Screw </v>
          </cell>
          <cell r="I129">
            <v>15</v>
          </cell>
        </row>
        <row r="130">
          <cell r="D130">
            <v>345885</v>
          </cell>
          <cell r="F130" t="str">
            <v>ST6-FI-ME</v>
          </cell>
          <cell r="G130" t="str">
            <v>Flipping Belt</v>
          </cell>
          <cell r="H130" t="str">
            <v>ตรวจเช็คและปรับตั้งสายพาน Flipping Belt</v>
          </cell>
          <cell r="I130">
            <v>15</v>
          </cell>
          <cell r="J130">
            <v>30</v>
          </cell>
          <cell r="K130">
            <v>1</v>
          </cell>
        </row>
        <row r="131">
          <cell r="D131">
            <v>345885</v>
          </cell>
          <cell r="F131" t="str">
            <v>ST6-FI-ME</v>
          </cell>
          <cell r="G131" t="str">
            <v>Scarf Feeder</v>
          </cell>
          <cell r="H131" t="str">
            <v>ตรวจเช็ค Stroke การสั่นของ Scraf Feeder</v>
          </cell>
          <cell r="I131">
            <v>15</v>
          </cell>
        </row>
        <row r="132">
          <cell r="D132">
            <v>345886</v>
          </cell>
          <cell r="F132" t="str">
            <v>ST6-FL-ME</v>
          </cell>
          <cell r="G132" t="str">
            <v>SSN Agitator</v>
          </cell>
          <cell r="H132" t="str">
            <v>อัดจาระบี Bearing เพลา Agitator Spiroflow ทั้ง 2 จุด</v>
          </cell>
          <cell r="I132">
            <v>15</v>
          </cell>
          <cell r="J132">
            <v>30</v>
          </cell>
          <cell r="K132">
            <v>1</v>
          </cell>
        </row>
        <row r="133">
          <cell r="D133">
            <v>345886</v>
          </cell>
          <cell r="F133" t="str">
            <v>ST6-FL-ME</v>
          </cell>
          <cell r="G133" t="str">
            <v>Flavouring Rope Conveyor</v>
          </cell>
          <cell r="H133" t="str">
            <v>อัดจาระบี Bearing Flavour Conveyor ทั้ง 12 จุด</v>
          </cell>
          <cell r="I133">
            <v>15</v>
          </cell>
          <cell r="J133">
            <v>30</v>
          </cell>
          <cell r="K133">
            <v>1</v>
          </cell>
        </row>
        <row r="134">
          <cell r="D134">
            <v>345886</v>
          </cell>
          <cell r="F134" t="str">
            <v>ST6-FL-ME</v>
          </cell>
          <cell r="G134" t="str">
            <v>Flipping Belt</v>
          </cell>
          <cell r="H134" t="str">
            <v>อัดจาระบี Bearing Flipping Belt ทั้ง 8 จุด</v>
          </cell>
          <cell r="I134">
            <v>15</v>
          </cell>
        </row>
        <row r="135">
          <cell r="D135">
            <v>345898</v>
          </cell>
          <cell r="E135">
            <v>100720</v>
          </cell>
          <cell r="F135" t="str">
            <v>ST6-MR-ME</v>
          </cell>
          <cell r="G135" t="str">
            <v>SSN Applicator</v>
          </cell>
          <cell r="H135" t="str">
            <v>เปลี่ยนปะเก็นเชือก SSN Applicator</v>
          </cell>
          <cell r="I135">
            <v>30</v>
          </cell>
          <cell r="J135">
            <v>90</v>
          </cell>
          <cell r="K135">
            <v>2</v>
          </cell>
        </row>
        <row r="136">
          <cell r="D136">
            <v>345898</v>
          </cell>
          <cell r="E136">
            <v>100720</v>
          </cell>
          <cell r="F136" t="str">
            <v>ST6-MR-ME</v>
          </cell>
          <cell r="G136" t="str">
            <v>SSN Agitator</v>
          </cell>
          <cell r="H136" t="str">
            <v>เปลี่ยนปะเก็นเชือก SSN Agitator</v>
          </cell>
          <cell r="I136">
            <v>30</v>
          </cell>
        </row>
        <row r="137">
          <cell r="D137">
            <v>345935</v>
          </cell>
          <cell r="F137" t="str">
            <v>ST6-QR-ME</v>
          </cell>
          <cell r="G137" t="str">
            <v>Flavouring Rope Conveyor</v>
          </cell>
          <cell r="H137" t="str">
            <v>เปลี่ยนสายพาน Flavouring Rope Conveyor ทั้งหมด</v>
          </cell>
          <cell r="I137">
            <v>90</v>
          </cell>
          <cell r="J137">
            <v>480</v>
          </cell>
          <cell r="K137">
            <v>6</v>
          </cell>
        </row>
        <row r="138">
          <cell r="D138">
            <v>345935</v>
          </cell>
          <cell r="F138" t="str">
            <v>ST6-QR-ME</v>
          </cell>
          <cell r="G138" t="str">
            <v>Flipping Belt</v>
          </cell>
          <cell r="H138" t="str">
            <v>เปลี่ยนสายพาน Flipping Belt</v>
          </cell>
          <cell r="I138">
            <v>90</v>
          </cell>
        </row>
        <row r="139">
          <cell r="D139">
            <v>343017</v>
          </cell>
          <cell r="E139">
            <v>673</v>
          </cell>
          <cell r="F139" t="str">
            <v>ST6-QR-ME2</v>
          </cell>
          <cell r="G139" t="str">
            <v>Flipping Belt</v>
          </cell>
          <cell r="H139" t="str">
            <v xml:space="preserve">เปลี่ยน Bearing และ Oil seal  roller flipping conveyor </v>
          </cell>
          <cell r="I139">
            <v>90</v>
          </cell>
          <cell r="J139">
            <v>120</v>
          </cell>
          <cell r="K139">
            <v>4</v>
          </cell>
        </row>
        <row r="140">
          <cell r="D140">
            <v>345936</v>
          </cell>
          <cell r="E140">
            <v>100721</v>
          </cell>
          <cell r="F140" t="str">
            <v>ST6-HL-ME</v>
          </cell>
          <cell r="G140" t="str">
            <v>SSN Agitator</v>
          </cell>
          <cell r="H140" t="str">
            <v>เปลี่ยนน้ำมัน Gear Agitator Spiroflow Agitator</v>
          </cell>
          <cell r="I140">
            <v>180</v>
          </cell>
          <cell r="J140">
            <v>180</v>
          </cell>
          <cell r="K140">
            <v>2</v>
          </cell>
        </row>
        <row r="141">
          <cell r="D141">
            <v>345936</v>
          </cell>
          <cell r="E141">
            <v>100721</v>
          </cell>
          <cell r="F141" t="str">
            <v>ST6-HL-ME</v>
          </cell>
          <cell r="G141" t="str">
            <v>Flavouring Rope Conveyor</v>
          </cell>
          <cell r="H141" t="str">
            <v>เปลี่ยนน้ำมัน Gear Flavour Conveyor</v>
          </cell>
          <cell r="I141">
            <v>180</v>
          </cell>
          <cell r="J141">
            <v>180</v>
          </cell>
          <cell r="K141">
            <v>2</v>
          </cell>
        </row>
        <row r="142">
          <cell r="D142">
            <v>345936</v>
          </cell>
          <cell r="E142">
            <v>100721</v>
          </cell>
          <cell r="F142" t="str">
            <v>ST6-HL-ME</v>
          </cell>
          <cell r="G142" t="str">
            <v>Flipping Belt</v>
          </cell>
          <cell r="H142" t="str">
            <v>เปลี่ยนน้ำมัน Gear Flipping Belt</v>
          </cell>
          <cell r="I142">
            <v>180</v>
          </cell>
        </row>
        <row r="143">
          <cell r="D143">
            <v>345936</v>
          </cell>
          <cell r="E143">
            <v>100721</v>
          </cell>
          <cell r="F143" t="str">
            <v>ST6-HL-ME</v>
          </cell>
          <cell r="G143" t="str">
            <v>SSN Bulk Feeder Screw</v>
          </cell>
          <cell r="H143" t="str">
            <v>เปลี่ยนน้ำมัน Gear SSN Bulk Feeder Screw</v>
          </cell>
          <cell r="I143">
            <v>180</v>
          </cell>
        </row>
        <row r="144">
          <cell r="D144">
            <v>342401</v>
          </cell>
          <cell r="E144">
            <v>510</v>
          </cell>
          <cell r="F144" t="str">
            <v>ST6-NR-ME</v>
          </cell>
          <cell r="G144" t="str">
            <v>SSN Applicator</v>
          </cell>
          <cell r="H144" t="str">
            <v>เปลี่ยน Gear SSN Agitator และ Auger ของชุด SSN Applicator</v>
          </cell>
          <cell r="I144">
            <v>60</v>
          </cell>
          <cell r="J144">
            <v>240</v>
          </cell>
          <cell r="K144">
            <v>2</v>
          </cell>
        </row>
        <row r="145">
          <cell r="D145">
            <v>345937</v>
          </cell>
          <cell r="E145">
            <v>396</v>
          </cell>
          <cell r="F145" t="str">
            <v>ST6-HR-ME</v>
          </cell>
          <cell r="G145" t="str">
            <v>SSN Reclaim Agitator</v>
          </cell>
          <cell r="H145" t="str">
            <v xml:space="preserve">เปลี่ยน Gear SSN Reclaim Agitator </v>
          </cell>
          <cell r="I145">
            <v>180</v>
          </cell>
          <cell r="J145">
            <v>180</v>
          </cell>
          <cell r="K145">
            <v>3</v>
          </cell>
        </row>
        <row r="146">
          <cell r="D146">
            <v>345887</v>
          </cell>
          <cell r="E146">
            <v>100722</v>
          </cell>
          <cell r="F146" t="str">
            <v>ST7-FL-ME</v>
          </cell>
          <cell r="G146" t="str">
            <v>Infeed Conveyor #1-2</v>
          </cell>
          <cell r="H146" t="str">
            <v>อัดจาระบี Bearing Infeed Conveyor #1,2 ทุกจุด</v>
          </cell>
          <cell r="I146">
            <v>15</v>
          </cell>
          <cell r="J146">
            <v>30</v>
          </cell>
        </row>
        <row r="147">
          <cell r="D147">
            <v>345887</v>
          </cell>
          <cell r="F147" t="str">
            <v>ST7-FL-ME</v>
          </cell>
          <cell r="G147" t="str">
            <v>Infeed Lowrator #1-2</v>
          </cell>
          <cell r="H147" t="str">
            <v>อัดจาระบี Bearing Infeed Lowrator #1,2 ทุกจุด</v>
          </cell>
          <cell r="I147">
            <v>15</v>
          </cell>
          <cell r="J147">
            <v>30</v>
          </cell>
          <cell r="K147">
            <v>1</v>
          </cell>
        </row>
        <row r="148">
          <cell r="D148">
            <v>345887</v>
          </cell>
          <cell r="F148" t="str">
            <v>ST7-FL-ME</v>
          </cell>
          <cell r="G148" t="str">
            <v>Lowrator &amp; Rinser #1-4</v>
          </cell>
          <cell r="H148" t="str">
            <v>อัดจาระบี Bearing Lowrator &amp; Rinser #1-4 ทุกจุด</v>
          </cell>
          <cell r="I148">
            <v>15</v>
          </cell>
        </row>
        <row r="149">
          <cell r="D149">
            <v>345887</v>
          </cell>
          <cell r="F149" t="str">
            <v>ST7-FL-ME</v>
          </cell>
          <cell r="G149" t="str">
            <v>Infeed Divider #1-2</v>
          </cell>
          <cell r="H149" t="str">
            <v>อัดจาระบี Bearing Infeed Divider #1,2 ทุกจุด</v>
          </cell>
          <cell r="I149">
            <v>15</v>
          </cell>
        </row>
        <row r="150">
          <cell r="D150">
            <v>345887</v>
          </cell>
          <cell r="F150" t="str">
            <v>ST7-FL-ME</v>
          </cell>
          <cell r="G150" t="str">
            <v>Outfeed Divider #1-2</v>
          </cell>
          <cell r="H150" t="str">
            <v>อัดจาระบี Bearing Outfeed Divider #1,2 ทุกจุด</v>
          </cell>
          <cell r="I150">
            <v>15</v>
          </cell>
        </row>
        <row r="151">
          <cell r="D151">
            <v>345899</v>
          </cell>
          <cell r="F151" t="str">
            <v>ST7-MI-ME</v>
          </cell>
          <cell r="G151" t="str">
            <v>Lowrator &amp; Rinser #1,2</v>
          </cell>
          <cell r="H151" t="str">
            <v>ตรวจเช็คสภาพการใช้งานและปรับตั้งความตึงหย่อน Lowrator &amp; Rinser #1,2</v>
          </cell>
          <cell r="I151">
            <v>30</v>
          </cell>
          <cell r="J151">
            <v>30</v>
          </cell>
          <cell r="K151">
            <v>1</v>
          </cell>
        </row>
        <row r="152">
          <cell r="D152">
            <v>345899</v>
          </cell>
          <cell r="F152" t="str">
            <v>ST7-MI-ME</v>
          </cell>
          <cell r="G152" t="str">
            <v>Lowrator &amp; Rinser #1,2</v>
          </cell>
          <cell r="H152" t="str">
            <v>ตรวจเช็คสภาพ Sprocket ชุดขับ และ ชุดตาม ทุกตัว</v>
          </cell>
          <cell r="I152">
            <v>30</v>
          </cell>
        </row>
        <row r="153">
          <cell r="D153">
            <v>345938</v>
          </cell>
          <cell r="F153" t="str">
            <v>ST7-QI-ME</v>
          </cell>
          <cell r="G153" t="str">
            <v>Lowrator &amp; Rinser #1,2</v>
          </cell>
          <cell r="H153" t="str">
            <v>ตรวจเช็คสภาพ Air Rinser และ เปลี่ยน filter air rinser พร้อมถอดทำความสะอาด</v>
          </cell>
          <cell r="I153">
            <v>90</v>
          </cell>
          <cell r="J153">
            <v>30</v>
          </cell>
          <cell r="K153">
            <v>1</v>
          </cell>
        </row>
        <row r="154">
          <cell r="D154">
            <v>345939</v>
          </cell>
          <cell r="E154">
            <v>100724</v>
          </cell>
          <cell r="F154" t="str">
            <v>ST7-HL-ME</v>
          </cell>
          <cell r="G154" t="str">
            <v>Infeed Conveyor #1-2</v>
          </cell>
          <cell r="H154" t="str">
            <v>เปลี่ยนน้ำมัน Gear Infeed Conveyor #1,2</v>
          </cell>
          <cell r="I154">
            <v>180</v>
          </cell>
          <cell r="J154">
            <v>120</v>
          </cell>
          <cell r="K154">
            <v>2</v>
          </cell>
        </row>
        <row r="155">
          <cell r="D155">
            <v>345939</v>
          </cell>
          <cell r="E155">
            <v>100724</v>
          </cell>
          <cell r="F155" t="str">
            <v>ST7-HL-ME</v>
          </cell>
          <cell r="G155" t="str">
            <v>Infeed Lowrator #1-2</v>
          </cell>
          <cell r="H155" t="str">
            <v>เปลี่ยนน้ำมัน Gear Infeed Lowrator #1,2</v>
          </cell>
          <cell r="I155">
            <v>180</v>
          </cell>
        </row>
        <row r="156">
          <cell r="D156">
            <v>345939</v>
          </cell>
          <cell r="E156">
            <v>100724</v>
          </cell>
          <cell r="F156" t="str">
            <v>ST7-HL-ME</v>
          </cell>
          <cell r="G156" t="str">
            <v>Lowrator &amp; Rinser #1-4</v>
          </cell>
          <cell r="H156" t="str">
            <v>เปลี่ยนน้ำมัน Gear Lowrator &amp; Rinser #1-4</v>
          </cell>
          <cell r="I156">
            <v>180</v>
          </cell>
          <cell r="J156">
            <v>120</v>
          </cell>
          <cell r="K156">
            <v>2</v>
          </cell>
        </row>
        <row r="157">
          <cell r="D157">
            <v>345939</v>
          </cell>
          <cell r="E157">
            <v>100724</v>
          </cell>
          <cell r="F157" t="str">
            <v>ST7-HL-ME</v>
          </cell>
          <cell r="G157" t="str">
            <v>Infeed Divider #1-2</v>
          </cell>
          <cell r="H157" t="str">
            <v>เปลี่ยนน้ำมัน Gear Infeed Divider #1,2</v>
          </cell>
          <cell r="I157">
            <v>180</v>
          </cell>
        </row>
        <row r="158">
          <cell r="D158">
            <v>345939</v>
          </cell>
          <cell r="E158">
            <v>100724</v>
          </cell>
          <cell r="F158" t="str">
            <v>ST7-HL-ME</v>
          </cell>
          <cell r="G158" t="str">
            <v>Outfeed Divider #1-2</v>
          </cell>
          <cell r="H158" t="str">
            <v>เปลี่ยนน้ำมัน Gear Outfeed Divider #1,2</v>
          </cell>
          <cell r="I158">
            <v>180</v>
          </cell>
        </row>
        <row r="159">
          <cell r="D159">
            <v>345888</v>
          </cell>
          <cell r="E159">
            <v>100725</v>
          </cell>
          <cell r="F159" t="str">
            <v>ST8-FL-ME</v>
          </cell>
          <cell r="G159" t="str">
            <v>Filler Table Conveyor #1-2</v>
          </cell>
          <cell r="H159" t="str">
            <v>อัดจาระบี Bearing Filler Table Conveyor #1,2</v>
          </cell>
          <cell r="I159">
            <v>15</v>
          </cell>
          <cell r="J159">
            <v>30</v>
          </cell>
          <cell r="K159">
            <v>1</v>
          </cell>
        </row>
        <row r="160">
          <cell r="D160">
            <v>345888</v>
          </cell>
          <cell r="E160">
            <v>100725</v>
          </cell>
          <cell r="F160" t="str">
            <v>ST8-FL-ME</v>
          </cell>
          <cell r="G160" t="str">
            <v>Outfeed Filler Table Conveyor #1-4</v>
          </cell>
          <cell r="H160" t="str">
            <v>อัดจาระบี Bearing Outfeed Filler Table Conveyor #1-4</v>
          </cell>
          <cell r="I160">
            <v>15</v>
          </cell>
        </row>
        <row r="161">
          <cell r="D161">
            <v>345900</v>
          </cell>
          <cell r="F161" t="str">
            <v>ST8-MI-ME</v>
          </cell>
          <cell r="G161" t="str">
            <v>Portioning Conveyor #4 (Left-Right Side)</v>
          </cell>
          <cell r="H161" t="str">
            <v>ตรวจเช็คสภาพจานหมุนชุดเข้าโค้ง ชุดขับ และ ชุดตาม ทุกตัว</v>
          </cell>
          <cell r="I161">
            <v>30</v>
          </cell>
        </row>
        <row r="162">
          <cell r="D162">
            <v>345900</v>
          </cell>
          <cell r="F162" t="str">
            <v>ST8-MI-ME</v>
          </cell>
          <cell r="G162" t="str">
            <v>Filler Table Conveyor #1,2</v>
          </cell>
          <cell r="H162" t="str">
            <v>ตรวจเช็คสภาพการใช้งานและตรวจเช็คความตึงหย่อน  Conveyor ทุกตัว</v>
          </cell>
          <cell r="I162">
            <v>30</v>
          </cell>
        </row>
        <row r="163">
          <cell r="D163">
            <v>345900</v>
          </cell>
          <cell r="F163" t="str">
            <v>ST8-MI-ME</v>
          </cell>
          <cell r="G163" t="str">
            <v>Filler Table Conveyor #1,2</v>
          </cell>
          <cell r="H163" t="str">
            <v>ตรวจเช็คสภาพ Sprocket ชุดขับ และ ชุดตาม ทุกตัว</v>
          </cell>
          <cell r="I163">
            <v>30</v>
          </cell>
        </row>
        <row r="164">
          <cell r="D164">
            <v>345940</v>
          </cell>
          <cell r="E164">
            <v>100727</v>
          </cell>
          <cell r="F164" t="str">
            <v>ST8-HL-ME</v>
          </cell>
          <cell r="G164" t="str">
            <v>Filler Table Conveyor #1-2</v>
          </cell>
          <cell r="H164" t="str">
            <v>เปลี่ยนน้ำมัน Gear Filler Table Conveyor ทั้งหมด</v>
          </cell>
          <cell r="I164">
            <v>180</v>
          </cell>
          <cell r="J164">
            <v>60</v>
          </cell>
          <cell r="K164">
            <v>2</v>
          </cell>
        </row>
        <row r="165">
          <cell r="D165">
            <v>345940</v>
          </cell>
          <cell r="E165">
            <v>100727</v>
          </cell>
          <cell r="F165" t="str">
            <v>ST8-HL-ME</v>
          </cell>
          <cell r="G165" t="str">
            <v>Outfeed Filler Table Conveyor #1-4</v>
          </cell>
          <cell r="H165" t="str">
            <v>เปลี่ยนน้ำมัน Gear Outfeed Filler Table Conveyor ทั้งหมด</v>
          </cell>
          <cell r="I165">
            <v>180</v>
          </cell>
        </row>
        <row r="167">
          <cell r="D167">
            <v>345889</v>
          </cell>
          <cell r="E167">
            <v>100728</v>
          </cell>
          <cell r="F167" t="str">
            <v>ST9-FI-ME</v>
          </cell>
          <cell r="G167" t="str">
            <v>Automatic Weigher (Size S)</v>
          </cell>
          <cell r="H167" t="str">
            <v>ตรวจเช็ค Speed Belt Check-Weighter Conveyor #1 (Size S)</v>
          </cell>
          <cell r="I167">
            <v>15</v>
          </cell>
          <cell r="J167">
            <v>30</v>
          </cell>
          <cell r="K167">
            <v>1</v>
          </cell>
        </row>
        <row r="168">
          <cell r="D168">
            <v>345889</v>
          </cell>
          <cell r="E168">
            <v>100728</v>
          </cell>
          <cell r="F168" t="str">
            <v>ST9-FI-ME</v>
          </cell>
          <cell r="G168" t="str">
            <v>Automatic Weigher (Size L)</v>
          </cell>
          <cell r="H168" t="str">
            <v>ตรวจเช็ค Speed Belt Check-Weighter Conveyor #2 (Size L)</v>
          </cell>
          <cell r="I168">
            <v>15</v>
          </cell>
        </row>
        <row r="169">
          <cell r="D169">
            <v>345889</v>
          </cell>
          <cell r="E169">
            <v>100728</v>
          </cell>
          <cell r="F169" t="str">
            <v>ST9-FI-ME</v>
          </cell>
          <cell r="G169" t="str">
            <v>Automatic Weigher (Size S)</v>
          </cell>
          <cell r="H169" t="str">
            <v>ตรวจเช็ค สายพานขาว #1 Check-Weighter Conveyor #1 (Size S)</v>
          </cell>
          <cell r="I169">
            <v>15</v>
          </cell>
        </row>
        <row r="170">
          <cell r="D170">
            <v>345889</v>
          </cell>
          <cell r="E170">
            <v>100728</v>
          </cell>
          <cell r="F170" t="str">
            <v>ST9-FI-ME</v>
          </cell>
          <cell r="G170" t="str">
            <v>Automatic Weigher (Size S)</v>
          </cell>
          <cell r="H170" t="str">
            <v>ตรวจเช็ค สายพานขาว #2 Check-Weighter Conveyor #1 (Size S)</v>
          </cell>
          <cell r="I170">
            <v>15</v>
          </cell>
        </row>
        <row r="171">
          <cell r="D171">
            <v>345889</v>
          </cell>
          <cell r="E171">
            <v>100728</v>
          </cell>
          <cell r="F171" t="str">
            <v>ST9-FI-ME</v>
          </cell>
          <cell r="G171" t="str">
            <v>Automatic Weigher (Size S)</v>
          </cell>
          <cell r="H171" t="str">
            <v>ตรวจเช็ค สายพานขาว #3 Check-Weighter Conveyor #1 (Size S)</v>
          </cell>
          <cell r="I171">
            <v>15</v>
          </cell>
        </row>
        <row r="172">
          <cell r="D172">
            <v>345889</v>
          </cell>
          <cell r="E172">
            <v>100728</v>
          </cell>
          <cell r="F172" t="str">
            <v>ST9-FI-ME</v>
          </cell>
          <cell r="G172" t="str">
            <v>Automatic Weigher (Size L)</v>
          </cell>
          <cell r="H172" t="str">
            <v>ตรวจเช็ค สายพานขาว #1 Check-Weighter Conveyor #2 (Size L)</v>
          </cell>
          <cell r="I172">
            <v>15</v>
          </cell>
        </row>
        <row r="173">
          <cell r="D173">
            <v>345889</v>
          </cell>
          <cell r="E173">
            <v>100728</v>
          </cell>
          <cell r="F173" t="str">
            <v>ST9-FI-ME</v>
          </cell>
          <cell r="G173" t="str">
            <v>Alpine Cooling Conveyor #2</v>
          </cell>
          <cell r="H173" t="str">
            <v>ตรวจเช็คสภาพจานหมุนชุดเข้าโค้ง ชุดขับ และ ชุดตาม Alpine Conveyor #2 (Size L) ทุกตัว</v>
          </cell>
          <cell r="I173">
            <v>15</v>
          </cell>
        </row>
        <row r="174">
          <cell r="D174">
            <v>345889</v>
          </cell>
          <cell r="E174">
            <v>100728</v>
          </cell>
          <cell r="F174" t="str">
            <v>ST9-FI-ME</v>
          </cell>
          <cell r="G174" t="str">
            <v>Alpine Cooling Conveyor #2</v>
          </cell>
          <cell r="H174" t="str">
            <v>ตรวจเช็คความตึงหย่อน Alpine Cooling Conveyor #2 (Size L) ทุกตัว</v>
          </cell>
          <cell r="I174">
            <v>15</v>
          </cell>
        </row>
        <row r="175">
          <cell r="D175">
            <v>345890</v>
          </cell>
          <cell r="E175">
            <v>100729</v>
          </cell>
          <cell r="F175" t="str">
            <v>ST9-FL-ME</v>
          </cell>
          <cell r="G175" t="str">
            <v>Automatic Weigher (Size S)</v>
          </cell>
          <cell r="H175" t="str">
            <v>อัดจาระบี Bearing Check-Weighter Conveyor #1 (Size S) ทุกตัว</v>
          </cell>
          <cell r="I175">
            <v>15</v>
          </cell>
          <cell r="J175">
            <v>15</v>
          </cell>
          <cell r="K175">
            <v>1</v>
          </cell>
        </row>
        <row r="176">
          <cell r="D176">
            <v>345890</v>
          </cell>
          <cell r="E176">
            <v>100729</v>
          </cell>
          <cell r="F176" t="str">
            <v>ST9-FL-ME</v>
          </cell>
          <cell r="G176" t="str">
            <v>Automatic Weigher (Size L)</v>
          </cell>
          <cell r="H176" t="str">
            <v>อัดจาระบี Bearing Check-Weighter Conveyor #2 (Size L) ทุกตัว</v>
          </cell>
          <cell r="I176">
            <v>15</v>
          </cell>
        </row>
        <row r="177">
          <cell r="D177">
            <v>345890</v>
          </cell>
          <cell r="E177">
            <v>100729</v>
          </cell>
          <cell r="F177" t="str">
            <v>ST9-FL-ME</v>
          </cell>
          <cell r="G177" t="str">
            <v>Alpine Cooling Conveyor #1</v>
          </cell>
          <cell r="H177" t="str">
            <v>อัดจาระบี Bearing Alpine Conveyor #1 (Size S) ทุกตัว</v>
          </cell>
          <cell r="I177">
            <v>15</v>
          </cell>
        </row>
        <row r="178">
          <cell r="D178">
            <v>345890</v>
          </cell>
          <cell r="E178">
            <v>100729</v>
          </cell>
          <cell r="F178" t="str">
            <v>ST9-FL-ME</v>
          </cell>
          <cell r="G178" t="str">
            <v>Alpine Cooling Conveyor #2</v>
          </cell>
          <cell r="H178" t="str">
            <v>อัดจาระบี Bearing Alpine Conveyor #2 (Size L) ทุกตัว</v>
          </cell>
          <cell r="I178">
            <v>15</v>
          </cell>
        </row>
        <row r="179">
          <cell r="D179">
            <v>345890</v>
          </cell>
          <cell r="E179">
            <v>100729</v>
          </cell>
          <cell r="G179" t="str">
            <v>Infeed Weigher Conveyor #1-2</v>
          </cell>
          <cell r="H179" t="str">
            <v>อัดจาระบี Bearing Infeed Weigher Conveyor #1-2</v>
          </cell>
          <cell r="I179">
            <v>15</v>
          </cell>
        </row>
        <row r="180">
          <cell r="D180">
            <v>345941</v>
          </cell>
          <cell r="E180">
            <v>100730</v>
          </cell>
          <cell r="F180" t="str">
            <v>ST9-HL-ME</v>
          </cell>
          <cell r="G180" t="str">
            <v>Automatic Weigher (Size S)</v>
          </cell>
          <cell r="H180" t="str">
            <v>เปลี่ยนน้ำมัน Gear Check-Weighter Conveyor #1 (Size S) ทุกตัว</v>
          </cell>
          <cell r="I180">
            <v>180</v>
          </cell>
          <cell r="J180">
            <v>150</v>
          </cell>
          <cell r="K180">
            <v>2</v>
          </cell>
        </row>
        <row r="181">
          <cell r="D181">
            <v>345941</v>
          </cell>
          <cell r="E181">
            <v>100730</v>
          </cell>
          <cell r="F181" t="str">
            <v>ST9-HL-ME</v>
          </cell>
          <cell r="G181" t="str">
            <v>Automatic Weigher (Size L)</v>
          </cell>
          <cell r="H181" t="str">
            <v>เปลี่ยนน้ำมัน Gear Check-Weighter Conveyor #2 (Size L) ทุกตัว</v>
          </cell>
          <cell r="I181">
            <v>180</v>
          </cell>
        </row>
        <row r="182">
          <cell r="D182">
            <v>345941</v>
          </cell>
          <cell r="E182">
            <v>100730</v>
          </cell>
          <cell r="F182" t="str">
            <v>ST9-HL-ME</v>
          </cell>
          <cell r="G182" t="str">
            <v>Alpine Cooling Conveyor #1</v>
          </cell>
          <cell r="H182" t="str">
            <v>เปลี่ยนน้ำมัน Gear Alpine Conveyor #1 (Size S) ทุกตัว</v>
          </cell>
          <cell r="I182">
            <v>180</v>
          </cell>
        </row>
        <row r="183">
          <cell r="D183">
            <v>345941</v>
          </cell>
          <cell r="E183">
            <v>100730</v>
          </cell>
          <cell r="F183" t="str">
            <v>ST9-HL-ME</v>
          </cell>
          <cell r="G183" t="str">
            <v>Alpine Cooling Conveyor #2</v>
          </cell>
          <cell r="H183" t="str">
            <v>เปลี่ยนน้ำมัน Gear Alpine Conveyor #2 (Size L ) ทุกตัว</v>
          </cell>
          <cell r="I183">
            <v>180</v>
          </cell>
        </row>
        <row r="184">
          <cell r="D184">
            <v>345941</v>
          </cell>
          <cell r="E184">
            <v>100730</v>
          </cell>
          <cell r="F184" t="str">
            <v>ST9-HL-ME</v>
          </cell>
          <cell r="G184" t="str">
            <v>Infeed Weigher Conveyor #1-2</v>
          </cell>
          <cell r="H184" t="str">
            <v>เปลี่ยนน้ำมัน Gear Infeed Weigher Conveyor #1-2</v>
          </cell>
          <cell r="I184">
            <v>180</v>
          </cell>
        </row>
      </sheetData>
      <sheetData sheetId="5" refreshError="1">
        <row r="6">
          <cell r="C6">
            <v>610000004021</v>
          </cell>
          <cell r="D6" t="str">
            <v>P10-MI-ME</v>
          </cell>
          <cell r="E6">
            <v>100455</v>
          </cell>
          <cell r="F6" t="str">
            <v>Crate Dumper #1</v>
          </cell>
          <cell r="G6" t="str">
            <v>ตรวจเช็คระดับน้ำมันไฮดรอลิก Crate Dumper #1</v>
          </cell>
          <cell r="H6">
            <v>30</v>
          </cell>
          <cell r="I6">
            <v>15</v>
          </cell>
          <cell r="J6">
            <v>1</v>
          </cell>
        </row>
        <row r="7">
          <cell r="C7">
            <v>610000004021</v>
          </cell>
          <cell r="D7" t="str">
            <v>P10-MI-ME</v>
          </cell>
          <cell r="E7">
            <v>100455</v>
          </cell>
          <cell r="F7" t="str">
            <v>Crate Dumper #1</v>
          </cell>
          <cell r="G7" t="str">
            <v>ตรวจเช็คเสียงผิดปกติของการยกของ Dumper #1</v>
          </cell>
          <cell r="H7">
            <v>30</v>
          </cell>
          <cell r="I7">
            <v>15</v>
          </cell>
          <cell r="J7">
            <v>1</v>
          </cell>
        </row>
        <row r="8">
          <cell r="C8">
            <v>610000004021</v>
          </cell>
          <cell r="D8" t="str">
            <v>P10-MI-ME</v>
          </cell>
          <cell r="E8">
            <v>100455</v>
          </cell>
          <cell r="F8" t="str">
            <v>Crate Dumper #2</v>
          </cell>
          <cell r="G8" t="str">
            <v>ตรวจเช็คเสียงผิดปกติของการยกของ Dumper #2</v>
          </cell>
          <cell r="H8">
            <v>30</v>
          </cell>
        </row>
        <row r="9">
          <cell r="C9">
            <v>610000004021</v>
          </cell>
          <cell r="D9" t="str">
            <v>P10-MI-ME</v>
          </cell>
          <cell r="E9">
            <v>100455</v>
          </cell>
          <cell r="F9" t="str">
            <v>Crate Dumper #2</v>
          </cell>
          <cell r="G9" t="str">
            <v>ตรวจเช็คระดับน้ำมันไฮดรอลิก Crate Dumper #2</v>
          </cell>
          <cell r="H9">
            <v>30</v>
          </cell>
        </row>
        <row r="10">
          <cell r="C10">
            <v>610000004022</v>
          </cell>
          <cell r="D10" t="str">
            <v>P10-ML-ME</v>
          </cell>
          <cell r="E10">
            <v>100456</v>
          </cell>
          <cell r="F10" t="str">
            <v>Crate Dumper #1,2</v>
          </cell>
          <cell r="G10" t="str">
            <v>อัดจาระบี Bearing หู Dumper #1,2 ทั้ง 2 จุด</v>
          </cell>
          <cell r="H10">
            <v>30</v>
          </cell>
          <cell r="I10">
            <v>15</v>
          </cell>
          <cell r="J10">
            <v>1</v>
          </cell>
        </row>
        <row r="11">
          <cell r="C11">
            <v>610000004022</v>
          </cell>
          <cell r="D11" t="str">
            <v>P10-ML-ME</v>
          </cell>
          <cell r="E11">
            <v>100456</v>
          </cell>
          <cell r="F11" t="str">
            <v>Hopper Feeder #1,2</v>
          </cell>
          <cell r="G11" t="str">
            <v>อัดจาระบี Bearing Hopper Feeder #1,2 ทั้ง 4 จุด</v>
          </cell>
          <cell r="H11">
            <v>30</v>
          </cell>
          <cell r="I11">
            <v>15</v>
          </cell>
          <cell r="J11">
            <v>1</v>
          </cell>
        </row>
        <row r="12">
          <cell r="C12">
            <v>610000004022</v>
          </cell>
          <cell r="D12" t="str">
            <v>P10-ML-ME</v>
          </cell>
          <cell r="E12">
            <v>100456</v>
          </cell>
          <cell r="F12" t="str">
            <v>Potato Transfer Conveyor</v>
          </cell>
          <cell r="G12" t="str">
            <v>อัดจาระบี Bearing Potato Transfer Conv #1,2 ทั้ง 4 จุด</v>
          </cell>
          <cell r="H12">
            <v>30</v>
          </cell>
        </row>
        <row r="13">
          <cell r="C13">
            <v>610000004022</v>
          </cell>
          <cell r="D13" t="str">
            <v>P10-ML-ME</v>
          </cell>
          <cell r="E13">
            <v>100456</v>
          </cell>
          <cell r="F13" t="str">
            <v>Hopper Feeder #1,2</v>
          </cell>
          <cell r="G13" t="str">
            <v>อัดจาระบี Bearing Scrap Auger #1,2 ทั้ง 2 จุด</v>
          </cell>
          <cell r="H13">
            <v>30</v>
          </cell>
        </row>
        <row r="14">
          <cell r="C14">
            <v>610000004023</v>
          </cell>
          <cell r="D14" t="str">
            <v>P10-HR-ME</v>
          </cell>
          <cell r="F14" t="str">
            <v>Potato Transfer Conveyor</v>
          </cell>
          <cell r="G14" t="str">
            <v>เปลี่ยนสายพาน Potato Transfer conveyor</v>
          </cell>
          <cell r="H14">
            <v>180</v>
          </cell>
          <cell r="I14">
            <v>120</v>
          </cell>
          <cell r="J14">
            <v>4</v>
          </cell>
        </row>
        <row r="15">
          <cell r="C15">
            <v>610000004024</v>
          </cell>
          <cell r="D15" t="str">
            <v>P10-HL-ME</v>
          </cell>
          <cell r="F15" t="str">
            <v>Hopper Feeder #1,2</v>
          </cell>
          <cell r="G15" t="str">
            <v>เปลี่ยนน้ำมันเกียร์ Hopper Feeder #1,2</v>
          </cell>
          <cell r="H15">
            <v>180</v>
          </cell>
          <cell r="I15">
            <v>120</v>
          </cell>
          <cell r="J15">
            <v>2</v>
          </cell>
        </row>
        <row r="16">
          <cell r="C16">
            <v>610000004024</v>
          </cell>
          <cell r="D16" t="str">
            <v>P10-HL-ME</v>
          </cell>
          <cell r="F16" t="str">
            <v>Crate Dumper #1,2</v>
          </cell>
          <cell r="G16" t="str">
            <v>เปลี่ยนน้ำมันไฮดรอลิกของ Crate Dumper #1,2</v>
          </cell>
          <cell r="H16">
            <v>180</v>
          </cell>
        </row>
        <row r="17">
          <cell r="C17">
            <v>610000004024</v>
          </cell>
          <cell r="D17" t="str">
            <v>P10-HL-ME</v>
          </cell>
          <cell r="F17" t="str">
            <v>Hopper Feeder #1,2</v>
          </cell>
          <cell r="G17" t="str">
            <v>เปลี่ยนน้ำมันเกียร์ Scrap Auger Feeder #1,2</v>
          </cell>
          <cell r="H17">
            <v>180</v>
          </cell>
          <cell r="I17">
            <v>120</v>
          </cell>
          <cell r="J17">
            <v>2</v>
          </cell>
        </row>
        <row r="18">
          <cell r="C18">
            <v>610000004024</v>
          </cell>
          <cell r="D18" t="str">
            <v>P10-HL-ME</v>
          </cell>
          <cell r="F18" t="str">
            <v>Potato Transfer Conveyor</v>
          </cell>
          <cell r="G18" t="str">
            <v>เปลี่ยนน้ำมันเกียร์ Potato Transfer Conveyor #1,2</v>
          </cell>
          <cell r="H18">
            <v>180</v>
          </cell>
        </row>
        <row r="19">
          <cell r="C19">
            <v>610000004024</v>
          </cell>
          <cell r="D19" t="str">
            <v>P10-HL-ME</v>
          </cell>
          <cell r="F19" t="str">
            <v>Crate Dumper #2</v>
          </cell>
          <cell r="G19" t="str">
            <v>เปลี่ยนกรองไฮดรอลิก Crate Dumper ทั้ง 2 ชุด</v>
          </cell>
          <cell r="H19">
            <v>180</v>
          </cell>
        </row>
        <row r="20">
          <cell r="C20">
            <v>610000004025</v>
          </cell>
          <cell r="D20" t="str">
            <v>P11-ML-ME</v>
          </cell>
          <cell r="E20">
            <v>100459</v>
          </cell>
          <cell r="F20" t="str">
            <v>Potato Pump</v>
          </cell>
          <cell r="G20" t="str">
            <v>อัดจาระบี Bearing Frame Potato Pump หน้า-หลัง</v>
          </cell>
          <cell r="H20">
            <v>30</v>
          </cell>
          <cell r="I20">
            <v>10</v>
          </cell>
          <cell r="J20">
            <v>1</v>
          </cell>
        </row>
        <row r="21">
          <cell r="C21">
            <v>610000004025</v>
          </cell>
          <cell r="D21" t="str">
            <v>P11-ML-ME</v>
          </cell>
          <cell r="E21">
            <v>100459</v>
          </cell>
          <cell r="F21" t="str">
            <v>Dewatering Conveyor</v>
          </cell>
          <cell r="G21" t="str">
            <v>อัดจาระบี Bearing ของ Dewatering Conveyor ทั้ง 2 จุด</v>
          </cell>
          <cell r="H21">
            <v>30</v>
          </cell>
        </row>
        <row r="22">
          <cell r="C22">
            <v>610000004026</v>
          </cell>
          <cell r="D22" t="str">
            <v>P11-MI-ME</v>
          </cell>
          <cell r="F22" t="str">
            <v>Potato Pump</v>
          </cell>
          <cell r="G22" t="str">
            <v>ตรวจเช็คสภาพสายพานขับของ Potato Pump</v>
          </cell>
          <cell r="H22">
            <v>30</v>
          </cell>
          <cell r="I22">
            <v>15</v>
          </cell>
          <cell r="J22">
            <v>1</v>
          </cell>
        </row>
        <row r="23">
          <cell r="C23">
            <v>610000004026</v>
          </cell>
          <cell r="D23" t="str">
            <v>P11-MI-ME</v>
          </cell>
          <cell r="F23" t="str">
            <v>Floating Debris Conveyor</v>
          </cell>
          <cell r="G23" t="str">
            <v>ตรวจเช็คการทำงานของ Floating Debris Removal</v>
          </cell>
          <cell r="H23">
            <v>30</v>
          </cell>
        </row>
        <row r="24">
          <cell r="C24">
            <v>610000004026</v>
          </cell>
          <cell r="D24" t="str">
            <v>P11-MI-ME</v>
          </cell>
          <cell r="F24" t="str">
            <v>Rock Removal Conveyor</v>
          </cell>
          <cell r="G24" t="str">
            <v>ตรวจเช็คการทำงานของ Rock Removal Conv.</v>
          </cell>
          <cell r="H24">
            <v>30</v>
          </cell>
          <cell r="I24">
            <v>15</v>
          </cell>
          <cell r="J24">
            <v>1</v>
          </cell>
        </row>
        <row r="25">
          <cell r="C25">
            <v>610000004026</v>
          </cell>
          <cell r="D25" t="str">
            <v>P11-MI-ME</v>
          </cell>
          <cell r="F25" t="str">
            <v>Return Pump</v>
          </cell>
          <cell r="G25" t="str">
            <v>ตรวจเช็คสภาพสายพานขับของ Return Pump</v>
          </cell>
          <cell r="H25">
            <v>30</v>
          </cell>
        </row>
        <row r="26">
          <cell r="C26">
            <v>610000004026</v>
          </cell>
          <cell r="D26" t="str">
            <v>P11-MI-ME</v>
          </cell>
          <cell r="F26" t="str">
            <v>Dewatering Conveyor</v>
          </cell>
          <cell r="G26" t="str">
            <v>ตรวจเช็คความตึงหย่อนของสายพาน Dewatering พร้อมปรับตั้ง</v>
          </cell>
          <cell r="H26">
            <v>30</v>
          </cell>
        </row>
        <row r="27">
          <cell r="C27">
            <v>610000004026</v>
          </cell>
          <cell r="D27" t="str">
            <v>P11-MI-ME</v>
          </cell>
          <cell r="F27" t="str">
            <v>Rotary Screen</v>
          </cell>
          <cell r="G27" t="str">
            <v>ตรวจเช็คการทำงานของ Rotary Screen</v>
          </cell>
          <cell r="H27">
            <v>30</v>
          </cell>
        </row>
        <row r="28">
          <cell r="C28">
            <v>610000004026</v>
          </cell>
          <cell r="D28" t="str">
            <v>P11-MI-ME</v>
          </cell>
          <cell r="F28" t="str">
            <v>Sand Removal Pump</v>
          </cell>
          <cell r="G28" t="str">
            <v>ตรวจเช็คการทำงานของ Sand Removal Pump</v>
          </cell>
          <cell r="H28">
            <v>30</v>
          </cell>
        </row>
        <row r="29">
          <cell r="C29">
            <v>610000004026</v>
          </cell>
          <cell r="D29" t="str">
            <v>P11-MI-ME</v>
          </cell>
          <cell r="F29" t="str">
            <v>Return Pump</v>
          </cell>
          <cell r="G29" t="str">
            <v>คลายรู Drain เพื่อเช็คการรั่วของ Mechanical seal</v>
          </cell>
          <cell r="H29">
            <v>30</v>
          </cell>
        </row>
        <row r="30">
          <cell r="C30">
            <v>610000004027</v>
          </cell>
          <cell r="D30" t="str">
            <v>P11-ML-ME</v>
          </cell>
          <cell r="F30" t="str">
            <v>Return Pump</v>
          </cell>
          <cell r="G30" t="str">
            <v>เปลี่ยนน้ำมันในห้อง Mechanical Seal ของ Return Pump</v>
          </cell>
          <cell r="H30">
            <v>30</v>
          </cell>
          <cell r="I30">
            <v>15</v>
          </cell>
          <cell r="J30">
            <v>1</v>
          </cell>
        </row>
        <row r="31">
          <cell r="C31">
            <v>610000004028</v>
          </cell>
          <cell r="D31" t="str">
            <v>P11-MV-ME</v>
          </cell>
          <cell r="F31" t="str">
            <v>Potato Pump</v>
          </cell>
          <cell r="G31" t="str">
            <v>ตรวจวัดค่า Vibration Potato Pump</v>
          </cell>
          <cell r="H31">
            <v>30</v>
          </cell>
          <cell r="I31">
            <v>10</v>
          </cell>
          <cell r="J31">
            <v>1</v>
          </cell>
        </row>
        <row r="32">
          <cell r="C32">
            <v>610000004028</v>
          </cell>
          <cell r="D32" t="str">
            <v>P11-MV-ME</v>
          </cell>
          <cell r="F32" t="str">
            <v>Return Pump</v>
          </cell>
          <cell r="G32" t="str">
            <v>ตรวจวัดค่า Vibration Return Pump</v>
          </cell>
          <cell r="H32">
            <v>30</v>
          </cell>
        </row>
        <row r="33">
          <cell r="C33">
            <v>610000004029</v>
          </cell>
          <cell r="D33" t="str">
            <v>P11-HL-ME</v>
          </cell>
          <cell r="F33" t="str">
            <v>Potato Pump</v>
          </cell>
          <cell r="G33" t="str">
            <v>เปลี่ยนน้ำมันหล่อลื่นห้อง Bearing Frame Potato Pump</v>
          </cell>
          <cell r="H33">
            <v>180</v>
          </cell>
          <cell r="I33">
            <v>120</v>
          </cell>
          <cell r="J33">
            <v>2</v>
          </cell>
        </row>
        <row r="34">
          <cell r="C34">
            <v>610000004029</v>
          </cell>
          <cell r="D34" t="str">
            <v>P11-HL-ME</v>
          </cell>
          <cell r="F34" t="str">
            <v>Dewatering Conveyor</v>
          </cell>
          <cell r="G34" t="str">
            <v>เปลี่ยนน้ำมันเกียร์ของ Dewatering conveyor</v>
          </cell>
          <cell r="H34">
            <v>180</v>
          </cell>
        </row>
        <row r="35">
          <cell r="C35">
            <v>610000004029</v>
          </cell>
          <cell r="D35" t="str">
            <v>P11-HL-ME</v>
          </cell>
          <cell r="F35" t="str">
            <v>Floating Debris Conveyor</v>
          </cell>
          <cell r="G35" t="str">
            <v>เปลี่ยนน้ำมันเกียร์ของ Floating Debris conveyor</v>
          </cell>
          <cell r="H35">
            <v>180</v>
          </cell>
        </row>
        <row r="36">
          <cell r="C36">
            <v>610000004029</v>
          </cell>
          <cell r="D36" t="str">
            <v>P11-HL-ME</v>
          </cell>
          <cell r="F36" t="str">
            <v>Rock Removal Conveyor</v>
          </cell>
          <cell r="G36" t="str">
            <v>เปลี่ยนน้ำมันเกียร์ของ Rock Removal conveyor</v>
          </cell>
          <cell r="H36">
            <v>180</v>
          </cell>
        </row>
        <row r="37">
          <cell r="C37">
            <v>610000004030</v>
          </cell>
          <cell r="D37" t="str">
            <v>P11-YR-ME</v>
          </cell>
          <cell r="F37" t="str">
            <v>Dewatering Conveyor</v>
          </cell>
          <cell r="G37" t="str">
            <v>เปลี่ยนสายพาน Dewatering Conveyor</v>
          </cell>
          <cell r="H37">
            <v>365</v>
          </cell>
          <cell r="I37">
            <v>480</v>
          </cell>
          <cell r="J37">
            <v>6</v>
          </cell>
        </row>
        <row r="38">
          <cell r="C38">
            <v>342254</v>
          </cell>
          <cell r="D38" t="str">
            <v>P11-HR-ME</v>
          </cell>
          <cell r="E38">
            <v>450</v>
          </cell>
          <cell r="F38" t="str">
            <v>Dewatering Conveyor</v>
          </cell>
          <cell r="G38" t="str">
            <v>ตัดต่อพร้อมปรับตั้งสายพาน Dewatering Conveyor</v>
          </cell>
          <cell r="H38">
            <v>180</v>
          </cell>
          <cell r="I38">
            <v>60</v>
          </cell>
          <cell r="J38">
            <v>1</v>
          </cell>
        </row>
        <row r="39">
          <cell r="C39">
            <v>347637</v>
          </cell>
          <cell r="D39" t="str">
            <v>P12-WL-ME</v>
          </cell>
          <cell r="E39">
            <v>1216</v>
          </cell>
          <cell r="F39" t="str">
            <v>Batch Peeler #1-6</v>
          </cell>
          <cell r="G39" t="str">
            <v>ทาจารบีหล่อลื่น guide barภายใน drum ของ batch peeler #1-6</v>
          </cell>
          <cell r="H39">
            <v>7</v>
          </cell>
          <cell r="I39">
            <v>30</v>
          </cell>
          <cell r="J39">
            <v>1</v>
          </cell>
        </row>
        <row r="40">
          <cell r="C40">
            <v>347638</v>
          </cell>
          <cell r="D40" t="str">
            <v>P12-FI-ME2</v>
          </cell>
          <cell r="E40">
            <v>1217</v>
          </cell>
          <cell r="F40" t="str">
            <v>Feed Conveyor from Dewaterer</v>
          </cell>
          <cell r="G40" t="str">
            <v>ตวรจเช็คความตึงหย่อนสายพาน ความสึกหรอของสานพาน Feed Conveyor from Dewaterer</v>
          </cell>
          <cell r="H40">
            <v>15</v>
          </cell>
          <cell r="I40">
            <v>30</v>
          </cell>
          <cell r="J40">
            <v>1</v>
          </cell>
        </row>
        <row r="41">
          <cell r="C41">
            <v>347638</v>
          </cell>
          <cell r="D41" t="str">
            <v>P12-FI-ME2</v>
          </cell>
          <cell r="E41">
            <v>1217</v>
          </cell>
          <cell r="F41" t="str">
            <v>Peeler Feed Elevator</v>
          </cell>
          <cell r="G41" t="str">
            <v>ตวรจเช็คความตึงหย่อนสายพาน ความสึกหรอของสานพาน Peeler Feed Elevator</v>
          </cell>
          <cell r="H41">
            <v>15</v>
          </cell>
          <cell r="I41">
            <v>30</v>
          </cell>
          <cell r="J41">
            <v>1</v>
          </cell>
        </row>
        <row r="42">
          <cell r="C42">
            <v>347638</v>
          </cell>
          <cell r="D42" t="str">
            <v>P12-FI-ME2</v>
          </cell>
          <cell r="E42">
            <v>1217</v>
          </cell>
          <cell r="F42" t="str">
            <v>Feed Conveyor from Dewaterer</v>
          </cell>
          <cell r="G42" t="str">
            <v>ตรวจเช็คสภาพ wear strips และ sprocket ของสายพาน Feed Conveyor from Dewaterer</v>
          </cell>
          <cell r="H42">
            <v>15</v>
          </cell>
        </row>
        <row r="43">
          <cell r="C43">
            <v>347638</v>
          </cell>
          <cell r="D43" t="str">
            <v>P12-FI-ME2</v>
          </cell>
          <cell r="E43">
            <v>1217</v>
          </cell>
          <cell r="F43" t="str">
            <v>Peeler Feed Elevator</v>
          </cell>
          <cell r="G43" t="str">
            <v>ตรวจเช็คสภาพ wear strips และ sprocket ของสายพาน Peeler Feed Elevator</v>
          </cell>
          <cell r="H43">
            <v>15</v>
          </cell>
        </row>
        <row r="44">
          <cell r="C44">
            <v>347638</v>
          </cell>
          <cell r="D44" t="str">
            <v>P12-FI-ME2</v>
          </cell>
          <cell r="E44">
            <v>1217</v>
          </cell>
          <cell r="F44" t="str">
            <v>Peeler feed Vibrator</v>
          </cell>
          <cell r="G44" t="str">
            <v>ตรวจเช็คสภาพทั่วไปของ Rubber mount และ stroke การทำงานของสายพาน Peeler feed Vibrator</v>
          </cell>
          <cell r="H44">
            <v>15</v>
          </cell>
        </row>
        <row r="45">
          <cell r="C45">
            <v>347638</v>
          </cell>
          <cell r="D45" t="str">
            <v>P12-FI-ME2</v>
          </cell>
          <cell r="E45">
            <v>1217</v>
          </cell>
          <cell r="F45" t="str">
            <v>Peeler Discharge Vibrator</v>
          </cell>
          <cell r="G45" t="str">
            <v>ตรวจเช็คสภาพทั่วไปของ Rubber mount และ stroke การทำงานของสายพาน Peeler Discharge Vibrator</v>
          </cell>
          <cell r="H45">
            <v>15</v>
          </cell>
        </row>
        <row r="46">
          <cell r="C46">
            <v>347638</v>
          </cell>
          <cell r="D46" t="str">
            <v>P12-FI-ME2</v>
          </cell>
          <cell r="E46">
            <v>1217</v>
          </cell>
          <cell r="F46" t="str">
            <v>Peeler feed Vibrator</v>
          </cell>
          <cell r="G46" t="str">
            <v>ตรวจเช็คการทำงานของ Feed gate เปิด-ปิด และ การรั่วของกระบอกสูบทั้ง 3 ชุด</v>
          </cell>
          <cell r="H46">
            <v>15</v>
          </cell>
        </row>
        <row r="47">
          <cell r="C47">
            <v>347638</v>
          </cell>
          <cell r="D47" t="str">
            <v>P12-FI-ME2</v>
          </cell>
          <cell r="E47">
            <v>1217</v>
          </cell>
          <cell r="F47" t="str">
            <v>Batch Peeler #1-6</v>
          </cell>
          <cell r="G47" t="str">
            <v>ตรวจเช็คสภาพของ Mantle และ Disc ทั้งหมด</v>
          </cell>
          <cell r="H47">
            <v>15</v>
          </cell>
        </row>
        <row r="48">
          <cell r="C48">
            <v>347638</v>
          </cell>
          <cell r="D48" t="str">
            <v>P12-FI-ME2</v>
          </cell>
          <cell r="E48">
            <v>1217</v>
          </cell>
          <cell r="F48" t="str">
            <v>Batch Peeler #1-6</v>
          </cell>
          <cell r="G48" t="str">
            <v>ตรวจเช็คการอุดตันของหัว nozzle</v>
          </cell>
          <cell r="H48">
            <v>15</v>
          </cell>
        </row>
        <row r="49">
          <cell r="C49">
            <v>347638</v>
          </cell>
          <cell r="D49" t="str">
            <v>P12-FI-ME2</v>
          </cell>
          <cell r="E49">
            <v>1217</v>
          </cell>
          <cell r="F49" t="str">
            <v>Batch Peeler #1-6</v>
          </cell>
          <cell r="G49" t="str">
            <v>ตรวจเช็คลมรั่วที่กระบอก Cylinderของ Liner lift ทั้ง 6 ตัว</v>
          </cell>
          <cell r="H49">
            <v>15</v>
          </cell>
        </row>
        <row r="50">
          <cell r="C50">
            <v>347638</v>
          </cell>
          <cell r="D50" t="str">
            <v>P12-FI-ME2</v>
          </cell>
          <cell r="E50">
            <v>1217</v>
          </cell>
          <cell r="F50" t="str">
            <v>Batch Peeler #1-6</v>
          </cell>
          <cell r="G50" t="str">
            <v>ตรวจเช็คลมรั่วในตู้ระบบลมทั้ง 7 ตู้ (Peeler pneumatic panel(1)/Peeler zone panel (6))</v>
          </cell>
          <cell r="H50">
            <v>15</v>
          </cell>
        </row>
        <row r="51">
          <cell r="C51">
            <v>347638</v>
          </cell>
          <cell r="D51" t="str">
            <v>P12-FI-ME2</v>
          </cell>
          <cell r="E51">
            <v>1217</v>
          </cell>
          <cell r="F51" t="str">
            <v>Twin Weigh Hoppers #1-3</v>
          </cell>
          <cell r="G51" t="str">
            <v>ตรวจเช็คลมรั่วที่กระบอก Cylinderของ Twin Weigh Hoppers #1-3 ทั้ง 6 ตัว</v>
          </cell>
          <cell r="H51">
            <v>15</v>
          </cell>
        </row>
        <row r="52">
          <cell r="C52">
            <v>610000004031</v>
          </cell>
          <cell r="D52" t="str">
            <v>P12-FI-ME</v>
          </cell>
          <cell r="E52">
            <v>100465</v>
          </cell>
          <cell r="F52" t="str">
            <v>Grader Conveyor</v>
          </cell>
          <cell r="G52" t="str">
            <v>ตรวจเช็ค การชำรุด สึกหรอ ลูกยางคัดมัน Waste Elimination Roll</v>
          </cell>
          <cell r="H52">
            <v>15</v>
          </cell>
          <cell r="I52">
            <v>30</v>
          </cell>
          <cell r="J52">
            <v>1</v>
          </cell>
        </row>
        <row r="53">
          <cell r="C53">
            <v>610000004031</v>
          </cell>
          <cell r="D53" t="str">
            <v>P12-FI-ME</v>
          </cell>
          <cell r="E53">
            <v>100465</v>
          </cell>
          <cell r="F53" t="str">
            <v>Grader Conveyor</v>
          </cell>
          <cell r="G53" t="str">
            <v>ตรวจเช็คการชำรุด สึกหรอ ลูกยางคัดมัน Star Rubbers Pos</v>
          </cell>
          <cell r="H53">
            <v>15</v>
          </cell>
        </row>
        <row r="54">
          <cell r="C54">
            <v>610000004031</v>
          </cell>
          <cell r="D54" t="str">
            <v>P12-FI-ME</v>
          </cell>
          <cell r="E54">
            <v>100465</v>
          </cell>
          <cell r="F54" t="str">
            <v>Grader Conveyor</v>
          </cell>
          <cell r="G54" t="str">
            <v>ตรวจเช็คความสึกหรอของโซ่และเฟืองขับ Grader Conveyor ทั้ง 10 ชุด</v>
          </cell>
          <cell r="H54">
            <v>15</v>
          </cell>
          <cell r="I54">
            <v>30</v>
          </cell>
          <cell r="J54">
            <v>1</v>
          </cell>
        </row>
        <row r="55">
          <cell r="C55">
            <v>610000004031</v>
          </cell>
          <cell r="D55" t="str">
            <v>P12-FI-ME</v>
          </cell>
          <cell r="E55">
            <v>100465</v>
          </cell>
          <cell r="F55" t="str">
            <v>Grader Conveyor</v>
          </cell>
          <cell r="G55" t="str">
            <v>ตรวจเช็คความสึกหรอของ Wear Strip โซ่ บน-ล่าง Grader Conveyor</v>
          </cell>
          <cell r="H55">
            <v>15</v>
          </cell>
        </row>
        <row r="56">
          <cell r="C56">
            <v>610000004031</v>
          </cell>
          <cell r="D56" t="str">
            <v>P12-FI-ME</v>
          </cell>
          <cell r="E56">
            <v>100465</v>
          </cell>
          <cell r="F56" t="str">
            <v>Cutter Roller Coveyor</v>
          </cell>
          <cell r="G56" t="str">
            <v>ตรวจเช็ค การชำรุด สึกหรอ Roller Shaft Cutter Conveyor</v>
          </cell>
          <cell r="H56">
            <v>15</v>
          </cell>
        </row>
        <row r="57">
          <cell r="C57">
            <v>610000004031</v>
          </cell>
          <cell r="D57" t="str">
            <v>P12-FI-ME</v>
          </cell>
          <cell r="E57">
            <v>100465</v>
          </cell>
          <cell r="F57" t="str">
            <v>Cutter Roller Coveyor</v>
          </cell>
          <cell r="G57" t="str">
            <v>ตรวจเช็คความสึกหรอตึง หย่อนของ โซ่ขับ Roller Cutter Conveyor</v>
          </cell>
          <cell r="H57">
            <v>15</v>
          </cell>
        </row>
        <row r="58">
          <cell r="C58">
            <v>610000004031</v>
          </cell>
          <cell r="D58" t="str">
            <v>P12-FI-ME</v>
          </cell>
          <cell r="E58">
            <v>100465</v>
          </cell>
          <cell r="F58" t="str">
            <v>Cutter Roller Coveyor</v>
          </cell>
          <cell r="G58" t="str">
            <v>ตรวจเช็ค การชำรุด สึกหรอ Star Rubber ของ Cutter Roller Conveyor</v>
          </cell>
          <cell r="H58">
            <v>15</v>
          </cell>
        </row>
        <row r="59">
          <cell r="C59">
            <v>610000004031</v>
          </cell>
          <cell r="D59" t="str">
            <v>P12-FI-ME</v>
          </cell>
          <cell r="E59">
            <v>100465</v>
          </cell>
          <cell r="F59" t="str">
            <v>Cutter Blade</v>
          </cell>
          <cell r="G59" t="str">
            <v>ตรวจเช็ค สภาพการสึกหรอของใบ Cutter Blade</v>
          </cell>
          <cell r="H59">
            <v>15</v>
          </cell>
        </row>
        <row r="60">
          <cell r="C60">
            <v>610000004031</v>
          </cell>
          <cell r="D60" t="str">
            <v>P12-FI-ME</v>
          </cell>
          <cell r="E60">
            <v>100465</v>
          </cell>
          <cell r="F60" t="str">
            <v>Collection Vibrating Conveyor</v>
          </cell>
          <cell r="G60" t="str">
            <v>ตรวจเช็คสภาพของ Spring Collection Vibrating Conveyor</v>
          </cell>
          <cell r="H60">
            <v>15</v>
          </cell>
        </row>
        <row r="61">
          <cell r="C61">
            <v>610000004031</v>
          </cell>
          <cell r="D61" t="str">
            <v>P12-FI-ME</v>
          </cell>
          <cell r="E61">
            <v>100465</v>
          </cell>
          <cell r="F61" t="str">
            <v>Collection Vibrating Conveyor</v>
          </cell>
          <cell r="G61" t="str">
            <v>ตรวจเช็คสภาพของสายพานชุดขับ ของ Collection Vibrating Conveyor</v>
          </cell>
          <cell r="H61">
            <v>15</v>
          </cell>
        </row>
        <row r="62">
          <cell r="C62">
            <v>610000004031</v>
          </cell>
          <cell r="D62" t="str">
            <v>P12-FI-ME</v>
          </cell>
          <cell r="E62">
            <v>100465</v>
          </cell>
          <cell r="F62" t="str">
            <v>Collection Vibrating Conveyor</v>
          </cell>
          <cell r="G62" t="str">
            <v>ตรวจเช็ค Stroke การทำงานของรางสั่นCollection Vibrating Conveyor</v>
          </cell>
          <cell r="H62">
            <v>15</v>
          </cell>
        </row>
        <row r="63">
          <cell r="C63">
            <v>610000004031</v>
          </cell>
          <cell r="D63" t="str">
            <v>P12-FI-ME</v>
          </cell>
          <cell r="E63">
            <v>100465</v>
          </cell>
          <cell r="F63" t="str">
            <v>Collection Vibrating Conveyor</v>
          </cell>
          <cell r="G63" t="str">
            <v>ตรวจเช็คสภาพและการสั่นสะเทือนและรอยแตกร้าว ของ Frame Collection Vibrating Conveyor</v>
          </cell>
          <cell r="H63">
            <v>15</v>
          </cell>
        </row>
        <row r="64">
          <cell r="C64">
            <v>610000004031</v>
          </cell>
          <cell r="D64" t="str">
            <v>P12-FI-ME</v>
          </cell>
          <cell r="E64">
            <v>100465</v>
          </cell>
          <cell r="F64" t="str">
            <v>Slicer Hopper Infeed Conveyor</v>
          </cell>
          <cell r="G64" t="str">
            <v>ตรวจเช็คสภาพตึง หย่อน ของสายพาน Slicer Hopper Infeed Conveyor</v>
          </cell>
          <cell r="H64">
            <v>15</v>
          </cell>
        </row>
        <row r="65">
          <cell r="C65">
            <v>610000004032</v>
          </cell>
          <cell r="D65" t="str">
            <v>P12-ML-ME2</v>
          </cell>
          <cell r="E65">
            <v>100466</v>
          </cell>
          <cell r="F65" t="str">
            <v>Feed Conveyor from Dewaterer</v>
          </cell>
          <cell r="G65" t="str">
            <v>อัดจาระบี หัว-ท้าย พร้อมตรวจเช็คสภาพ Roller Bearing Feed Conveyor from Dewaterer</v>
          </cell>
          <cell r="H65">
            <v>30</v>
          </cell>
          <cell r="I65">
            <v>30</v>
          </cell>
          <cell r="J65">
            <v>1</v>
          </cell>
        </row>
        <row r="66">
          <cell r="C66">
            <v>610000004032</v>
          </cell>
          <cell r="D66" t="str">
            <v>P12-ML-ME2</v>
          </cell>
          <cell r="E66">
            <v>100466</v>
          </cell>
          <cell r="F66" t="str">
            <v>Peeler Feed Elevator</v>
          </cell>
          <cell r="G66" t="str">
            <v>อัดจาระบี หัว-ท้าย พร้อมตรวจเช็คสภาพ Roller Bearing Peeler Feed Elevator</v>
          </cell>
          <cell r="H66">
            <v>30</v>
          </cell>
          <cell r="I66">
            <v>30</v>
          </cell>
          <cell r="J66">
            <v>1</v>
          </cell>
        </row>
        <row r="67">
          <cell r="C67">
            <v>610000004032</v>
          </cell>
          <cell r="D67" t="str">
            <v>P12-ML-ME2</v>
          </cell>
          <cell r="E67">
            <v>100466</v>
          </cell>
          <cell r="F67" t="str">
            <v>Twin Weigh Hoppers #1-3</v>
          </cell>
          <cell r="G67" t="str">
            <v>อัดจาระบี Bearing Twin Weigh Hoppers #1-3</v>
          </cell>
          <cell r="H67">
            <v>30</v>
          </cell>
        </row>
        <row r="68">
          <cell r="C68">
            <v>610000004032</v>
          </cell>
          <cell r="D68" t="str">
            <v>P12-ML-ME2</v>
          </cell>
          <cell r="E68">
            <v>100466</v>
          </cell>
          <cell r="F68" t="str">
            <v>Peeled Infeed Elevator</v>
          </cell>
          <cell r="G68" t="str">
            <v>อัดจาระบี Bearing Peeled Infeed Elevator ทั้ง 6 จุด</v>
          </cell>
          <cell r="H68">
            <v>30</v>
          </cell>
        </row>
        <row r="69">
          <cell r="C69">
            <v>610000004032</v>
          </cell>
          <cell r="D69" t="str">
            <v>P12-ML-ME2</v>
          </cell>
          <cell r="E69">
            <v>100466</v>
          </cell>
          <cell r="F69" t="str">
            <v>Inspection Conveyor</v>
          </cell>
          <cell r="G69" t="str">
            <v>อัดจาระบี Bearing Inspection Conveyor ทั้ง 4 จุด</v>
          </cell>
          <cell r="H69">
            <v>30</v>
          </cell>
        </row>
        <row r="70">
          <cell r="C70">
            <v>610000004032</v>
          </cell>
          <cell r="D70" t="str">
            <v>P12-ML-ME2</v>
          </cell>
          <cell r="E70">
            <v>100466</v>
          </cell>
          <cell r="F70" t="str">
            <v>Slicer Incline Conveyor</v>
          </cell>
          <cell r="G70" t="str">
            <v>อัดจาระบี Bearing Slicer Incline Conveyor ทั้ง 8 จุด</v>
          </cell>
          <cell r="H70">
            <v>30</v>
          </cell>
        </row>
        <row r="71">
          <cell r="C71">
            <v>610000004032</v>
          </cell>
          <cell r="D71" t="str">
            <v>P12-ML-ME2</v>
          </cell>
          <cell r="E71">
            <v>100466</v>
          </cell>
          <cell r="F71" t="str">
            <v>Grader Conveyor</v>
          </cell>
          <cell r="G71" t="str">
            <v>อัดจาระบี Bearing Grader Conveyor ทั้ง 40 จุด</v>
          </cell>
          <cell r="H71">
            <v>30</v>
          </cell>
        </row>
        <row r="72">
          <cell r="C72">
            <v>610000004032</v>
          </cell>
          <cell r="D72" t="str">
            <v>P12-ML-ME2</v>
          </cell>
          <cell r="E72">
            <v>100466</v>
          </cell>
          <cell r="F72" t="str">
            <v>Cutter Roller Coveyor</v>
          </cell>
          <cell r="G72" t="str">
            <v>อัดจาระบี Bearing Roller Shaft Cutter Conveyor ทั้ง 6 จุด</v>
          </cell>
          <cell r="H72">
            <v>30</v>
          </cell>
        </row>
        <row r="73">
          <cell r="C73">
            <v>610000004032</v>
          </cell>
          <cell r="D73" t="str">
            <v>P12-ML-ME2</v>
          </cell>
          <cell r="E73">
            <v>100466</v>
          </cell>
          <cell r="F73" t="str">
            <v>Slicer Hopper Infeed Conveyor</v>
          </cell>
          <cell r="G73" t="str">
            <v>อัดจาระบี Bearing Slicer Hopper Infeed Conveyor ทั้ง 4จุด</v>
          </cell>
          <cell r="H73">
            <v>30</v>
          </cell>
        </row>
        <row r="74">
          <cell r="C74">
            <v>610000004032</v>
          </cell>
          <cell r="D74" t="str">
            <v>P12-ML-ME2</v>
          </cell>
          <cell r="E74">
            <v>100466</v>
          </cell>
          <cell r="F74" t="str">
            <v>Grader Conveyor</v>
          </cell>
          <cell r="G74" t="str">
            <v>ฉีดสเปรย์หล่อลื่นโซ่ขับ Grader Conveyor</v>
          </cell>
          <cell r="H74">
            <v>30</v>
          </cell>
        </row>
        <row r="75">
          <cell r="C75">
            <v>610000004032</v>
          </cell>
          <cell r="D75" t="str">
            <v>P12-ML-ME2</v>
          </cell>
          <cell r="E75">
            <v>100466</v>
          </cell>
          <cell r="F75" t="str">
            <v>Slicer #1-5</v>
          </cell>
          <cell r="G75" t="str">
            <v>อัดจาระบี Bearing Slicer ทั้ง 5 จุด</v>
          </cell>
          <cell r="H75">
            <v>30</v>
          </cell>
        </row>
        <row r="76">
          <cell r="C76">
            <v>347639</v>
          </cell>
          <cell r="D76" t="str">
            <v>P12-MI-ME2</v>
          </cell>
          <cell r="E76">
            <v>1218</v>
          </cell>
          <cell r="F76" t="str">
            <v>Feed Conveyor from Dewaterer</v>
          </cell>
          <cell r="G76" t="str">
            <v>ตรวจเช็คระดับน้ำมันเกียร์ Feed Conveyor from Dewaterer</v>
          </cell>
          <cell r="H76">
            <v>30</v>
          </cell>
          <cell r="I76">
            <v>30</v>
          </cell>
          <cell r="J76">
            <v>1</v>
          </cell>
        </row>
        <row r="77">
          <cell r="C77">
            <v>347639</v>
          </cell>
          <cell r="D77" t="str">
            <v>P12-MI-ME2</v>
          </cell>
          <cell r="E77">
            <v>1218</v>
          </cell>
          <cell r="F77" t="str">
            <v>Peeler Feed Elevator</v>
          </cell>
          <cell r="G77" t="str">
            <v>ตรวจเช็คระดับน้ำมันเกียร์ Peeler Feed Elevator</v>
          </cell>
          <cell r="H77">
            <v>30</v>
          </cell>
        </row>
        <row r="78">
          <cell r="C78">
            <v>347639</v>
          </cell>
          <cell r="D78" t="str">
            <v>P12-MI-ME2</v>
          </cell>
          <cell r="E78">
            <v>1218</v>
          </cell>
          <cell r="F78" t="str">
            <v>Peeler feed Vibrator</v>
          </cell>
          <cell r="G78" t="str">
            <v>ตรวจเช็คระดับน้ำมัน Gear Box รางสั่น Peeler feed Vibrator</v>
          </cell>
          <cell r="H78">
            <v>30</v>
          </cell>
          <cell r="I78">
            <v>30</v>
          </cell>
          <cell r="J78">
            <v>1</v>
          </cell>
        </row>
        <row r="79">
          <cell r="C79">
            <v>347639</v>
          </cell>
          <cell r="D79" t="str">
            <v>P12-MI-ME2</v>
          </cell>
          <cell r="E79">
            <v>1218</v>
          </cell>
          <cell r="F79" t="str">
            <v>Peeler Discharge Vibrator</v>
          </cell>
          <cell r="G79" t="str">
            <v>ตรวจเช็คระดับน้ำมัน Gear Box รางสั่น Peeler Discharge Vibrator</v>
          </cell>
          <cell r="H79">
            <v>30</v>
          </cell>
        </row>
        <row r="80">
          <cell r="C80">
            <v>347639</v>
          </cell>
          <cell r="D80" t="str">
            <v>P12-MI-ME2</v>
          </cell>
          <cell r="E80">
            <v>1218</v>
          </cell>
          <cell r="F80" t="str">
            <v>Batch Peeler #1-6</v>
          </cell>
          <cell r="G80" t="str">
            <v>ตรวจเช็คระดับน้ำมัน Gear Box ของ Batch Peeler #1-6</v>
          </cell>
          <cell r="H80">
            <v>30</v>
          </cell>
        </row>
        <row r="81">
          <cell r="C81">
            <v>347639</v>
          </cell>
          <cell r="D81" t="str">
            <v>P12-MI-ME2</v>
          </cell>
          <cell r="E81">
            <v>1218</v>
          </cell>
          <cell r="F81" t="str">
            <v>Batch Peeler #1-6</v>
          </cell>
          <cell r="G81" t="str">
            <v xml:space="preserve">ตรวจเช็คตำแหน่ง clearance guiding bar ของ peeler </v>
          </cell>
          <cell r="H81">
            <v>30</v>
          </cell>
        </row>
        <row r="82">
          <cell r="C82">
            <v>610000004033</v>
          </cell>
          <cell r="D82" t="str">
            <v>P12-MI-ME</v>
          </cell>
          <cell r="F82" t="str">
            <v>Peeler feed Vibrator</v>
          </cell>
          <cell r="G82" t="str">
            <v>ตรวจเช็คสภาพ V- belt Peeler feed Vibrator</v>
          </cell>
          <cell r="H82">
            <v>30</v>
          </cell>
          <cell r="I82">
            <v>30</v>
          </cell>
          <cell r="J82">
            <v>1</v>
          </cell>
        </row>
        <row r="83">
          <cell r="C83">
            <v>610000004033</v>
          </cell>
          <cell r="D83" t="str">
            <v>P12-MI-ME</v>
          </cell>
          <cell r="F83" t="str">
            <v>Peeler Discharge Vibrator</v>
          </cell>
          <cell r="G83" t="str">
            <v>ตรวจเช็คสภาพ V- belt Peeler Discharge Vibrator</v>
          </cell>
          <cell r="H83">
            <v>30</v>
          </cell>
        </row>
        <row r="84">
          <cell r="C84">
            <v>610000004033</v>
          </cell>
          <cell r="D84" t="str">
            <v>P12-MI-ME</v>
          </cell>
          <cell r="F84" t="str">
            <v>Collection Vibrating Conveyor</v>
          </cell>
          <cell r="G84" t="str">
            <v>ตรวจเช็คสภาพ V- belt Collection Vibrating Conveyor</v>
          </cell>
          <cell r="H84">
            <v>30</v>
          </cell>
        </row>
        <row r="85">
          <cell r="C85">
            <v>610000004033</v>
          </cell>
          <cell r="D85" t="str">
            <v>P12-MI-ME</v>
          </cell>
          <cell r="F85" t="str">
            <v>Peeled Infeed Elevator</v>
          </cell>
          <cell r="G85" t="str">
            <v>ตัดต่อ/ปรับตั้งความตึงหย่อนของสายพาน Peeled Infeed Elevator</v>
          </cell>
          <cell r="H85">
            <v>30</v>
          </cell>
        </row>
        <row r="86">
          <cell r="C86">
            <v>610000004033</v>
          </cell>
          <cell r="D86" t="str">
            <v>P12-MI-ME</v>
          </cell>
          <cell r="F86" t="str">
            <v>Inspection Conveyor</v>
          </cell>
          <cell r="G86" t="str">
            <v>ตัดต่อ/ปรับตั้งความตึงหย่อนของสายพาน Inspection Conveyor</v>
          </cell>
          <cell r="H86">
            <v>30</v>
          </cell>
          <cell r="I86">
            <v>30</v>
          </cell>
          <cell r="J86">
            <v>1</v>
          </cell>
        </row>
        <row r="87">
          <cell r="C87">
            <v>610000004033</v>
          </cell>
          <cell r="D87" t="str">
            <v>P12-MI-ME</v>
          </cell>
          <cell r="F87" t="str">
            <v>Slicer #1-5</v>
          </cell>
          <cell r="G87" t="str">
            <v>ตรวจเช็คสภาพสายพานขับของ Slicer Gear Box Slicer#1-5</v>
          </cell>
          <cell r="H87">
            <v>30</v>
          </cell>
        </row>
        <row r="88">
          <cell r="C88">
            <v>610000004033</v>
          </cell>
          <cell r="D88" t="str">
            <v>P12-MI-ME</v>
          </cell>
          <cell r="F88" t="str">
            <v>Peeled Infeed Elevator</v>
          </cell>
          <cell r="G88" t="str">
            <v>ตรวจเช็คความตึงหย่อนและการสะดุดของสายพาน Peeled Infeed Elevator</v>
          </cell>
          <cell r="H88">
            <v>30</v>
          </cell>
        </row>
        <row r="89">
          <cell r="C89">
            <v>610000004033</v>
          </cell>
          <cell r="D89" t="str">
            <v>P12-MI-ME</v>
          </cell>
          <cell r="F89" t="str">
            <v>Peeled Infeed Elevator</v>
          </cell>
          <cell r="G89" t="str">
            <v>ตรวจเช็คการรั่วของน้ำมันเกียร์ Peeled Infeed Elevator</v>
          </cell>
          <cell r="H89">
            <v>30</v>
          </cell>
        </row>
        <row r="90">
          <cell r="C90">
            <v>610000004033</v>
          </cell>
          <cell r="D90" t="str">
            <v>P12-MI-ME</v>
          </cell>
          <cell r="F90" t="str">
            <v>Inspection Conveyor</v>
          </cell>
          <cell r="G90" t="str">
            <v>ตรวจเช็คความตึงหย่อนและการสะดุดของสายพาน Inspection Conveyor</v>
          </cell>
          <cell r="H90">
            <v>30</v>
          </cell>
        </row>
        <row r="91">
          <cell r="C91">
            <v>610000004033</v>
          </cell>
          <cell r="D91" t="str">
            <v>P12-MI-ME</v>
          </cell>
          <cell r="F91" t="str">
            <v>Inspection Conveyor</v>
          </cell>
          <cell r="G91" t="str">
            <v>ตรวจเช็คการรั่วของน้ำมันเกียร์ Inspection Conveyor</v>
          </cell>
          <cell r="H91">
            <v>30</v>
          </cell>
        </row>
        <row r="92">
          <cell r="C92">
            <v>610000004033</v>
          </cell>
          <cell r="D92" t="str">
            <v>P12-MI-ME</v>
          </cell>
          <cell r="F92" t="str">
            <v>Slicer Incline Conveyor</v>
          </cell>
          <cell r="G92" t="str">
            <v>ตรวจเช็คความตึงหย่อนและการสะดุดของสายพาน Slicer Incline Conveyor</v>
          </cell>
          <cell r="H92">
            <v>30</v>
          </cell>
        </row>
        <row r="93">
          <cell r="C93">
            <v>610000004033</v>
          </cell>
          <cell r="D93" t="str">
            <v>P12-MI-ME</v>
          </cell>
          <cell r="F93" t="str">
            <v>Slicer Incline Conveyor</v>
          </cell>
          <cell r="G93" t="str">
            <v>ตรวจเช็คการรั่วของน้ำมันเกียร์ Slicer Incline Conveyor</v>
          </cell>
          <cell r="H93">
            <v>30</v>
          </cell>
        </row>
        <row r="94">
          <cell r="C94">
            <v>610000004033</v>
          </cell>
          <cell r="D94" t="str">
            <v>P12-MI-ME</v>
          </cell>
          <cell r="F94" t="str">
            <v>Slicer Incline Conveyor</v>
          </cell>
          <cell r="G94" t="str">
            <v>ตัดต่อ/ปรับตั้งความตึงหย่อนของสายพาน Slicer Incline Conveyor</v>
          </cell>
          <cell r="H94">
            <v>30</v>
          </cell>
        </row>
        <row r="95">
          <cell r="C95">
            <v>610000004033</v>
          </cell>
          <cell r="D95" t="str">
            <v>P12-MI-ME</v>
          </cell>
          <cell r="F95" t="str">
            <v>Slicer Lanning Conveyor</v>
          </cell>
          <cell r="G95" t="str">
            <v>ตรวจเช็คการรั่วของน้ำมัน Gear Box รางสั่น Slicer Laning Conveyor</v>
          </cell>
          <cell r="H95">
            <v>30</v>
          </cell>
        </row>
        <row r="96">
          <cell r="C96">
            <v>610000004033</v>
          </cell>
          <cell r="D96" t="str">
            <v>P12-MI-ME</v>
          </cell>
          <cell r="F96" t="str">
            <v>Slicer Lanning Conveyor</v>
          </cell>
          <cell r="G96" t="str">
            <v>ตรวจเช็คสายพานขับของ Gear Box รางสั่น Slicer Laning Conveyor</v>
          </cell>
          <cell r="H96">
            <v>30</v>
          </cell>
        </row>
        <row r="97">
          <cell r="C97">
            <v>610000004033</v>
          </cell>
          <cell r="D97" t="str">
            <v>P12-MI-ME</v>
          </cell>
          <cell r="F97" t="str">
            <v>Slicer Lanning Conveyor</v>
          </cell>
          <cell r="G97" t="str">
            <v>ตรวจเช็คสภาพของ Spring และ Stud Bolt ทั้ง 4 ชุดของรางสั่น Slicer Laning Conveyor</v>
          </cell>
          <cell r="H97">
            <v>30</v>
          </cell>
        </row>
        <row r="98">
          <cell r="C98">
            <v>342694</v>
          </cell>
          <cell r="D98" t="str">
            <v>P12-MC-ME2</v>
          </cell>
          <cell r="F98" t="str">
            <v>Cutter Blade</v>
          </cell>
          <cell r="G98" t="str">
            <v xml:space="preserve">ถอดทำความสะอาด Y-strainer  เมนท่อน้ำที่เข้าเครื่อง Sizer &amp; Halver </v>
          </cell>
          <cell r="H98">
            <v>30</v>
          </cell>
          <cell r="I98">
            <v>20</v>
          </cell>
          <cell r="J98">
            <v>1</v>
          </cell>
        </row>
        <row r="99">
          <cell r="C99">
            <v>610000004044</v>
          </cell>
          <cell r="D99" t="str">
            <v>P12-HC-ME</v>
          </cell>
          <cell r="F99" t="str">
            <v>Slicer #1-5</v>
          </cell>
          <cell r="G99" t="str">
            <v>ล้างทำความสะอาด Water Flow Indicater ของ Slicer1-5</v>
          </cell>
          <cell r="H99">
            <v>180</v>
          </cell>
          <cell r="I99">
            <v>60</v>
          </cell>
          <cell r="J99">
            <v>2</v>
          </cell>
        </row>
        <row r="100">
          <cell r="C100">
            <v>347640</v>
          </cell>
          <cell r="D100" t="str">
            <v>P12-HL-ME2</v>
          </cell>
          <cell r="E100">
            <v>1219</v>
          </cell>
          <cell r="F100" t="str">
            <v>Feed Conveyor from Dewaterer</v>
          </cell>
          <cell r="G100" t="str">
            <v>เปลี่ยนน้ำมันเกียร์ Feed Conveyor from Dewaterer</v>
          </cell>
          <cell r="H100">
            <v>180</v>
          </cell>
          <cell r="I100">
            <v>120</v>
          </cell>
          <cell r="J100">
            <v>2</v>
          </cell>
        </row>
        <row r="101">
          <cell r="C101">
            <v>347640</v>
          </cell>
          <cell r="D101" t="str">
            <v>P12-HL-ME2</v>
          </cell>
          <cell r="E101">
            <v>1219</v>
          </cell>
          <cell r="F101" t="str">
            <v>Peeler Feed Elevator</v>
          </cell>
          <cell r="G101" t="str">
            <v>เปลี่ยนน้ำมันเกียร์ Peeler Feed Elevator</v>
          </cell>
          <cell r="H101">
            <v>180</v>
          </cell>
          <cell r="I101">
            <v>120</v>
          </cell>
          <cell r="J101">
            <v>2</v>
          </cell>
        </row>
        <row r="102">
          <cell r="C102">
            <v>347640</v>
          </cell>
          <cell r="D102" t="str">
            <v>P12-HL-ME2</v>
          </cell>
          <cell r="E102">
            <v>1219</v>
          </cell>
          <cell r="F102" t="str">
            <v>Peeler feed Vibrator</v>
          </cell>
          <cell r="G102" t="str">
            <v>เปลี่ยนน้ำมันเกียร์ ของ Gear box Peeler feed Vibrator</v>
          </cell>
          <cell r="H102">
            <v>180</v>
          </cell>
        </row>
        <row r="103">
          <cell r="C103">
            <v>347640</v>
          </cell>
          <cell r="D103" t="str">
            <v>P12-HL-ME2</v>
          </cell>
          <cell r="E103">
            <v>1219</v>
          </cell>
          <cell r="F103" t="str">
            <v>Batch Peeler #1-6</v>
          </cell>
          <cell r="G103" t="str">
            <v>เปลี่ยนน้ำมันเกียร์ Batch Peeler #1-6</v>
          </cell>
          <cell r="H103">
            <v>180</v>
          </cell>
        </row>
        <row r="104">
          <cell r="C104">
            <v>347640</v>
          </cell>
          <cell r="D104" t="str">
            <v>P12-HL-ME2</v>
          </cell>
          <cell r="E104">
            <v>1219</v>
          </cell>
          <cell r="F104" t="str">
            <v>Peeler Discharge Vibrator</v>
          </cell>
          <cell r="G104" t="str">
            <v>เปลี่ยนน้ำมันเกียร์ ของ Gear box Peeler Discharge Vibrator</v>
          </cell>
          <cell r="H104">
            <v>180</v>
          </cell>
        </row>
        <row r="105">
          <cell r="C105">
            <v>610000004045</v>
          </cell>
          <cell r="D105" t="str">
            <v>P12-HL-ME</v>
          </cell>
          <cell r="F105" t="str">
            <v>Peeled Infeed Elevator</v>
          </cell>
          <cell r="G105" t="str">
            <v>เปลี่ยนน้ำมันเกียร์ Peeled Infeed Elevator</v>
          </cell>
          <cell r="H105">
            <v>180</v>
          </cell>
          <cell r="I105">
            <v>240</v>
          </cell>
          <cell r="J105">
            <v>3</v>
          </cell>
        </row>
        <row r="106">
          <cell r="C106">
            <v>610000004045</v>
          </cell>
          <cell r="D106" t="str">
            <v>P12-HL-ME</v>
          </cell>
          <cell r="F106" t="str">
            <v>Inspection Conveyor</v>
          </cell>
          <cell r="G106" t="str">
            <v>เปลี่ยนน้ำมันเกียร์ Inspection Conveyor</v>
          </cell>
          <cell r="H106">
            <v>180</v>
          </cell>
        </row>
        <row r="107">
          <cell r="C107">
            <v>610000004045</v>
          </cell>
          <cell r="D107" t="str">
            <v>P12-HL-ME</v>
          </cell>
          <cell r="F107" t="str">
            <v>Slicer Incline Conveyor</v>
          </cell>
          <cell r="G107" t="str">
            <v>เปลี่ยนน้ำมันเกียร์ Slicer Incline Conveyor</v>
          </cell>
          <cell r="H107">
            <v>180</v>
          </cell>
        </row>
        <row r="108">
          <cell r="C108">
            <v>610000004045</v>
          </cell>
          <cell r="D108" t="str">
            <v>P12-HL-ME</v>
          </cell>
          <cell r="F108" t="str">
            <v>Slicer #1-5</v>
          </cell>
          <cell r="G108" t="str">
            <v>เปลี่ยนน้ำมัน Gear Box ของ Slicer Head Slicer#1-5</v>
          </cell>
          <cell r="H108">
            <v>180</v>
          </cell>
        </row>
        <row r="109">
          <cell r="C109">
            <v>610000004045</v>
          </cell>
          <cell r="D109" t="str">
            <v>P12-HL-ME</v>
          </cell>
          <cell r="F109" t="str">
            <v>Grader Conveyor</v>
          </cell>
          <cell r="G109" t="str">
            <v>เปลี่ยนน้ำมันของ Gear Box ตัวปรับตั้ง Grader Conveyor</v>
          </cell>
          <cell r="H109">
            <v>180</v>
          </cell>
          <cell r="I109">
            <v>240</v>
          </cell>
          <cell r="J109">
            <v>3</v>
          </cell>
        </row>
        <row r="110">
          <cell r="C110">
            <v>610000004045</v>
          </cell>
          <cell r="D110" t="str">
            <v>P12-HL-ME</v>
          </cell>
          <cell r="F110" t="str">
            <v>Grader Conveyor</v>
          </cell>
          <cell r="G110" t="str">
            <v>เปลี่ยนน้ำมันของ Gear Box Motor Grader Conveyor</v>
          </cell>
          <cell r="H110">
            <v>180</v>
          </cell>
        </row>
        <row r="111">
          <cell r="C111">
            <v>610000004045</v>
          </cell>
          <cell r="D111" t="str">
            <v>P12-HL-ME</v>
          </cell>
          <cell r="F111" t="str">
            <v>Collection Vibrating Conveyor</v>
          </cell>
          <cell r="G111" t="str">
            <v>เปลี่ยนน้ำมันของ Gear Box Collection Vibrating Conveyor</v>
          </cell>
          <cell r="H111">
            <v>180</v>
          </cell>
        </row>
        <row r="112">
          <cell r="C112">
            <v>610000004045</v>
          </cell>
          <cell r="D112" t="str">
            <v>P12-HL-ME</v>
          </cell>
          <cell r="F112" t="str">
            <v>Slicer Hopper Infeed Conveyor</v>
          </cell>
          <cell r="G112" t="str">
            <v>เปลี่ยนน้ำมันของ Gear Box Slicer Hopper Infeed Conveyor</v>
          </cell>
          <cell r="H112">
            <v>180</v>
          </cell>
        </row>
        <row r="113">
          <cell r="C113">
            <v>610000004045</v>
          </cell>
          <cell r="D113" t="str">
            <v>P12-HL-ME</v>
          </cell>
          <cell r="F113" t="str">
            <v>Peeler Infeed vibrating conveyor</v>
          </cell>
          <cell r="G113" t="str">
            <v>เปลี่ยนน้ำมันของ Gear Box Peeler Lanning Vibrating Conveyor</v>
          </cell>
          <cell r="H113">
            <v>180</v>
          </cell>
        </row>
        <row r="114">
          <cell r="C114">
            <v>610000004045</v>
          </cell>
          <cell r="D114" t="str">
            <v>P12-HL-ME</v>
          </cell>
          <cell r="F114" t="str">
            <v>Slicer Lanning Conveyor</v>
          </cell>
          <cell r="G114" t="str">
            <v>เปลี่ยนน้ำมันของ Gear Box รางสั่น Slicer Laning Conveyor</v>
          </cell>
          <cell r="H114">
            <v>180</v>
          </cell>
        </row>
        <row r="115">
          <cell r="C115">
            <v>610000004045</v>
          </cell>
          <cell r="D115" t="str">
            <v>P12-HL-ME</v>
          </cell>
          <cell r="F115" t="str">
            <v>Cutter Roller Coveyor</v>
          </cell>
          <cell r="G115" t="str">
            <v>เปลี่ยนน้ำมันของ Gear Box Motor Cutter Roller Conveyor</v>
          </cell>
          <cell r="H115">
            <v>180</v>
          </cell>
        </row>
        <row r="116">
          <cell r="C116">
            <v>610000004045</v>
          </cell>
          <cell r="D116" t="str">
            <v>P12-HL-ME</v>
          </cell>
          <cell r="F116" t="str">
            <v>Cutter Blade</v>
          </cell>
          <cell r="G116" t="str">
            <v>เปลี่ยนน้ำมันของ Gear Box Motor Cutter Blade</v>
          </cell>
          <cell r="H116">
            <v>180</v>
          </cell>
        </row>
        <row r="117">
          <cell r="C117">
            <v>610000004047</v>
          </cell>
          <cell r="D117" t="str">
            <v>P12-YR-ME</v>
          </cell>
          <cell r="F117" t="str">
            <v>Slicer Incline Conveyor</v>
          </cell>
          <cell r="G117" t="str">
            <v>เปลี่ยนสายพาน Slicer Incline Conveyor</v>
          </cell>
          <cell r="H117">
            <v>365</v>
          </cell>
          <cell r="I117">
            <v>480</v>
          </cell>
          <cell r="J117">
            <v>6</v>
          </cell>
        </row>
        <row r="118">
          <cell r="C118">
            <v>610000004048</v>
          </cell>
          <cell r="D118" t="str">
            <v>P12-YR-ME2</v>
          </cell>
          <cell r="F118" t="str">
            <v>Peeled Infeed Elevator</v>
          </cell>
          <cell r="G118" t="str">
            <v>เปลี่ยนสายพาน Peeled Infeed Elevator</v>
          </cell>
          <cell r="H118">
            <v>365</v>
          </cell>
          <cell r="I118">
            <v>360</v>
          </cell>
          <cell r="J118">
            <v>6</v>
          </cell>
        </row>
        <row r="119">
          <cell r="C119">
            <v>610000004049</v>
          </cell>
          <cell r="D119" t="str">
            <v>P12-HR-ME4</v>
          </cell>
          <cell r="F119" t="str">
            <v>Peeler feed Vibrator</v>
          </cell>
          <cell r="G119" t="str">
            <v>เปลี่ยน V- belt Peeler feed Vibrator</v>
          </cell>
          <cell r="H119">
            <v>180</v>
          </cell>
          <cell r="I119">
            <v>180</v>
          </cell>
          <cell r="J119">
            <v>2</v>
          </cell>
        </row>
        <row r="120">
          <cell r="C120">
            <v>610000004049</v>
          </cell>
          <cell r="D120" t="str">
            <v>P12-HR-ME4</v>
          </cell>
          <cell r="F120" t="str">
            <v>Peeler Discharge Vibrator</v>
          </cell>
          <cell r="G120" t="str">
            <v>เปลี่ยน V- belt Peeler Discharge Vibrator</v>
          </cell>
          <cell r="H120">
            <v>180</v>
          </cell>
          <cell r="I120">
            <v>180</v>
          </cell>
          <cell r="J120">
            <v>2</v>
          </cell>
        </row>
        <row r="121">
          <cell r="C121">
            <v>610000004049</v>
          </cell>
          <cell r="D121" t="str">
            <v>P12-HR-ME4</v>
          </cell>
          <cell r="F121" t="str">
            <v>Collection Vibrating Conveyor</v>
          </cell>
          <cell r="G121" t="str">
            <v>เปลี่ยน V- belt Collection Vibrating Conveyor</v>
          </cell>
          <cell r="H121">
            <v>180</v>
          </cell>
        </row>
        <row r="122">
          <cell r="C122">
            <v>610000004049</v>
          </cell>
          <cell r="D122" t="str">
            <v>P12-HR-ME4</v>
          </cell>
          <cell r="F122" t="str">
            <v>Slicer Lanning Conveyor</v>
          </cell>
          <cell r="G122" t="str">
            <v xml:space="preserve">เปลี่ยน V- belt Slicer Lanning Conveyor  </v>
          </cell>
          <cell r="H122">
            <v>180</v>
          </cell>
        </row>
        <row r="123">
          <cell r="C123">
            <v>342336</v>
          </cell>
          <cell r="D123" t="str">
            <v>P12-YR-ME3</v>
          </cell>
          <cell r="F123" t="str">
            <v>Slicer Incline Conveyor</v>
          </cell>
          <cell r="G123" t="str">
            <v>เปลี่ยน Rod ของสายพาน Slicer Incline Conveyor</v>
          </cell>
          <cell r="H123">
            <v>365</v>
          </cell>
          <cell r="I123">
            <v>360</v>
          </cell>
          <cell r="J123">
            <v>6</v>
          </cell>
        </row>
        <row r="124">
          <cell r="C124">
            <v>342337</v>
          </cell>
          <cell r="D124" t="str">
            <v>P12-YR-ME4</v>
          </cell>
          <cell r="F124" t="str">
            <v>Peeled Infeed Elevator</v>
          </cell>
          <cell r="G124" t="str">
            <v>เปลี่ยน Rod ของสายพาน Peeled Infeed Elevator</v>
          </cell>
          <cell r="H124">
            <v>365</v>
          </cell>
          <cell r="I124">
            <v>360</v>
          </cell>
          <cell r="J124">
            <v>6</v>
          </cell>
        </row>
        <row r="125">
          <cell r="C125">
            <v>610000004050</v>
          </cell>
          <cell r="D125" t="str">
            <v>P13-FC-ME</v>
          </cell>
          <cell r="F125" t="str">
            <v>Air Knife</v>
          </cell>
          <cell r="G125" t="str">
            <v>เป่าทำความสะอาด Air Filter ของ Air Knife พร้อมทั้งตรวจสอบสภาพของ Filter</v>
          </cell>
          <cell r="H125">
            <v>15</v>
          </cell>
          <cell r="I125">
            <v>30</v>
          </cell>
          <cell r="J125">
            <v>1</v>
          </cell>
        </row>
        <row r="126">
          <cell r="C126">
            <v>610000004051</v>
          </cell>
          <cell r="D126" t="str">
            <v>P13-FL-ME</v>
          </cell>
          <cell r="E126">
            <v>100485</v>
          </cell>
          <cell r="F126" t="str">
            <v>FOB Conveyor</v>
          </cell>
          <cell r="G126" t="str">
            <v>อัดจาระบี Bearing ของ FOB Conveyor ทั้ง 4 จุด</v>
          </cell>
          <cell r="H126">
            <v>15</v>
          </cell>
          <cell r="I126">
            <v>15</v>
          </cell>
          <cell r="J126">
            <v>1</v>
          </cell>
        </row>
        <row r="127">
          <cell r="C127">
            <v>610000004051</v>
          </cell>
          <cell r="D127" t="str">
            <v>P13-FL-ME</v>
          </cell>
          <cell r="E127">
            <v>100485</v>
          </cell>
          <cell r="F127" t="str">
            <v>FOB Catch Box</v>
          </cell>
          <cell r="G127" t="str">
            <v>อัดจาระบี Bearing ของ FOB Catchbox Conveyor ทั้ง 2 จุด</v>
          </cell>
          <cell r="H127">
            <v>15</v>
          </cell>
        </row>
        <row r="128">
          <cell r="C128">
            <v>610000004051</v>
          </cell>
          <cell r="D128" t="str">
            <v>P13-FL-ME</v>
          </cell>
          <cell r="E128">
            <v>100485</v>
          </cell>
          <cell r="F128" t="str">
            <v>PSSW Conveyor</v>
          </cell>
          <cell r="G128" t="str">
            <v>อัดจาระบี Bearing ของ PSSW Conveyor ทั้ง 2 จุด</v>
          </cell>
          <cell r="H128">
            <v>15</v>
          </cell>
        </row>
        <row r="129">
          <cell r="C129">
            <v>610000004051</v>
          </cell>
          <cell r="D129" t="str">
            <v>P13-FL-ME</v>
          </cell>
          <cell r="E129">
            <v>100485</v>
          </cell>
          <cell r="F129" t="str">
            <v>PSSW Catch Box</v>
          </cell>
          <cell r="G129" t="str">
            <v>อัดจาระบี Bearing ของ PSSW Catchbox Conveyor ทั้ง 2 จุด</v>
          </cell>
          <cell r="H129">
            <v>15</v>
          </cell>
        </row>
        <row r="130">
          <cell r="C130">
            <v>610000004052</v>
          </cell>
          <cell r="D130" t="str">
            <v>P13-MC-ME</v>
          </cell>
          <cell r="F130" t="str">
            <v>FOB Fines Blower</v>
          </cell>
          <cell r="G130" t="str">
            <v>ทำความสะอาด Inlet Filter ของ FOB Fines Blower</v>
          </cell>
          <cell r="H130">
            <v>30</v>
          </cell>
          <cell r="I130">
            <v>30</v>
          </cell>
          <cell r="J130">
            <v>1</v>
          </cell>
        </row>
        <row r="131">
          <cell r="C131">
            <v>610000004052</v>
          </cell>
          <cell r="D131" t="str">
            <v>P13-MC-ME</v>
          </cell>
          <cell r="F131" t="str">
            <v>PSSW Fines Blower</v>
          </cell>
          <cell r="G131" t="str">
            <v>ทำความสะอาด Inlet Filter ของ PSSW Fine Blower</v>
          </cell>
          <cell r="H131">
            <v>30</v>
          </cell>
        </row>
        <row r="132">
          <cell r="C132">
            <v>610000004053</v>
          </cell>
          <cell r="D132" t="str">
            <v>P13-MI-ME</v>
          </cell>
          <cell r="F132" t="str">
            <v>PSSW Conveyor</v>
          </cell>
          <cell r="G132" t="str">
            <v>ตรวจเช็คโซ่และเฟืองขับของสายพาน PSSW Conveyor</v>
          </cell>
          <cell r="H132">
            <v>30</v>
          </cell>
          <cell r="I132">
            <v>30</v>
          </cell>
          <cell r="J132">
            <v>1</v>
          </cell>
        </row>
        <row r="133">
          <cell r="C133">
            <v>610000004053</v>
          </cell>
          <cell r="D133" t="str">
            <v>P13-MI-ME</v>
          </cell>
          <cell r="F133" t="str">
            <v>FOB Conveyor</v>
          </cell>
          <cell r="G133" t="str">
            <v>ตรวจเช็คความสึกหรอของ Sprocket ขับและสายพาน FOB</v>
          </cell>
          <cell r="H133">
            <v>30</v>
          </cell>
        </row>
        <row r="134">
          <cell r="C134">
            <v>610000004053</v>
          </cell>
          <cell r="D134" t="str">
            <v>P13-MI-ME</v>
          </cell>
          <cell r="F134" t="str">
            <v>FOB Water Pump</v>
          </cell>
          <cell r="G134" t="str">
            <v>ตรวจเช็คการรั่วซึมที่ Mechanical Seal ของ FOB Water Pump</v>
          </cell>
          <cell r="H134">
            <v>30</v>
          </cell>
        </row>
        <row r="135">
          <cell r="C135">
            <v>610000004053</v>
          </cell>
          <cell r="D135" t="str">
            <v>P13-MI-ME</v>
          </cell>
          <cell r="F135" t="str">
            <v>FOB Fines Blower</v>
          </cell>
          <cell r="G135" t="str">
            <v>ตรวจเช็คการรั่วของลมบริเวณ Air Regulator Unit</v>
          </cell>
          <cell r="H135">
            <v>30</v>
          </cell>
          <cell r="I135">
            <v>30</v>
          </cell>
          <cell r="J135">
            <v>1</v>
          </cell>
        </row>
        <row r="136">
          <cell r="C136">
            <v>610000004053</v>
          </cell>
          <cell r="D136" t="str">
            <v>P13-MI-ME</v>
          </cell>
          <cell r="F136" t="str">
            <v>PSSW Water Pump</v>
          </cell>
          <cell r="G136" t="str">
            <v>ตรวจเช็คการรั่วซึมที่ Mechanical Seal ของ PSSW Water Pump</v>
          </cell>
          <cell r="H136">
            <v>30</v>
          </cell>
        </row>
        <row r="137">
          <cell r="C137">
            <v>610000004053</v>
          </cell>
          <cell r="D137" t="str">
            <v>P13-MI-ME</v>
          </cell>
          <cell r="F137" t="str">
            <v>FOB Conveyor</v>
          </cell>
          <cell r="G137" t="str">
            <v>ตรวจเช็คความตึงหย่อนของสายพาน FOB Conveyor</v>
          </cell>
          <cell r="H137">
            <v>30</v>
          </cell>
        </row>
        <row r="138">
          <cell r="C138">
            <v>610000004053</v>
          </cell>
          <cell r="D138" t="str">
            <v>P13-MI-ME</v>
          </cell>
          <cell r="F138" t="str">
            <v>Knife Peeler#1-2</v>
          </cell>
          <cell r="G138" t="str">
            <v>ตรวจเช็คสภาพทั่วไปและสภาพ สายพานขับ v-belt ของ knife peeler#1-2</v>
          </cell>
          <cell r="H138">
            <v>30</v>
          </cell>
        </row>
        <row r="139">
          <cell r="C139">
            <v>610000004054</v>
          </cell>
          <cell r="D139" t="str">
            <v>P13-MV-ME</v>
          </cell>
          <cell r="F139" t="str">
            <v>Air Knife</v>
          </cell>
          <cell r="G139" t="str">
            <v>ตรวจวัดค่า Vibration Air Knife</v>
          </cell>
          <cell r="H139">
            <v>30</v>
          </cell>
          <cell r="I139">
            <v>30</v>
          </cell>
          <cell r="J139">
            <v>1</v>
          </cell>
        </row>
        <row r="140">
          <cell r="C140">
            <v>610000004054</v>
          </cell>
          <cell r="D140" t="str">
            <v>P13-MV-ME</v>
          </cell>
          <cell r="F140" t="str">
            <v>Air Sweep</v>
          </cell>
          <cell r="G140" t="str">
            <v>ตรวจวัดค่า Vibration Air Sweep</v>
          </cell>
          <cell r="H140">
            <v>30</v>
          </cell>
          <cell r="I140">
            <v>30</v>
          </cell>
          <cell r="J140">
            <v>1</v>
          </cell>
        </row>
        <row r="141">
          <cell r="C141">
            <v>610000004054</v>
          </cell>
          <cell r="D141" t="str">
            <v>P13-MV-ME</v>
          </cell>
          <cell r="F141" t="str">
            <v>FOB Water Pump</v>
          </cell>
          <cell r="G141" t="str">
            <v>ตรวจวัดค่า Vibration FOB Water Pump</v>
          </cell>
          <cell r="H141">
            <v>30</v>
          </cell>
        </row>
        <row r="142">
          <cell r="C142">
            <v>610000004054</v>
          </cell>
          <cell r="D142" t="str">
            <v>P13-MV-ME</v>
          </cell>
          <cell r="F142" t="str">
            <v>PSSW Water Pump</v>
          </cell>
          <cell r="G142" t="str">
            <v>ตรวจวัดค่า Vibration PSSW Water Pump</v>
          </cell>
          <cell r="H142">
            <v>30</v>
          </cell>
        </row>
        <row r="143">
          <cell r="C143">
            <v>610000004055</v>
          </cell>
          <cell r="D143" t="str">
            <v>P13-QL-ME</v>
          </cell>
          <cell r="F143" t="str">
            <v>Air Sweep</v>
          </cell>
          <cell r="G143" t="str">
            <v>อัดจาระบี Bearing หน้า-หลัง Motor Air Sweep</v>
          </cell>
          <cell r="H143">
            <v>90</v>
          </cell>
          <cell r="I143">
            <v>10</v>
          </cell>
          <cell r="J143">
            <v>1</v>
          </cell>
        </row>
        <row r="144">
          <cell r="C144">
            <v>610000004056</v>
          </cell>
          <cell r="D144" t="str">
            <v>P13-QR-ME</v>
          </cell>
          <cell r="F144" t="str">
            <v>Air Knife</v>
          </cell>
          <cell r="G144" t="str">
            <v>เปลี่ยน Air Filter Air Knife</v>
          </cell>
          <cell r="H144">
            <v>90</v>
          </cell>
          <cell r="I144">
            <v>30</v>
          </cell>
          <cell r="J144">
            <v>1</v>
          </cell>
        </row>
        <row r="145">
          <cell r="C145">
            <v>610000004057</v>
          </cell>
          <cell r="D145" t="str">
            <v>P13-HR-ME2</v>
          </cell>
          <cell r="F145" t="str">
            <v>FOB Catch Box</v>
          </cell>
          <cell r="G145" t="str">
            <v>เปลี่ยน Bush ด้านล่าง และตัดต่อสายพานของ FOB Catch Box</v>
          </cell>
          <cell r="H145">
            <v>180</v>
          </cell>
          <cell r="I145">
            <v>240</v>
          </cell>
          <cell r="J145">
            <v>4</v>
          </cell>
        </row>
        <row r="146">
          <cell r="C146">
            <v>610000004058</v>
          </cell>
          <cell r="D146" t="str">
            <v>P13-HR-ME</v>
          </cell>
          <cell r="F146" t="str">
            <v>PSSW Catch Box</v>
          </cell>
          <cell r="G146" t="str">
            <v>เปลี่ยน Bush ด้านล่าง และตัดต่อสายพานของ PSSW Catch Box</v>
          </cell>
          <cell r="H146">
            <v>180</v>
          </cell>
          <cell r="I146">
            <v>240</v>
          </cell>
          <cell r="J146">
            <v>4</v>
          </cell>
        </row>
        <row r="147">
          <cell r="C147">
            <v>351960</v>
          </cell>
          <cell r="D147" t="str">
            <v>P13-HR-ME3</v>
          </cell>
          <cell r="E147">
            <v>1433</v>
          </cell>
          <cell r="F147" t="str">
            <v>FOB Conveyor</v>
          </cell>
          <cell r="G147" t="str">
            <v>เปลี่ยน Bearing ของ FOB Conveyor</v>
          </cell>
          <cell r="H147">
            <v>180</v>
          </cell>
          <cell r="I147">
            <v>480</v>
          </cell>
          <cell r="J147">
            <v>6</v>
          </cell>
        </row>
        <row r="148">
          <cell r="C148">
            <v>351960</v>
          </cell>
          <cell r="D148" t="str">
            <v>P13-HR-ME3</v>
          </cell>
          <cell r="E148">
            <v>1433</v>
          </cell>
          <cell r="F148" t="str">
            <v>PSSW Conveyor</v>
          </cell>
          <cell r="G148" t="str">
            <v>เปลี่ยน Bearing ของ PSSW Conveyor</v>
          </cell>
          <cell r="H148">
            <v>180</v>
          </cell>
        </row>
        <row r="149">
          <cell r="C149">
            <v>610000004059</v>
          </cell>
          <cell r="D149" t="str">
            <v>P13-HL-ME</v>
          </cell>
          <cell r="E149">
            <v>100493</v>
          </cell>
          <cell r="F149" t="str">
            <v>FOB Conveyor</v>
          </cell>
          <cell r="G149" t="str">
            <v>เปลี่ยนน้ำมันเกียร์ขับสายพาน FOB Conveyor</v>
          </cell>
          <cell r="H149">
            <v>180</v>
          </cell>
          <cell r="I149">
            <v>120</v>
          </cell>
          <cell r="J149">
            <v>2</v>
          </cell>
        </row>
        <row r="150">
          <cell r="C150">
            <v>610000004059</v>
          </cell>
          <cell r="D150" t="str">
            <v>P13-HL-ME</v>
          </cell>
          <cell r="E150">
            <v>100493</v>
          </cell>
          <cell r="F150" t="str">
            <v>FOB Catch Box</v>
          </cell>
          <cell r="G150" t="str">
            <v>เปลี่ยนน้ำมันเกียร์ขับสายพาน FOB Catchbox Conveyor</v>
          </cell>
          <cell r="H150">
            <v>180</v>
          </cell>
        </row>
        <row r="151">
          <cell r="C151">
            <v>610000004059</v>
          </cell>
          <cell r="D151" t="str">
            <v>P13-HL-ME</v>
          </cell>
          <cell r="E151">
            <v>100493</v>
          </cell>
          <cell r="F151" t="str">
            <v>PSSW Conveyor</v>
          </cell>
          <cell r="G151" t="str">
            <v>เปลี่ยนน้ำมันเกียร์ของชุดเกียร์ขับ PSSW Conveyor</v>
          </cell>
          <cell r="H151">
            <v>180</v>
          </cell>
        </row>
        <row r="152">
          <cell r="C152">
            <v>610000004059</v>
          </cell>
          <cell r="D152" t="str">
            <v>P13-HL-ME</v>
          </cell>
          <cell r="E152">
            <v>100493</v>
          </cell>
          <cell r="F152" t="str">
            <v>PSSW Catch Box</v>
          </cell>
          <cell r="G152" t="str">
            <v>เปลี่ยนน้ำมันเกียร์ขับสายพาน PSSW Catchbox Conveyor</v>
          </cell>
          <cell r="H152">
            <v>180</v>
          </cell>
        </row>
        <row r="153">
          <cell r="C153">
            <v>610000004061</v>
          </cell>
          <cell r="D153" t="str">
            <v>P14-MI-ME</v>
          </cell>
          <cell r="E153">
            <v>100495</v>
          </cell>
          <cell r="F153" t="str">
            <v>Catch Box Conveyor</v>
          </cell>
          <cell r="G153" t="str">
            <v>ตรวจเช็คการรั่วของน้ำมันเกียร์ Fryer Catchbox Conveyor</v>
          </cell>
          <cell r="H153">
            <v>30</v>
          </cell>
          <cell r="I153">
            <v>30</v>
          </cell>
          <cell r="J153">
            <v>1</v>
          </cell>
        </row>
        <row r="154">
          <cell r="C154">
            <v>610000004061</v>
          </cell>
          <cell r="D154" t="str">
            <v>P14-MI-ME</v>
          </cell>
          <cell r="E154">
            <v>100495</v>
          </cell>
          <cell r="F154" t="str">
            <v>Main Oil Pump</v>
          </cell>
          <cell r="G154" t="str">
            <v>ตรวจเช็คระดับน้ำมันหล่อลื่นห้อง Bearing ของ MOP (ท่วม Sightglass)</v>
          </cell>
          <cell r="H154">
            <v>30</v>
          </cell>
          <cell r="I154">
            <v>30</v>
          </cell>
          <cell r="J154">
            <v>1</v>
          </cell>
        </row>
        <row r="155">
          <cell r="C155">
            <v>610000004061</v>
          </cell>
          <cell r="D155" t="str">
            <v>P14-MI-ME</v>
          </cell>
          <cell r="E155">
            <v>100495</v>
          </cell>
          <cell r="F155" t="str">
            <v>Fresh &amp; Use Oil Make-Up Pump</v>
          </cell>
          <cell r="G155" t="str">
            <v>ตรวจเช็คการรั่วของลมที่ชุด Air Preparation Unit Oil Management</v>
          </cell>
          <cell r="H155">
            <v>30</v>
          </cell>
        </row>
        <row r="156">
          <cell r="C156">
            <v>610000004061</v>
          </cell>
          <cell r="D156" t="str">
            <v>P14-MI-ME</v>
          </cell>
          <cell r="E156">
            <v>100495</v>
          </cell>
          <cell r="F156" t="str">
            <v>Thermal Oil Boiler &amp; Piping</v>
          </cell>
          <cell r="G156" t="str">
            <v>ตรวจเช็คการรั่ว ซึม น้ำมัน และ หน้าแปนThermal Oil Boiler &amp; Piping</v>
          </cell>
          <cell r="H156">
            <v>30</v>
          </cell>
        </row>
        <row r="157">
          <cell r="C157">
            <v>610000004061</v>
          </cell>
          <cell r="D157" t="str">
            <v>P14-MI-ME</v>
          </cell>
          <cell r="E157">
            <v>100495</v>
          </cell>
          <cell r="F157" t="str">
            <v>Thermal Oil Circulating Pump</v>
          </cell>
          <cell r="G157" t="str">
            <v>ตรวจเช็คเสียง และ การสั่นสะเทือนของ Thermal Oil Circulating Pump</v>
          </cell>
          <cell r="H157">
            <v>30</v>
          </cell>
        </row>
        <row r="158">
          <cell r="C158">
            <v>610000004061</v>
          </cell>
          <cell r="D158" t="str">
            <v>P14-MI-ME</v>
          </cell>
          <cell r="E158">
            <v>100495</v>
          </cell>
          <cell r="F158" t="str">
            <v>Thermal Oil Circulating Pump</v>
          </cell>
          <cell r="G158" t="str">
            <v>ตรวจเช็คการรั่วของน้ำมันเกียร์Thermal Oil Circulating Pump</v>
          </cell>
          <cell r="H158">
            <v>30</v>
          </cell>
        </row>
        <row r="159">
          <cell r="C159">
            <v>610000004061</v>
          </cell>
          <cell r="D159" t="str">
            <v>P14-MI-ME</v>
          </cell>
          <cell r="E159">
            <v>100495</v>
          </cell>
          <cell r="F159" t="str">
            <v>Combustion Fan</v>
          </cell>
          <cell r="G159" t="str">
            <v>ตรวจเช็คเสียง และ การสั่นสะเทือนของ Combustion Fan</v>
          </cell>
          <cell r="H159">
            <v>30</v>
          </cell>
        </row>
        <row r="160">
          <cell r="C160">
            <v>610000004061</v>
          </cell>
          <cell r="D160" t="str">
            <v>P14-MI-ME</v>
          </cell>
          <cell r="E160">
            <v>100495</v>
          </cell>
          <cell r="F160" t="str">
            <v>Discharge Pump Zone 1</v>
          </cell>
          <cell r="G160" t="str">
            <v>ตรวจเช็คเสียง และ การสั่นสะเทือนของ Discharge Pump zone 1</v>
          </cell>
          <cell r="H160">
            <v>30</v>
          </cell>
        </row>
        <row r="161">
          <cell r="C161">
            <v>610000004061</v>
          </cell>
          <cell r="D161" t="str">
            <v>P14-MI-ME</v>
          </cell>
          <cell r="E161">
            <v>100495</v>
          </cell>
          <cell r="F161" t="str">
            <v>Discharge Pump Zone 1</v>
          </cell>
          <cell r="G161" t="str">
            <v>ตรวจเช็คการรั่วของน้ำมัน Discharge Pump zone 1</v>
          </cell>
          <cell r="H161">
            <v>30</v>
          </cell>
        </row>
        <row r="162">
          <cell r="C162">
            <v>610000004061</v>
          </cell>
          <cell r="D162" t="str">
            <v>P14-MI-ME</v>
          </cell>
          <cell r="E162">
            <v>100495</v>
          </cell>
          <cell r="F162" t="str">
            <v>Discharge Pump Zone 1</v>
          </cell>
          <cell r="G162" t="str">
            <v>ตรวจเช็คการรั่วของน้ำมันเกียร์ Discharge Pump zone 1</v>
          </cell>
          <cell r="H162">
            <v>30</v>
          </cell>
        </row>
        <row r="163">
          <cell r="C163">
            <v>610000004061</v>
          </cell>
          <cell r="D163" t="str">
            <v>P14-MI-ME</v>
          </cell>
          <cell r="E163">
            <v>100495</v>
          </cell>
          <cell r="F163" t="str">
            <v>Discharge Pump Zone 2</v>
          </cell>
          <cell r="G163" t="str">
            <v>ตรวจเช็คเสียง และ การสั่นสะเทือนของ Discharge Pump zone 2</v>
          </cell>
          <cell r="H163">
            <v>30</v>
          </cell>
        </row>
        <row r="164">
          <cell r="C164">
            <v>610000004061</v>
          </cell>
          <cell r="D164" t="str">
            <v>P14-MI-ME</v>
          </cell>
          <cell r="E164">
            <v>100495</v>
          </cell>
          <cell r="F164" t="str">
            <v>Discharge Pump Zone 2</v>
          </cell>
          <cell r="G164" t="str">
            <v>ตรวจเช็คการรั่วของน้ำมัน Discharge Pump zone 2</v>
          </cell>
          <cell r="H164">
            <v>30</v>
          </cell>
        </row>
        <row r="165">
          <cell r="C165">
            <v>610000004061</v>
          </cell>
          <cell r="D165" t="str">
            <v>P14-MI-ME</v>
          </cell>
          <cell r="E165">
            <v>100495</v>
          </cell>
          <cell r="F165" t="str">
            <v>Discharge Pump Zone 2</v>
          </cell>
          <cell r="G165" t="str">
            <v>ตรวจเช็คการรั่วของน้ำมันเกียร์ Discharge Pump zone 2</v>
          </cell>
          <cell r="H165">
            <v>30</v>
          </cell>
        </row>
        <row r="166">
          <cell r="C166">
            <v>610000004061</v>
          </cell>
          <cell r="D166" t="str">
            <v>P14-MI-ME</v>
          </cell>
          <cell r="E166">
            <v>100495</v>
          </cell>
          <cell r="F166" t="str">
            <v>Catch Box Conveyor</v>
          </cell>
          <cell r="G166" t="str">
            <v>ตรวจเช็คการรั่วของลมที่ชุดปาดเศษ Scrap ของ Catchbox Conveyor</v>
          </cell>
          <cell r="H166">
            <v>30</v>
          </cell>
        </row>
        <row r="167">
          <cell r="C167">
            <v>610000004061</v>
          </cell>
          <cell r="D167" t="str">
            <v>P14-MI-ME</v>
          </cell>
          <cell r="E167">
            <v>100495</v>
          </cell>
          <cell r="F167" t="str">
            <v>Oil Heat exchanger</v>
          </cell>
          <cell r="G167" t="str">
            <v>ตรวจเช็คการรั่วของ oil heat exchanger</v>
          </cell>
          <cell r="H167">
            <v>30</v>
          </cell>
        </row>
        <row r="168">
          <cell r="C168">
            <v>610000004062</v>
          </cell>
          <cell r="D168" t="str">
            <v>P14-ML-ME</v>
          </cell>
          <cell r="E168">
            <v>100496</v>
          </cell>
          <cell r="F168" t="str">
            <v>Main Oil Pump</v>
          </cell>
          <cell r="G168" t="str">
            <v>อัดจาระบีหัว-ท้ายของมอเตอร์ MOP จุดละ 2 Stroke</v>
          </cell>
          <cell r="H168">
            <v>30</v>
          </cell>
          <cell r="I168">
            <v>20</v>
          </cell>
          <cell r="J168">
            <v>1</v>
          </cell>
        </row>
        <row r="169">
          <cell r="C169">
            <v>610000004062</v>
          </cell>
          <cell r="D169" t="str">
            <v>P14-ML-ME</v>
          </cell>
          <cell r="E169">
            <v>100496</v>
          </cell>
          <cell r="F169" t="str">
            <v>Thermal Oil Circulating Pump</v>
          </cell>
          <cell r="G169" t="str">
            <v>อัดจาระบีหัว-ท้ายของมอเตอร์ Thermal Oil Circulating Pump จุดละ 2 Stroke</v>
          </cell>
          <cell r="H169">
            <v>30</v>
          </cell>
          <cell r="I169">
            <v>20</v>
          </cell>
          <cell r="J169">
            <v>1</v>
          </cell>
        </row>
        <row r="170">
          <cell r="C170">
            <v>610000004062</v>
          </cell>
          <cell r="D170" t="str">
            <v>P14-ML-ME</v>
          </cell>
          <cell r="E170">
            <v>100496</v>
          </cell>
          <cell r="F170" t="str">
            <v>Combustion Fan</v>
          </cell>
          <cell r="G170" t="str">
            <v>อัดจาระบีหัว-ท้ายของมอเตอร์ Combustion Fan จุดละ 2 Stroke</v>
          </cell>
          <cell r="H170">
            <v>30</v>
          </cell>
        </row>
        <row r="171">
          <cell r="C171">
            <v>610000004062</v>
          </cell>
          <cell r="D171" t="str">
            <v>P14-ML-ME</v>
          </cell>
          <cell r="E171">
            <v>100496</v>
          </cell>
          <cell r="F171" t="str">
            <v>Main Oil Pump</v>
          </cell>
          <cell r="G171" t="str">
            <v>อัดจาระบีที่ Lip Seal ห้อง Bearing MOP 1 จุด</v>
          </cell>
          <cell r="H171">
            <v>30</v>
          </cell>
        </row>
        <row r="172">
          <cell r="C172">
            <v>610000004062</v>
          </cell>
          <cell r="D172" t="str">
            <v>P14-ML-ME</v>
          </cell>
          <cell r="E172">
            <v>100496</v>
          </cell>
          <cell r="F172" t="str">
            <v>Catch Box Conveyor</v>
          </cell>
          <cell r="G172" t="str">
            <v>อัดจาระบี Bearing Fryer Catchbox Conveyor ทั้ง 4 จุด</v>
          </cell>
          <cell r="H172">
            <v>30</v>
          </cell>
        </row>
        <row r="173">
          <cell r="C173">
            <v>342279</v>
          </cell>
          <cell r="D173" t="str">
            <v>P14-ML-ME2</v>
          </cell>
          <cell r="F173" t="str">
            <v>Fresh &amp; Use Oil Make-Up Pump</v>
          </cell>
          <cell r="G173" t="str">
            <v>อัดจาระบีห้อง Bearing และแกนเพลา 2 จุด อัดช้าๆ 1 Stroke</v>
          </cell>
          <cell r="H173">
            <v>30</v>
          </cell>
          <cell r="I173">
            <v>5</v>
          </cell>
          <cell r="J173">
            <v>1</v>
          </cell>
        </row>
        <row r="174">
          <cell r="C174">
            <v>610000004063</v>
          </cell>
          <cell r="D174" t="str">
            <v>P14-MV-ME</v>
          </cell>
          <cell r="F174" t="str">
            <v>Main Oil Pump</v>
          </cell>
          <cell r="G174" t="str">
            <v>ตรวจวัดค่า Vibration Main Oil Pump</v>
          </cell>
          <cell r="H174">
            <v>30</v>
          </cell>
          <cell r="I174">
            <v>30</v>
          </cell>
          <cell r="J174">
            <v>1</v>
          </cell>
        </row>
        <row r="175">
          <cell r="C175">
            <v>610000004063</v>
          </cell>
          <cell r="D175" t="str">
            <v>P14-MV-ME</v>
          </cell>
          <cell r="F175" t="str">
            <v>Thermal Oil Circulating Pump</v>
          </cell>
          <cell r="G175" t="str">
            <v>ตรวจวัดค่า Vibration Thermal Oil Circulating Pump</v>
          </cell>
          <cell r="H175">
            <v>30</v>
          </cell>
        </row>
        <row r="176">
          <cell r="C176">
            <v>610000004063</v>
          </cell>
          <cell r="D176" t="str">
            <v>P14-MV-ME</v>
          </cell>
          <cell r="F176" t="str">
            <v>Combustion Fan</v>
          </cell>
          <cell r="G176" t="str">
            <v>ตรวจวัดค่า Vibration Combustion Fan</v>
          </cell>
          <cell r="H176">
            <v>30</v>
          </cell>
          <cell r="I176">
            <v>30</v>
          </cell>
          <cell r="J176">
            <v>1</v>
          </cell>
        </row>
        <row r="177">
          <cell r="C177">
            <v>610000004063</v>
          </cell>
          <cell r="D177" t="str">
            <v>P14-MV-ME</v>
          </cell>
          <cell r="F177" t="str">
            <v>Discharge Pump Zone 1</v>
          </cell>
          <cell r="G177" t="str">
            <v>ตรวจวัดค่า Vibration Discharge Pump Zone 1</v>
          </cell>
          <cell r="H177">
            <v>30</v>
          </cell>
        </row>
        <row r="178">
          <cell r="C178">
            <v>610000004063</v>
          </cell>
          <cell r="D178" t="str">
            <v>P14-MV-ME</v>
          </cell>
          <cell r="F178" t="str">
            <v>Discharge Pump Zone 2</v>
          </cell>
          <cell r="G178" t="str">
            <v>ตรวจวัดค่า Vibration Discharge Pump Zone 2</v>
          </cell>
          <cell r="H178">
            <v>30</v>
          </cell>
        </row>
        <row r="179">
          <cell r="C179">
            <v>610000004064</v>
          </cell>
          <cell r="D179" t="str">
            <v>P14-MC-ME</v>
          </cell>
          <cell r="F179" t="str">
            <v>Thermal Oil Boiler &amp; Piping</v>
          </cell>
          <cell r="G179" t="str">
            <v>ทำความสะอาดบริเวณห้อง Thermal Oil ประจำสัปดาห์ (กะ AA)</v>
          </cell>
          <cell r="H179">
            <v>30</v>
          </cell>
          <cell r="I179">
            <v>60</v>
          </cell>
          <cell r="J179">
            <v>4</v>
          </cell>
        </row>
        <row r="180">
          <cell r="C180">
            <v>610000004064</v>
          </cell>
          <cell r="D180" t="str">
            <v>P14-MC-ME</v>
          </cell>
          <cell r="F180" t="str">
            <v>Thermal Oil Boiler &amp; Piping</v>
          </cell>
          <cell r="G180" t="str">
            <v>ทำความสะอาดบริเวณห้อง Thermal Oil ประจำสัปดาห์ (กะ BB)</v>
          </cell>
          <cell r="H180">
            <v>30</v>
          </cell>
        </row>
        <row r="181">
          <cell r="C181">
            <v>350834</v>
          </cell>
          <cell r="D181" t="str">
            <v>P14-MC-ME2</v>
          </cell>
          <cell r="E181">
            <v>1421</v>
          </cell>
          <cell r="F181" t="str">
            <v>Fine blower</v>
          </cell>
          <cell r="G181" t="str">
            <v>ทำความสะอาด Inlet air filter ของ Fine  blower</v>
          </cell>
          <cell r="H181">
            <v>30</v>
          </cell>
          <cell r="I181">
            <v>30</v>
          </cell>
          <cell r="J181">
            <v>1</v>
          </cell>
        </row>
        <row r="182">
          <cell r="C182">
            <v>610000004065</v>
          </cell>
          <cell r="D182" t="str">
            <v>P14-QI-ME</v>
          </cell>
          <cell r="F182" t="str">
            <v>Main Oil Pump</v>
          </cell>
          <cell r="G182" t="str">
            <v>ขันน๊อตยึดยาง Coupling ระหว่างมอเตอร์กับปั๊มของ MOP</v>
          </cell>
          <cell r="H182">
            <v>90</v>
          </cell>
          <cell r="I182">
            <v>30</v>
          </cell>
          <cell r="J182">
            <v>1</v>
          </cell>
        </row>
        <row r="183">
          <cell r="C183">
            <v>610000004065</v>
          </cell>
          <cell r="D183" t="str">
            <v>P14-QI-ME</v>
          </cell>
          <cell r="F183" t="str">
            <v>Thermal Oil Circulating Pump</v>
          </cell>
          <cell r="G183" t="str">
            <v>ขันน๊อตยึดยาง Coupling ระหว่างมอเตอร์กับปั๊มของThermal Oil Circulating Pump</v>
          </cell>
          <cell r="H183">
            <v>90</v>
          </cell>
        </row>
        <row r="184">
          <cell r="C184">
            <v>610000004065</v>
          </cell>
          <cell r="D184" t="str">
            <v>P14-QI-ME</v>
          </cell>
          <cell r="F184" t="str">
            <v>Discharge Pump Zone 1</v>
          </cell>
          <cell r="G184" t="str">
            <v>ขันน๊อตยึดยาง Coupling ระหว่างมอเตอร์กับปั๊มของ Discharge Pump Zone 1</v>
          </cell>
          <cell r="H184">
            <v>90</v>
          </cell>
        </row>
        <row r="185">
          <cell r="C185">
            <v>610000004065</v>
          </cell>
          <cell r="D185" t="str">
            <v>P14-QI-ME</v>
          </cell>
          <cell r="F185" t="str">
            <v>Discharge Pump Zone 2</v>
          </cell>
          <cell r="G185" t="str">
            <v>ขันน๊อตยึดยาง Coupling ระหว่างมอเตอร์กับปั๊มของ Discharge Pump Zone 2</v>
          </cell>
          <cell r="H185">
            <v>90</v>
          </cell>
        </row>
        <row r="186">
          <cell r="C186">
            <v>610000004066</v>
          </cell>
          <cell r="D186" t="str">
            <v>P14-HR-ME</v>
          </cell>
          <cell r="F186" t="str">
            <v>Catch Box Conveyor</v>
          </cell>
          <cell r="G186" t="str">
            <v>เปลี่ยน bearing  และตัดต่อสายพานของ Fryer Catch Box Conveyor</v>
          </cell>
          <cell r="H186">
            <v>180</v>
          </cell>
          <cell r="I186">
            <v>480</v>
          </cell>
          <cell r="J186">
            <v>6</v>
          </cell>
        </row>
        <row r="187">
          <cell r="C187">
            <v>610000004067</v>
          </cell>
          <cell r="D187" t="str">
            <v>P14-HL-ME</v>
          </cell>
          <cell r="E187">
            <v>100501</v>
          </cell>
          <cell r="F187" t="str">
            <v>Catch Box Conveyor</v>
          </cell>
          <cell r="G187" t="str">
            <v>เปลี่ยนน้ำมันเกียร์ของ Fryer Catchbox Conveyor</v>
          </cell>
          <cell r="H187">
            <v>180</v>
          </cell>
          <cell r="I187">
            <v>120</v>
          </cell>
          <cell r="J187">
            <v>2</v>
          </cell>
        </row>
        <row r="188">
          <cell r="C188">
            <v>610000004067</v>
          </cell>
          <cell r="D188" t="str">
            <v>P14-HL-ME</v>
          </cell>
          <cell r="E188">
            <v>100501</v>
          </cell>
          <cell r="F188" t="str">
            <v>Main Oil Pump</v>
          </cell>
          <cell r="G188" t="str">
            <v>เปลี่ยนน้ำมันห้อง Bearing ของ MOP</v>
          </cell>
          <cell r="H188">
            <v>180</v>
          </cell>
        </row>
        <row r="189">
          <cell r="C189">
            <v>610000004067</v>
          </cell>
          <cell r="D189" t="str">
            <v>P14-HL-ME</v>
          </cell>
          <cell r="F189" t="str">
            <v>Discharge Pump Zone 1</v>
          </cell>
          <cell r="G189" t="str">
            <v>เปลี่ยนน้ำมันเกียร์ของ Discharge Pump Zone 1</v>
          </cell>
          <cell r="H189">
            <v>180</v>
          </cell>
        </row>
        <row r="190">
          <cell r="C190">
            <v>610000004067</v>
          </cell>
          <cell r="D190" t="str">
            <v>P14-HL-ME</v>
          </cell>
          <cell r="F190" t="str">
            <v>Discharge Pump Zone 2</v>
          </cell>
          <cell r="G190" t="str">
            <v>เปลี่ยนน้ำมันเกียร์ของ Discharge Pump Zone 2</v>
          </cell>
          <cell r="H190">
            <v>180</v>
          </cell>
        </row>
        <row r="191">
          <cell r="C191">
            <v>610000004068</v>
          </cell>
          <cell r="D191" t="str">
            <v>P15-WL-ME</v>
          </cell>
          <cell r="E191">
            <v>100502</v>
          </cell>
          <cell r="F191" t="str">
            <v>Fryer Paddle Conveyor</v>
          </cell>
          <cell r="G191" t="str">
            <v>อัดจาระบี Bearing UC206  Paddle Conveyor ทั้ง 22 จุด</v>
          </cell>
          <cell r="H191">
            <v>7</v>
          </cell>
          <cell r="I191">
            <v>30</v>
          </cell>
          <cell r="J191">
            <v>1</v>
          </cell>
        </row>
        <row r="192">
          <cell r="C192">
            <v>610000004068</v>
          </cell>
          <cell r="D192" t="str">
            <v>P15-WL-ME</v>
          </cell>
          <cell r="E192">
            <v>100502</v>
          </cell>
          <cell r="F192" t="str">
            <v>Fryer Paddle Conveyor</v>
          </cell>
          <cell r="G192" t="str">
            <v>อัดจาระบี Bearing UC210 เพลาขับ Paddle Conveyor ทั้ง 2 จุด</v>
          </cell>
          <cell r="H192">
            <v>7</v>
          </cell>
          <cell r="I192">
            <v>30</v>
          </cell>
          <cell r="J192">
            <v>1</v>
          </cell>
        </row>
        <row r="193">
          <cell r="C193">
            <v>610000004068</v>
          </cell>
          <cell r="D193" t="str">
            <v>P15-WL-ME</v>
          </cell>
          <cell r="E193">
            <v>100502</v>
          </cell>
          <cell r="F193" t="str">
            <v>Fryer Submerger Conveyor</v>
          </cell>
          <cell r="G193" t="str">
            <v>อัดจาระบี Bearing UC206 Submerger Conveyor ทั้ง 4 จุด</v>
          </cell>
          <cell r="H193">
            <v>7</v>
          </cell>
        </row>
        <row r="194">
          <cell r="C194">
            <v>610000004068</v>
          </cell>
          <cell r="D194" t="str">
            <v>P15-WL-ME</v>
          </cell>
          <cell r="E194">
            <v>100502</v>
          </cell>
          <cell r="F194" t="str">
            <v>Fryer Submerger Conveyor</v>
          </cell>
          <cell r="G194" t="str">
            <v>อัดจาระบี Bearing UC210 เพลาขับ Submerger Conveyor ทั้ง 2 จุด</v>
          </cell>
          <cell r="H194">
            <v>7</v>
          </cell>
        </row>
        <row r="195">
          <cell r="C195">
            <v>610000004068</v>
          </cell>
          <cell r="D195" t="str">
            <v>P15-WL-ME</v>
          </cell>
          <cell r="E195">
            <v>100502</v>
          </cell>
          <cell r="F195" t="str">
            <v>Fryer Paddle Conveyor</v>
          </cell>
          <cell r="G195" t="str">
            <v>อัดจาระบี Bearing Jogging ของ Paddle Conveyor ทั้ง 12 ตัว</v>
          </cell>
          <cell r="H195">
            <v>7</v>
          </cell>
        </row>
        <row r="196">
          <cell r="C196">
            <v>610000004069</v>
          </cell>
          <cell r="D196" t="str">
            <v>P15-FI-ME</v>
          </cell>
          <cell r="F196" t="str">
            <v>Exhaust Fan Infeed</v>
          </cell>
          <cell r="G196" t="str">
            <v>ตรวจเช็คสภาพสายพานขับ OME Exhaust Fan Infeed Side ทั้ง 3 เส้น</v>
          </cell>
          <cell r="H196">
            <v>15</v>
          </cell>
          <cell r="I196">
            <v>15</v>
          </cell>
          <cell r="J196">
            <v>1</v>
          </cell>
        </row>
        <row r="197">
          <cell r="C197">
            <v>610000004069</v>
          </cell>
          <cell r="D197" t="str">
            <v>P15-FI-ME</v>
          </cell>
          <cell r="F197" t="str">
            <v>Exhaust Fan Discharge</v>
          </cell>
          <cell r="G197" t="str">
            <v>ตรวจเช็คสภาพสายพานขับ OME Exhaust Fan Discharge Side ทั้ง 2 เส้น</v>
          </cell>
          <cell r="H197">
            <v>15</v>
          </cell>
        </row>
        <row r="198">
          <cell r="C198">
            <v>610000004069</v>
          </cell>
          <cell r="D198" t="str">
            <v>P15-FI-ME</v>
          </cell>
          <cell r="F198" t="str">
            <v>Oil mist eliminate exhaust fan</v>
          </cell>
          <cell r="G198" t="str">
            <v>ตรวจเช็คสภาพและความตึงหย่อนของสายพานขับ Oil mist eliminate exhaust fan</v>
          </cell>
          <cell r="H198">
            <v>15</v>
          </cell>
        </row>
        <row r="199">
          <cell r="C199">
            <v>610000004070</v>
          </cell>
          <cell r="D199" t="str">
            <v>P15-FL-ME</v>
          </cell>
          <cell r="E199">
            <v>100504</v>
          </cell>
          <cell r="F199" t="str">
            <v>Exhaust Fan Infeed</v>
          </cell>
          <cell r="G199" t="str">
            <v>อัดจาระบี Bearing OME Exhaust Fan Infeed Side</v>
          </cell>
          <cell r="H199">
            <v>15</v>
          </cell>
          <cell r="I199">
            <v>15</v>
          </cell>
          <cell r="J199">
            <v>1</v>
          </cell>
        </row>
        <row r="200">
          <cell r="C200">
            <v>610000004070</v>
          </cell>
          <cell r="D200" t="str">
            <v>P15-FL-ME</v>
          </cell>
          <cell r="E200">
            <v>100504</v>
          </cell>
          <cell r="F200" t="str">
            <v>Exhaust Fan Discharge</v>
          </cell>
          <cell r="G200" t="str">
            <v>อัดจาระบี Bearing OME Exhaust Fan Discharge Side</v>
          </cell>
          <cell r="H200">
            <v>15</v>
          </cell>
          <cell r="I200">
            <v>15</v>
          </cell>
          <cell r="J200">
            <v>1</v>
          </cell>
        </row>
        <row r="201">
          <cell r="C201">
            <v>610000004070</v>
          </cell>
          <cell r="D201" t="str">
            <v>P15-FL-ME</v>
          </cell>
          <cell r="E201">
            <v>100504</v>
          </cell>
          <cell r="F201" t="str">
            <v>Fryer Take Out Conveyor</v>
          </cell>
          <cell r="G201" t="str">
            <v>อัดจาระบี Bearing Take Out Conveyor ทั้ง 4 จุด</v>
          </cell>
          <cell r="H201">
            <v>15</v>
          </cell>
        </row>
        <row r="202">
          <cell r="C202">
            <v>610000004070</v>
          </cell>
          <cell r="D202" t="str">
            <v>P15-FL-ME</v>
          </cell>
          <cell r="E202">
            <v>100504</v>
          </cell>
          <cell r="F202" t="str">
            <v>Fryer Scrap Auger</v>
          </cell>
          <cell r="G202" t="str">
            <v>อัดจาระบี Bearing Scrap Auger ทั้ง 2 จุด</v>
          </cell>
          <cell r="H202">
            <v>15</v>
          </cell>
        </row>
        <row r="203">
          <cell r="C203">
            <v>610000004070</v>
          </cell>
          <cell r="D203" t="str">
            <v>P15-FL-ME</v>
          </cell>
          <cell r="E203">
            <v>100504</v>
          </cell>
          <cell r="F203" t="str">
            <v>Oil mist eliminate exhaust fan</v>
          </cell>
          <cell r="G203" t="str">
            <v>อัดจาระบี Bearing Oil mist eliminate exhaust fan</v>
          </cell>
          <cell r="H203">
            <v>15</v>
          </cell>
        </row>
        <row r="204">
          <cell r="C204">
            <v>610000004071</v>
          </cell>
          <cell r="D204" t="str">
            <v>P15-MI-ME</v>
          </cell>
          <cell r="F204" t="str">
            <v>Fryer Take Out Conveyor</v>
          </cell>
          <cell r="G204" t="str">
            <v>ตรวจเช็คความสึกหรอของใบปาดสายพาน Take Out Conveyor</v>
          </cell>
          <cell r="H204">
            <v>30</v>
          </cell>
          <cell r="I204">
            <v>10</v>
          </cell>
          <cell r="J204">
            <v>1</v>
          </cell>
        </row>
        <row r="205">
          <cell r="C205">
            <v>610000004071</v>
          </cell>
          <cell r="D205" t="str">
            <v>P15-MI-ME</v>
          </cell>
          <cell r="F205" t="str">
            <v>Fryer Seperator Drum</v>
          </cell>
          <cell r="G205" t="str">
            <v>ตรวจเช็คความตึงหย่อนของโซ่ขับ Seperator Drum ใน Fryer ทั้ง 2 จุด</v>
          </cell>
          <cell r="H205">
            <v>30</v>
          </cell>
        </row>
        <row r="206">
          <cell r="C206">
            <v>610000004072</v>
          </cell>
          <cell r="D206" t="str">
            <v>P15-MV-ME</v>
          </cell>
          <cell r="F206" t="str">
            <v>Exhaust Fan Infeed</v>
          </cell>
          <cell r="G206" t="str">
            <v>ตรวจวัดค่า Vibration Exhaust Fan Infeed</v>
          </cell>
          <cell r="H206">
            <v>30</v>
          </cell>
          <cell r="I206">
            <v>15</v>
          </cell>
          <cell r="J206">
            <v>1</v>
          </cell>
        </row>
        <row r="207">
          <cell r="C207">
            <v>610000004072</v>
          </cell>
          <cell r="D207" t="str">
            <v>P15-MV-ME</v>
          </cell>
          <cell r="F207" t="str">
            <v>Exhaust Fan Discharge</v>
          </cell>
          <cell r="G207" t="str">
            <v>ตรวจวัดค่า Vibration Exhaust Fan Discharge</v>
          </cell>
          <cell r="H207">
            <v>30</v>
          </cell>
        </row>
        <row r="208">
          <cell r="C208">
            <v>610000004073</v>
          </cell>
          <cell r="D208" t="str">
            <v>P15-ML-ME</v>
          </cell>
          <cell r="F208" t="str">
            <v>Fryer Hood &amp; Lifter</v>
          </cell>
          <cell r="G208" t="str">
            <v>หยอดน้ำมันที่หัวเสาของชุด Fryer Hood Lifter ทั้ง 6 เสา</v>
          </cell>
          <cell r="H208">
            <v>30</v>
          </cell>
          <cell r="I208">
            <v>10</v>
          </cell>
          <cell r="J208">
            <v>1</v>
          </cell>
        </row>
        <row r="209">
          <cell r="C209">
            <v>610000004074</v>
          </cell>
          <cell r="D209" t="str">
            <v>P15-QL-ME</v>
          </cell>
          <cell r="E209">
            <v>100508</v>
          </cell>
          <cell r="F209" t="str">
            <v>Fryer Submerger Conveyor</v>
          </cell>
          <cell r="G209" t="str">
            <v>เปลี่ยนน้ำมันเกียร์ Submerger Conveyor</v>
          </cell>
          <cell r="H209">
            <v>90</v>
          </cell>
          <cell r="I209">
            <v>120</v>
          </cell>
          <cell r="J209">
            <v>2</v>
          </cell>
        </row>
        <row r="210">
          <cell r="C210">
            <v>610000004074</v>
          </cell>
          <cell r="D210" t="str">
            <v>P15-QL-ME</v>
          </cell>
          <cell r="E210">
            <v>100508</v>
          </cell>
          <cell r="F210" t="str">
            <v>Fryer Paddle Conveyor</v>
          </cell>
          <cell r="G210" t="str">
            <v>เปลี่ยนน้ำมันเกียร์ Paddle Conveyor</v>
          </cell>
          <cell r="H210">
            <v>90</v>
          </cell>
          <cell r="I210">
            <v>120</v>
          </cell>
          <cell r="J210">
            <v>2</v>
          </cell>
        </row>
        <row r="211">
          <cell r="C211">
            <v>610000004074</v>
          </cell>
          <cell r="D211" t="str">
            <v>P15-QL-ME</v>
          </cell>
          <cell r="E211">
            <v>100508</v>
          </cell>
          <cell r="F211" t="str">
            <v>Fryer Take Out Conveyor</v>
          </cell>
          <cell r="G211" t="str">
            <v>เปลี่ยนน้ำมันเกียร์ Take Out Conveyor</v>
          </cell>
          <cell r="H211">
            <v>90</v>
          </cell>
        </row>
        <row r="212">
          <cell r="C212">
            <v>610000004074</v>
          </cell>
          <cell r="D212" t="str">
            <v>P15-QL-ME</v>
          </cell>
          <cell r="E212">
            <v>100508</v>
          </cell>
          <cell r="F212" t="str">
            <v>Fryer Scrap Auger</v>
          </cell>
          <cell r="G212" t="str">
            <v>เปลี่ยนน้ำมันเกียร์ Scrap Auger Conveyor</v>
          </cell>
          <cell r="H212">
            <v>90</v>
          </cell>
        </row>
        <row r="213">
          <cell r="C213">
            <v>610000004075</v>
          </cell>
          <cell r="D213" t="str">
            <v>P15-HR-ME</v>
          </cell>
          <cell r="F213" t="str">
            <v>Exhaust Fan Infeed</v>
          </cell>
          <cell r="G213" t="str">
            <v>เปลี่ยน Bearing OME Exhaust Fan Infeed Side</v>
          </cell>
          <cell r="H213">
            <v>180</v>
          </cell>
          <cell r="I213">
            <v>360</v>
          </cell>
          <cell r="J213">
            <v>4</v>
          </cell>
        </row>
        <row r="214">
          <cell r="C214">
            <v>610000004075</v>
          </cell>
          <cell r="D214" t="str">
            <v>P15-HR-ME</v>
          </cell>
          <cell r="F214" t="str">
            <v>Exhaust Fan Discharge</v>
          </cell>
          <cell r="G214" t="str">
            <v>เปลี่ยน Bearing OME Exhaust Fan Discharge Side</v>
          </cell>
          <cell r="H214">
            <v>180</v>
          </cell>
        </row>
        <row r="215">
          <cell r="C215">
            <v>610000004076</v>
          </cell>
          <cell r="D215" t="str">
            <v>P15-YR-ME</v>
          </cell>
          <cell r="F215" t="str">
            <v>Fryer Paddle Conveyor</v>
          </cell>
          <cell r="G215" t="str">
            <v>เปลี่ยน Bearing Paddle Conveyor ทั้งหมด</v>
          </cell>
          <cell r="H215">
            <v>365</v>
          </cell>
          <cell r="I215">
            <v>480</v>
          </cell>
          <cell r="J215">
            <v>6</v>
          </cell>
        </row>
        <row r="216">
          <cell r="C216">
            <v>610000004076</v>
          </cell>
          <cell r="D216" t="str">
            <v>P15-YR-ME</v>
          </cell>
          <cell r="F216" t="str">
            <v>Fryer Paddle Conveyor</v>
          </cell>
          <cell r="G216" t="str">
            <v>เปลี่ยน Bearing Jogging ทั้งหมด</v>
          </cell>
          <cell r="H216">
            <v>365</v>
          </cell>
          <cell r="I216">
            <v>480</v>
          </cell>
          <cell r="J216">
            <v>6</v>
          </cell>
        </row>
        <row r="217">
          <cell r="C217">
            <v>610000004076</v>
          </cell>
          <cell r="D217" t="str">
            <v>P15-YR-ME</v>
          </cell>
          <cell r="F217" t="str">
            <v>Fryer Submerger Conveyor</v>
          </cell>
          <cell r="G217" t="str">
            <v>เปลี่ยน Bearing Submerger Conveyor ทั้ง 4 ตัว</v>
          </cell>
          <cell r="H217">
            <v>365</v>
          </cell>
        </row>
        <row r="218">
          <cell r="C218">
            <v>610000004076</v>
          </cell>
          <cell r="D218" t="str">
            <v>P15-YR-ME</v>
          </cell>
          <cell r="F218" t="str">
            <v>Fryer Submerger Conveyor</v>
          </cell>
          <cell r="G218" t="str">
            <v>เปลี่ยน Bearing เพลาขับสายพาน Submerger Conveyor ทั้ง 2 ตัว</v>
          </cell>
          <cell r="H218">
            <v>365</v>
          </cell>
        </row>
        <row r="219">
          <cell r="C219">
            <v>610000004076</v>
          </cell>
          <cell r="D219" t="str">
            <v>P15-YR-ME</v>
          </cell>
          <cell r="F219" t="str">
            <v>Fryer Paddle Conveyor</v>
          </cell>
          <cell r="G219" t="str">
            <v>เปลี่ยน Bearing เพลาขับสายพาน Paddle Conveyor ทั้ง 2 ตัว</v>
          </cell>
          <cell r="H219">
            <v>365</v>
          </cell>
        </row>
        <row r="220">
          <cell r="C220">
            <v>345906</v>
          </cell>
          <cell r="D220" t="str">
            <v>P15-YR-ME2</v>
          </cell>
          <cell r="F220" t="str">
            <v>Fryer Scrap Auger</v>
          </cell>
          <cell r="G220" t="str">
            <v>เปลี่ยน Bearing Fryer Scrap Auger ทั้ง 4 ตัว</v>
          </cell>
          <cell r="H220">
            <v>365</v>
          </cell>
          <cell r="I220">
            <v>240</v>
          </cell>
          <cell r="J220">
            <v>4</v>
          </cell>
        </row>
        <row r="221">
          <cell r="C221">
            <v>345906</v>
          </cell>
          <cell r="D221" t="str">
            <v>P15-YR-ME2</v>
          </cell>
          <cell r="F221" t="str">
            <v>Fryer Take Out Conveyor</v>
          </cell>
          <cell r="G221" t="str">
            <v>เปลี่ยน Bearing Take-Out Conveyor ทั้ง 4 ตัว</v>
          </cell>
          <cell r="H221">
            <v>365</v>
          </cell>
        </row>
        <row r="222">
          <cell r="C222">
            <v>610000004077</v>
          </cell>
          <cell r="D222" t="str">
            <v>P16-FL-ME</v>
          </cell>
          <cell r="E222">
            <v>100511</v>
          </cell>
          <cell r="F222" t="str">
            <v>Kromasort Main Conveyor</v>
          </cell>
          <cell r="G222" t="str">
            <v>อัดจาระบี Bearing สายพาน Main Belt Conveyor ด้านขับทั้ง 4 ตัว</v>
          </cell>
          <cell r="H222">
            <v>15</v>
          </cell>
          <cell r="I222">
            <v>30</v>
          </cell>
          <cell r="J222">
            <v>1</v>
          </cell>
        </row>
        <row r="223">
          <cell r="C223">
            <v>610000004077</v>
          </cell>
          <cell r="D223" t="str">
            <v>P16-FL-ME</v>
          </cell>
          <cell r="E223">
            <v>100511</v>
          </cell>
          <cell r="F223" t="str">
            <v>Kromasort Main Conveyor</v>
          </cell>
          <cell r="G223" t="str">
            <v>อัดจาระบี Bearing สายพาน Main Belt Conveyor ด้านตามทั้ง 2 ตัว</v>
          </cell>
          <cell r="H223">
            <v>15</v>
          </cell>
          <cell r="I223">
            <v>30</v>
          </cell>
          <cell r="J223">
            <v>1</v>
          </cell>
        </row>
        <row r="224">
          <cell r="C224">
            <v>610000004077</v>
          </cell>
          <cell r="D224" t="str">
            <v>P16-FL-ME</v>
          </cell>
          <cell r="E224">
            <v>100511</v>
          </cell>
          <cell r="F224" t="str">
            <v>Kromasort Main Brush Roller</v>
          </cell>
          <cell r="G224" t="str">
            <v>อัดจาระบี Bearing Brush Roller ทั้ง 2 จุด</v>
          </cell>
          <cell r="H224">
            <v>15</v>
          </cell>
        </row>
        <row r="225">
          <cell r="C225">
            <v>610000004077</v>
          </cell>
          <cell r="D225" t="str">
            <v>P16-FL-ME</v>
          </cell>
          <cell r="E225">
            <v>100511</v>
          </cell>
          <cell r="F225" t="str">
            <v>Kromasort Recirculating Conveyor</v>
          </cell>
          <cell r="G225" t="str">
            <v>อัดจาระบี Bearing Recirculation Conveyor ทั้ง 4 จุด</v>
          </cell>
          <cell r="H225">
            <v>15</v>
          </cell>
        </row>
        <row r="226">
          <cell r="C226">
            <v>610000004077</v>
          </cell>
          <cell r="D226" t="str">
            <v>P16-FL-ME</v>
          </cell>
          <cell r="E226">
            <v>100511</v>
          </cell>
          <cell r="F226" t="str">
            <v>Kromasort Outfeed Incline Conveyor</v>
          </cell>
          <cell r="G226" t="str">
            <v>อัดจาระบี Bearing สายพาน Kromasort Outfeed Incline Conveyor ทั้ง 4 จุด</v>
          </cell>
          <cell r="H226">
            <v>15</v>
          </cell>
        </row>
        <row r="227">
          <cell r="C227">
            <v>610000004077</v>
          </cell>
          <cell r="D227" t="str">
            <v>P16-FL-ME</v>
          </cell>
          <cell r="E227">
            <v>100511</v>
          </cell>
          <cell r="F227" t="str">
            <v>Moisture Monitoring Conveyor</v>
          </cell>
          <cell r="G227" t="str">
            <v>อัดจาระบี Bearing สายพาน Moisure Conveyor ทั้ง 4 จุด</v>
          </cell>
          <cell r="H227">
            <v>15</v>
          </cell>
        </row>
        <row r="228">
          <cell r="C228">
            <v>610000004077</v>
          </cell>
          <cell r="D228" t="str">
            <v>P16-FL-ME</v>
          </cell>
          <cell r="E228">
            <v>100511</v>
          </cell>
          <cell r="F228" t="str">
            <v>Kromasort Outfeed Incline Conveyor</v>
          </cell>
          <cell r="G228" t="str">
            <v>อัดจาระบี Bearing Idle Wheel สายพาน Kromasort Outfeed Incline Conveyor ทั้ง 6 จุด</v>
          </cell>
          <cell r="H228">
            <v>15</v>
          </cell>
        </row>
        <row r="229">
          <cell r="C229">
            <v>610000004077</v>
          </cell>
          <cell r="D229" t="str">
            <v>P16-FL-ME</v>
          </cell>
          <cell r="E229">
            <v>100511</v>
          </cell>
          <cell r="F229" t="str">
            <v>Kromasort Waste Conveyor</v>
          </cell>
          <cell r="G229" t="str">
            <v>อัดจาระบี Bearing ของ Kromasort Waste Conveyor ทั้ง 4 จุด</v>
          </cell>
          <cell r="H229">
            <v>15</v>
          </cell>
        </row>
        <row r="230">
          <cell r="C230">
            <v>610000004077</v>
          </cell>
          <cell r="D230" t="str">
            <v>P16-FL-ME</v>
          </cell>
          <cell r="E230">
            <v>100511</v>
          </cell>
          <cell r="F230" t="str">
            <v>Kromasort Recycle Conveyor</v>
          </cell>
          <cell r="G230" t="str">
            <v>อัดจาระบี Bearing ของ Kromasort Recycle Conveyor ทั้งหมด 4 จุด</v>
          </cell>
          <cell r="H230">
            <v>15</v>
          </cell>
        </row>
        <row r="231">
          <cell r="C231">
            <v>610000004077</v>
          </cell>
          <cell r="D231" t="str">
            <v>P16-FL-ME</v>
          </cell>
          <cell r="E231">
            <v>100511</v>
          </cell>
          <cell r="F231" t="str">
            <v>Kromasort X-Feed Conveyor</v>
          </cell>
          <cell r="G231" t="str">
            <v>อัดจาระบี Bearing ของ Kromasort X-Feed Conveyor  ทั้งหมด 4 จุด</v>
          </cell>
          <cell r="H231">
            <v>15</v>
          </cell>
        </row>
        <row r="232">
          <cell r="C232">
            <v>610000004078</v>
          </cell>
          <cell r="D232" t="str">
            <v>P16-MC-ME</v>
          </cell>
          <cell r="F232" t="str">
            <v>FL710 (Center)</v>
          </cell>
          <cell r="G232" t="str">
            <v>ทำความสะอาด Air Filter ของ Air Filter Unit ที่เข้าหัววัด FL710</v>
          </cell>
          <cell r="H232">
            <v>30</v>
          </cell>
          <cell r="I232">
            <v>30</v>
          </cell>
          <cell r="J232">
            <v>1</v>
          </cell>
        </row>
        <row r="233">
          <cell r="C233">
            <v>610000004079</v>
          </cell>
          <cell r="D233" t="str">
            <v>P16-MI-ME</v>
          </cell>
          <cell r="F233" t="str">
            <v>Kromasort Defect Conveyor</v>
          </cell>
          <cell r="G233" t="str">
            <v>ตรวจเช็คการรั่วของน้ำมันเกียร์ Defect Conveyor</v>
          </cell>
          <cell r="H233">
            <v>30</v>
          </cell>
          <cell r="I233">
            <v>30</v>
          </cell>
          <cell r="J233">
            <v>1</v>
          </cell>
        </row>
        <row r="234">
          <cell r="C234">
            <v>610000004079</v>
          </cell>
          <cell r="D234" t="str">
            <v>P16-MI-ME</v>
          </cell>
          <cell r="F234" t="str">
            <v>Kromasort Recirculating Conveyor</v>
          </cell>
          <cell r="G234" t="str">
            <v>ตรวจเช็คสภาพสายพาน Recirculation Conveyor</v>
          </cell>
          <cell r="H234">
            <v>30</v>
          </cell>
        </row>
        <row r="235">
          <cell r="C235">
            <v>610000004079</v>
          </cell>
          <cell r="D235" t="str">
            <v>P16-MI-ME</v>
          </cell>
          <cell r="F235" t="str">
            <v>Kromasort Main Brush Roller</v>
          </cell>
          <cell r="G235" t="str">
            <v>ตรวจเช็คสภาพ Brush Roller และ สายพานขับของสายพาน Recirculation Conveyor</v>
          </cell>
          <cell r="H235">
            <v>30</v>
          </cell>
        </row>
        <row r="236">
          <cell r="C236">
            <v>610000004079</v>
          </cell>
          <cell r="D236" t="str">
            <v>P16-MI-ME</v>
          </cell>
          <cell r="F236" t="str">
            <v>Moisture Monitoring Conveyor</v>
          </cell>
          <cell r="G236" t="str">
            <v>ตรวจเช็คความสึกหรอของใบปาดข้างสายพาน Moisure Monitor Conveyor</v>
          </cell>
          <cell r="H236">
            <v>30</v>
          </cell>
        </row>
        <row r="237">
          <cell r="C237">
            <v>610000004079</v>
          </cell>
          <cell r="D237" t="str">
            <v>P16-MI-ME</v>
          </cell>
          <cell r="F237" t="str">
            <v>Kromasort Main Conveyor</v>
          </cell>
          <cell r="G237" t="str">
            <v>ตรวจเช็คสภาพสายพาน Main Conveyor Belt</v>
          </cell>
          <cell r="H237">
            <v>30</v>
          </cell>
          <cell r="I237">
            <v>30</v>
          </cell>
          <cell r="J237">
            <v>1</v>
          </cell>
        </row>
        <row r="238">
          <cell r="C238">
            <v>610000004079</v>
          </cell>
          <cell r="D238" t="str">
            <v>P16-MI-ME</v>
          </cell>
          <cell r="F238" t="str">
            <v>Kromasort Infeed Vibrating Conveyor</v>
          </cell>
          <cell r="G238" t="str">
            <v>ตรวจเช็คสภาพของ Spring Kromasort Infeed Vibrating Conveyor</v>
          </cell>
          <cell r="H238">
            <v>30</v>
          </cell>
        </row>
        <row r="239">
          <cell r="C239">
            <v>610000004079</v>
          </cell>
          <cell r="D239" t="str">
            <v>P16-MI-ME</v>
          </cell>
          <cell r="F239" t="str">
            <v>Kromasort Infeed Vibrating Conveyor</v>
          </cell>
          <cell r="G239" t="str">
            <v>ตรวจเช็ค Stroke การทำงานของรางสั่น Kromasort Infeed Vibrating Conveyor 8.5</v>
          </cell>
          <cell r="H239">
            <v>30</v>
          </cell>
        </row>
        <row r="240">
          <cell r="C240">
            <v>610000004079</v>
          </cell>
          <cell r="D240" t="str">
            <v>P16-MI-ME</v>
          </cell>
          <cell r="F240" t="str">
            <v>Kromasort Infeed Vibrating Conveyor</v>
          </cell>
          <cell r="G240" t="str">
            <v>ตรวจเช็คสภาพการสั่นสะเทือนและรอยแตกร้าว ของ Frame Kromasort Infeed Vibrating Conveyor</v>
          </cell>
          <cell r="H240">
            <v>30</v>
          </cell>
        </row>
        <row r="241">
          <cell r="C241">
            <v>610000004079</v>
          </cell>
          <cell r="D241" t="str">
            <v>P16-MI-ME</v>
          </cell>
          <cell r="F241" t="str">
            <v>Kromasort Infeed Vibrating Conveyor</v>
          </cell>
          <cell r="G241" t="str">
            <v>ตรวจเช็คสภาพตึง หย่อน ของสายพานขับ Kromasort Infeed Vibrating Conveyor</v>
          </cell>
          <cell r="H241">
            <v>30</v>
          </cell>
        </row>
        <row r="242">
          <cell r="C242">
            <v>610000004079</v>
          </cell>
          <cell r="D242" t="str">
            <v>P16-MI-ME</v>
          </cell>
          <cell r="F242" t="str">
            <v>Kromasort Infeed Vibrating Conveyor</v>
          </cell>
          <cell r="G242" t="str">
            <v>ตรวจเช็คสภาพของ Spring Stud Bolt ทั้ง 4 ชุด Kromasort Infeed Vibrating Conveyor</v>
          </cell>
          <cell r="H242">
            <v>30</v>
          </cell>
        </row>
        <row r="243">
          <cell r="C243">
            <v>610000004079</v>
          </cell>
          <cell r="D243" t="str">
            <v>P16-MI-ME</v>
          </cell>
          <cell r="F243" t="str">
            <v>Kromasort Outfeed Vibrating Conveyor</v>
          </cell>
          <cell r="G243" t="str">
            <v>ตรวจเช็คสภาพของ Spring Kromasort Outfeed Vibrating Conveyor</v>
          </cell>
          <cell r="H243">
            <v>30</v>
          </cell>
        </row>
        <row r="244">
          <cell r="C244">
            <v>610000004079</v>
          </cell>
          <cell r="D244" t="str">
            <v>P16-MI-ME</v>
          </cell>
          <cell r="F244" t="str">
            <v>Kromasort Outfeed Vibrating Conveyor</v>
          </cell>
          <cell r="G244" t="str">
            <v>ตรวจเช็ค Stroke การทำงานของรางสั่น Kromasort Outfeed Vibrating Conveyor</v>
          </cell>
          <cell r="H244">
            <v>30</v>
          </cell>
        </row>
        <row r="245">
          <cell r="C245">
            <v>610000004079</v>
          </cell>
          <cell r="D245" t="str">
            <v>P16-MI-ME</v>
          </cell>
          <cell r="F245" t="str">
            <v>Kromasort Outfeed Vibrating Conveyor</v>
          </cell>
          <cell r="G245" t="str">
            <v>ตรวจเช็คสภาพการสั่นสะเทือนและรอยแตกร้าว ของ Frame Kromasort Outfeed Vibrating Conveyor</v>
          </cell>
          <cell r="H245">
            <v>30</v>
          </cell>
        </row>
        <row r="246">
          <cell r="C246">
            <v>610000004079</v>
          </cell>
          <cell r="D246" t="str">
            <v>P16-MI-ME</v>
          </cell>
          <cell r="F246" t="str">
            <v>Kromasort Outfeed Incline Conveyor</v>
          </cell>
          <cell r="G246" t="str">
            <v>ตรวจเช็คการรั่วของน้ำมันเกียร์ Kromasort Outfeed Incline Conveyor</v>
          </cell>
          <cell r="H246">
            <v>30</v>
          </cell>
        </row>
        <row r="247">
          <cell r="C247">
            <v>610000004079</v>
          </cell>
          <cell r="D247" t="str">
            <v>P16-MI-ME</v>
          </cell>
          <cell r="F247" t="str">
            <v>Kromasort Waste Conveyor</v>
          </cell>
          <cell r="G247" t="str">
            <v>ตรวจเช็คการรั่วของน้ำมันเกียร์ของ Kromasort Waste Conveyor</v>
          </cell>
          <cell r="H247">
            <v>30</v>
          </cell>
        </row>
        <row r="248">
          <cell r="C248">
            <v>610000004079</v>
          </cell>
          <cell r="D248" t="str">
            <v>P16-MI-ME</v>
          </cell>
          <cell r="F248" t="str">
            <v>Kromasort Waste Conveyor</v>
          </cell>
          <cell r="G248" t="str">
            <v>ตรวจเช็คสภาพสายพานและเช็คการตึงหย่อนพร้อมปรับตั้ง</v>
          </cell>
          <cell r="H248">
            <v>30</v>
          </cell>
        </row>
        <row r="249">
          <cell r="C249">
            <v>610000004079</v>
          </cell>
          <cell r="D249" t="str">
            <v>P16-MI-ME</v>
          </cell>
          <cell r="F249" t="str">
            <v>Kromasort Recycle Conveyor</v>
          </cell>
          <cell r="G249" t="str">
            <v>ตรวจเช็คการรั่วของน้ำมันเกียร์ของ Kromasort  Recycle Conveyor</v>
          </cell>
          <cell r="H249">
            <v>30</v>
          </cell>
        </row>
        <row r="250">
          <cell r="C250">
            <v>610000004079</v>
          </cell>
          <cell r="D250" t="str">
            <v>P16-MI-ME</v>
          </cell>
          <cell r="F250" t="str">
            <v>Kromasort Recycle Conveyor</v>
          </cell>
          <cell r="G250" t="str">
            <v>ตรวจเช็คสภาพสายพานและเช็คการตึงหย่อนพร้อมปรับตั้ง</v>
          </cell>
          <cell r="H250">
            <v>30</v>
          </cell>
        </row>
        <row r="251">
          <cell r="C251">
            <v>610000004079</v>
          </cell>
          <cell r="D251" t="str">
            <v>P16-MI-ME</v>
          </cell>
          <cell r="F251" t="str">
            <v>Kromasort X-Feed Conveyor</v>
          </cell>
          <cell r="G251" t="str">
            <v>ตรวจเช็คการรั่วของน้ำมันเกียร์ของ Kromasort  X-Feed Conveyor</v>
          </cell>
          <cell r="H251">
            <v>30</v>
          </cell>
        </row>
        <row r="252">
          <cell r="C252">
            <v>610000004079</v>
          </cell>
          <cell r="D252" t="str">
            <v>P16-MI-ME</v>
          </cell>
          <cell r="F252" t="str">
            <v>Kromasort X-Feed Conveyor</v>
          </cell>
          <cell r="G252" t="str">
            <v>ตรวจเช็คสภาพสายพานและเช็คการตึงหย่อนพร้อมปรับตั้ง</v>
          </cell>
          <cell r="H252">
            <v>30</v>
          </cell>
        </row>
        <row r="253">
          <cell r="C253">
            <v>610000004080</v>
          </cell>
          <cell r="D253" t="str">
            <v>P16-MV-ME</v>
          </cell>
          <cell r="F253" t="str">
            <v>Kromasort Main Conveyor</v>
          </cell>
          <cell r="G253" t="str">
            <v>ตรวจวัดค่า Vibration Kromasort Main Conveyor</v>
          </cell>
          <cell r="H253">
            <v>30</v>
          </cell>
          <cell r="I253">
            <v>5</v>
          </cell>
          <cell r="J253">
            <v>1</v>
          </cell>
        </row>
        <row r="254">
          <cell r="C254">
            <v>610000004081</v>
          </cell>
          <cell r="D254" t="str">
            <v>P16-MR-ME</v>
          </cell>
          <cell r="E254">
            <v>100515</v>
          </cell>
          <cell r="F254" t="str">
            <v>Kromasort Chiller</v>
          </cell>
          <cell r="G254" t="str">
            <v>เปลี่ยน Water filter  เครื่องทำน้ำเย็นใหม่</v>
          </cell>
          <cell r="H254">
            <v>30</v>
          </cell>
          <cell r="I254">
            <v>30</v>
          </cell>
          <cell r="J254">
            <v>1</v>
          </cell>
        </row>
        <row r="255">
          <cell r="C255">
            <v>342595</v>
          </cell>
          <cell r="D255" t="str">
            <v>P16-QR-ME2</v>
          </cell>
          <cell r="F255" t="str">
            <v>Kromasort Main Conveyor</v>
          </cell>
          <cell r="G255" t="str">
            <v>เปลี่ยนสายพาน Kromasort Main Conveyor</v>
          </cell>
          <cell r="H255">
            <v>90</v>
          </cell>
          <cell r="I255">
            <v>120</v>
          </cell>
          <cell r="J255">
            <v>4</v>
          </cell>
        </row>
        <row r="256">
          <cell r="C256">
            <v>610000004082</v>
          </cell>
          <cell r="D256" t="str">
            <v>P16-HL-ME</v>
          </cell>
          <cell r="F256" t="str">
            <v>Moisture Monitoring Conveyor</v>
          </cell>
          <cell r="G256" t="str">
            <v>เปลี่ยนน้ำมันเกียร์ Moisture Conveyor</v>
          </cell>
          <cell r="H256">
            <v>180</v>
          </cell>
          <cell r="I256">
            <v>120</v>
          </cell>
          <cell r="J256">
            <v>3</v>
          </cell>
        </row>
        <row r="257">
          <cell r="C257">
            <v>610000004082</v>
          </cell>
          <cell r="D257" t="str">
            <v>P16-HL-ME</v>
          </cell>
          <cell r="F257" t="str">
            <v>Kromasort Main Conveyor</v>
          </cell>
          <cell r="G257" t="str">
            <v>เปลี่ยนน้ำมันเกียร์ Main Conveyor Belt Kromasort</v>
          </cell>
          <cell r="H257">
            <v>180</v>
          </cell>
        </row>
        <row r="258">
          <cell r="C258">
            <v>610000004082</v>
          </cell>
          <cell r="D258" t="str">
            <v>P16-HL-ME</v>
          </cell>
          <cell r="F258" t="str">
            <v>Kromasort Infeed Vibrating Conveyor</v>
          </cell>
          <cell r="G258" t="str">
            <v>เปลี่ยนน้ำมันเกียร์ขับ สายพาน Kromasort Infeed Vibrating Conveyor</v>
          </cell>
          <cell r="H258">
            <v>180</v>
          </cell>
        </row>
        <row r="259">
          <cell r="C259">
            <v>610000004082</v>
          </cell>
          <cell r="D259" t="str">
            <v>P16-HL-ME</v>
          </cell>
          <cell r="F259" t="str">
            <v>Kromasort Outfeed Vibrating Conveyor</v>
          </cell>
          <cell r="G259" t="str">
            <v>เปลี่ยนน้ำมันเกียร์ขับ สายพาน Kromasort Outfeed Incline Conveyor</v>
          </cell>
          <cell r="H259">
            <v>180</v>
          </cell>
          <cell r="I259">
            <v>120</v>
          </cell>
          <cell r="J259">
            <v>3</v>
          </cell>
        </row>
        <row r="260">
          <cell r="C260">
            <v>610000004082</v>
          </cell>
          <cell r="D260" t="str">
            <v>P16-HL-ME</v>
          </cell>
          <cell r="F260" t="str">
            <v>Kromasort Waste Conveyor</v>
          </cell>
          <cell r="G260" t="str">
            <v>เปลี่ยนน้ำมันเกียร์ของ Kromasort Waste Conveyor</v>
          </cell>
          <cell r="H260">
            <v>180</v>
          </cell>
        </row>
        <row r="261">
          <cell r="C261">
            <v>610000004082</v>
          </cell>
          <cell r="D261" t="str">
            <v>P16-HL-ME</v>
          </cell>
          <cell r="F261" t="str">
            <v>Kromasort Recycle Conveyor</v>
          </cell>
          <cell r="G261" t="str">
            <v>เปลี่ยนน้ำมันเกียร์ของ Kromasort  Recycle Conveyor</v>
          </cell>
          <cell r="H261">
            <v>180</v>
          </cell>
        </row>
        <row r="262">
          <cell r="C262">
            <v>610000004082</v>
          </cell>
          <cell r="D262" t="str">
            <v>P16-HL-ME</v>
          </cell>
          <cell r="F262" t="str">
            <v>Kromasort X-Feed Conveyor</v>
          </cell>
          <cell r="G262" t="str">
            <v>เปลี่ยนน้ำมันเกียร์ของ Kromasort  Kromasort X-Feed Conveyor</v>
          </cell>
          <cell r="H262">
            <v>180</v>
          </cell>
        </row>
        <row r="263">
          <cell r="C263">
            <v>610000004083</v>
          </cell>
          <cell r="D263" t="str">
            <v>P16-HR-ME</v>
          </cell>
          <cell r="F263" t="str">
            <v>Kromasort Main Conveyor</v>
          </cell>
          <cell r="G263" t="str">
            <v>เปลี่ยน Bearing  Kromasort Main Conveyor Infeed</v>
          </cell>
          <cell r="H263">
            <v>180</v>
          </cell>
          <cell r="I263">
            <v>480</v>
          </cell>
          <cell r="J263">
            <v>6</v>
          </cell>
        </row>
        <row r="264">
          <cell r="C264">
            <v>610000004083</v>
          </cell>
          <cell r="D264" t="str">
            <v>P16-HR-ME</v>
          </cell>
          <cell r="F264" t="str">
            <v>Kromasort Main Conveyor</v>
          </cell>
          <cell r="G264" t="str">
            <v>เปลี่ยน Bearing  Kromasort Main Conveyor Outfeed</v>
          </cell>
          <cell r="H264">
            <v>180</v>
          </cell>
          <cell r="I264">
            <v>480</v>
          </cell>
          <cell r="J264">
            <v>6</v>
          </cell>
        </row>
        <row r="265">
          <cell r="C265">
            <v>610000004084</v>
          </cell>
          <cell r="D265" t="str">
            <v>P16-HR-ME2</v>
          </cell>
          <cell r="E265">
            <v>100518</v>
          </cell>
          <cell r="F265" t="str">
            <v>Kromasort Infeed Vibrating Conveyor</v>
          </cell>
          <cell r="G265" t="str">
            <v>เปลี่ยนV- belt สายพาน Kromasort Infeed Vibrating Conveyor</v>
          </cell>
          <cell r="H265">
            <v>180</v>
          </cell>
          <cell r="I265">
            <v>30</v>
          </cell>
          <cell r="J265">
            <v>1</v>
          </cell>
        </row>
        <row r="266">
          <cell r="C266">
            <v>342257</v>
          </cell>
          <cell r="D266" t="str">
            <v>P17-WC-ME</v>
          </cell>
          <cell r="E266">
            <v>453</v>
          </cell>
          <cell r="F266" t="str">
            <v>Chiller for air conditioner</v>
          </cell>
          <cell r="G266" t="str">
            <v>ทำความสะอาด Inlet air filterให้สะอาด</v>
          </cell>
          <cell r="H266">
            <v>7</v>
          </cell>
          <cell r="I266">
            <v>30</v>
          </cell>
          <cell r="J266">
            <v>1</v>
          </cell>
        </row>
        <row r="267">
          <cell r="C267">
            <v>610000004085</v>
          </cell>
          <cell r="D267" t="str">
            <v>P17-FL-ME</v>
          </cell>
          <cell r="F267" t="str">
            <v>Weigh Belt Loop #2-3</v>
          </cell>
          <cell r="G267" t="str">
            <v>อัดจาระบี Bearing Weight belt Loop #2-Loop #3</v>
          </cell>
          <cell r="H267">
            <v>15</v>
          </cell>
          <cell r="I267">
            <v>30</v>
          </cell>
          <cell r="J267">
            <v>1</v>
          </cell>
        </row>
        <row r="268">
          <cell r="C268">
            <v>610000004085</v>
          </cell>
          <cell r="D268" t="str">
            <v>P17-FL-ME</v>
          </cell>
          <cell r="F268" t="str">
            <v>Tumbler Drum Loop #1</v>
          </cell>
          <cell r="G268" t="str">
            <v>อัดจาระบี Bearing Tumbler Drum #1 ทั้ง 4 จุด</v>
          </cell>
          <cell r="H268">
            <v>15</v>
          </cell>
        </row>
        <row r="269">
          <cell r="C269">
            <v>610000004085</v>
          </cell>
          <cell r="D269" t="str">
            <v>P17-FL-ME</v>
          </cell>
          <cell r="F269" t="str">
            <v>Tumbler Drum Loop #2</v>
          </cell>
          <cell r="G269" t="str">
            <v>อัดจาระบี Bearing Tumbler Drum #2 ทั้ง 4 จุด</v>
          </cell>
          <cell r="H269">
            <v>15</v>
          </cell>
          <cell r="I269">
            <v>30</v>
          </cell>
          <cell r="J269">
            <v>1</v>
          </cell>
        </row>
        <row r="270">
          <cell r="C270">
            <v>610000004085</v>
          </cell>
          <cell r="D270" t="str">
            <v>P17-FL-ME</v>
          </cell>
          <cell r="F270" t="str">
            <v>Tumbler Drum Loop #3</v>
          </cell>
          <cell r="G270" t="str">
            <v>อัดจาระบี Bearing Tumbler Drum #3 ทั้ง 4 จุด</v>
          </cell>
          <cell r="H270">
            <v>15</v>
          </cell>
        </row>
        <row r="271">
          <cell r="C271">
            <v>610000004085</v>
          </cell>
          <cell r="D271" t="str">
            <v>P17-FL-ME</v>
          </cell>
          <cell r="F271" t="str">
            <v>Tumbler Drum Loop #4</v>
          </cell>
          <cell r="G271" t="str">
            <v>อัดจาระบี Bearing Tumbler Drum #4 ทั้ง 4 จุด</v>
          </cell>
          <cell r="H271">
            <v>15</v>
          </cell>
        </row>
        <row r="272">
          <cell r="C272">
            <v>610000004085</v>
          </cell>
          <cell r="D272" t="str">
            <v>P17-FL-ME</v>
          </cell>
          <cell r="F272" t="str">
            <v>SSN SpiroFlow Loop #1</v>
          </cell>
          <cell r="G272" t="str">
            <v>อัดจาระบี Bearing เพลา Agitator Spiroflow Loop #1 ทั้ง 2 จุด</v>
          </cell>
          <cell r="H272">
            <v>15</v>
          </cell>
        </row>
        <row r="273">
          <cell r="C273">
            <v>610000004085</v>
          </cell>
          <cell r="D273" t="str">
            <v>P17-FL-ME</v>
          </cell>
          <cell r="F273" t="str">
            <v>SSN SpiroFlow Loop #2</v>
          </cell>
          <cell r="G273" t="str">
            <v>อัดจาระบี Bearing เพลา Agitator Spiroflow Loop #2 ทั้ง 2 จุด</v>
          </cell>
          <cell r="H273">
            <v>15</v>
          </cell>
        </row>
        <row r="274">
          <cell r="C274">
            <v>610000004085</v>
          </cell>
          <cell r="D274" t="str">
            <v>P17-FL-ME</v>
          </cell>
          <cell r="F274" t="str">
            <v>SSN SpiroFlow Loop #3</v>
          </cell>
          <cell r="G274" t="str">
            <v>อัดจาระบี Bearing เพลา Agitator Spiroflow Loop #3 ทั้ง 2 จุด</v>
          </cell>
          <cell r="H274">
            <v>15</v>
          </cell>
        </row>
        <row r="275">
          <cell r="C275">
            <v>610000004085</v>
          </cell>
          <cell r="D275" t="str">
            <v>P17-FL-ME</v>
          </cell>
          <cell r="F275" t="str">
            <v>SSN SpiroFlow Loop #4</v>
          </cell>
          <cell r="G275" t="str">
            <v>อัดจาระบี Bearing เพลา Agitator Spiroflow Loop #4 ทั้ง 2 จุด</v>
          </cell>
          <cell r="H275">
            <v>15</v>
          </cell>
        </row>
        <row r="276">
          <cell r="C276">
            <v>610000004085</v>
          </cell>
          <cell r="D276" t="str">
            <v>P17-FL-ME</v>
          </cell>
          <cell r="F276" t="str">
            <v>Tumbler Drum Loop #1-4</v>
          </cell>
          <cell r="G276" t="str">
            <v>ฉีดสเปรย์หล่อลื่นโซ่ขับ Tumbler Drum Loop #1-#4</v>
          </cell>
          <cell r="H276">
            <v>15</v>
          </cell>
        </row>
        <row r="277">
          <cell r="C277">
            <v>610000004085</v>
          </cell>
          <cell r="D277" t="str">
            <v>P17-FL-ME</v>
          </cell>
          <cell r="F277" t="str">
            <v>SSN Dust Collector</v>
          </cell>
          <cell r="G277" t="str">
            <v>อัดจาระบี Bearing เพลาขับ Dust Collector 2 จุด</v>
          </cell>
          <cell r="H277">
            <v>15</v>
          </cell>
        </row>
        <row r="278">
          <cell r="C278">
            <v>610000004086</v>
          </cell>
          <cell r="D278" t="str">
            <v>P17-FI-ME</v>
          </cell>
          <cell r="F278" t="str">
            <v>SSN Dust Collector</v>
          </cell>
          <cell r="G278" t="str">
            <v>ตรวจเช็คสภาพสายพานขับ Dust Collector</v>
          </cell>
          <cell r="H278">
            <v>15</v>
          </cell>
          <cell r="I278">
            <v>15</v>
          </cell>
          <cell r="J278">
            <v>1</v>
          </cell>
        </row>
        <row r="279">
          <cell r="C279">
            <v>342258</v>
          </cell>
          <cell r="D279" t="str">
            <v>P17-FI-ME2</v>
          </cell>
          <cell r="F279" t="str">
            <v>Chiller for air conditioner</v>
          </cell>
          <cell r="G279" t="str">
            <v>ตรวจเช็คความดันน้ำยาด้าน LO/HI พร้อมจดบันทึกค่า</v>
          </cell>
          <cell r="H279">
            <v>15</v>
          </cell>
          <cell r="I279">
            <v>15</v>
          </cell>
          <cell r="J279">
            <v>1</v>
          </cell>
        </row>
        <row r="280">
          <cell r="C280">
            <v>342258</v>
          </cell>
          <cell r="D280" t="str">
            <v>P17-FI-ME2</v>
          </cell>
          <cell r="F280" t="str">
            <v>Chiller for air conditioner</v>
          </cell>
          <cell r="G280" t="str">
            <v>ตรวจเช็คแรงดันน้ำที่จ่ายเข้าระบบ</v>
          </cell>
          <cell r="H280">
            <v>15</v>
          </cell>
          <cell r="I280">
            <v>15</v>
          </cell>
          <cell r="J280">
            <v>1</v>
          </cell>
        </row>
        <row r="281">
          <cell r="C281">
            <v>342258</v>
          </cell>
          <cell r="D281" t="str">
            <v>P17-FI-ME2</v>
          </cell>
          <cell r="F281" t="str">
            <v>Chiller for air conditioner</v>
          </cell>
          <cell r="G281" t="str">
            <v>ตรวจเช็คอุณหภูมน้ำเย็นที่จ่ายเข้าระบบที่ Thermometer</v>
          </cell>
          <cell r="H281">
            <v>15</v>
          </cell>
        </row>
        <row r="282">
          <cell r="C282">
            <v>610000004087</v>
          </cell>
          <cell r="D282" t="str">
            <v>P17-MI-ME</v>
          </cell>
          <cell r="F282" t="str">
            <v>Weight Belt Loop #2</v>
          </cell>
          <cell r="G282" t="str">
            <v>ตรวจเช็คความสึกหรอของสายพาน Timing ขับ Weightbelt Loop #2</v>
          </cell>
          <cell r="H282">
            <v>30</v>
          </cell>
          <cell r="I282">
            <v>30</v>
          </cell>
          <cell r="J282">
            <v>1</v>
          </cell>
        </row>
        <row r="283">
          <cell r="C283">
            <v>610000004087</v>
          </cell>
          <cell r="D283" t="str">
            <v>P17-MI-ME</v>
          </cell>
          <cell r="F283" t="str">
            <v>Weight Belt Loop #3</v>
          </cell>
          <cell r="G283" t="str">
            <v>ตรวจเช็คความสึกหรอของสายพาน Timing ขับ Weightbelt Loop #3</v>
          </cell>
          <cell r="H283">
            <v>30</v>
          </cell>
        </row>
        <row r="284">
          <cell r="C284">
            <v>610000004087</v>
          </cell>
          <cell r="D284" t="str">
            <v>P17-MI-ME</v>
          </cell>
          <cell r="F284" t="str">
            <v>Tumbler Drum Loop #1</v>
          </cell>
          <cell r="G284" t="str">
            <v>ตรวจเช็คความสึกหรอของโซ่และเฟืองขับ Tumbler Drum Loop #1</v>
          </cell>
          <cell r="H284">
            <v>30</v>
          </cell>
          <cell r="I284">
            <v>30</v>
          </cell>
          <cell r="J284">
            <v>1</v>
          </cell>
        </row>
        <row r="285">
          <cell r="C285">
            <v>610000004087</v>
          </cell>
          <cell r="D285" t="str">
            <v>P17-MI-ME</v>
          </cell>
          <cell r="F285" t="str">
            <v>Tumbler Drum Loop #2</v>
          </cell>
          <cell r="G285" t="str">
            <v>ตรวจเช็คความสึกหรอของโซ่และเฟืองขับ Tumbler Drum Loop #2</v>
          </cell>
          <cell r="H285">
            <v>30</v>
          </cell>
        </row>
        <row r="286">
          <cell r="C286">
            <v>610000004087</v>
          </cell>
          <cell r="D286" t="str">
            <v>P17-MI-ME</v>
          </cell>
          <cell r="F286" t="str">
            <v>Tumbler Drum Loop #3</v>
          </cell>
          <cell r="G286" t="str">
            <v>ตรวจเช็คความสึกหรอของโซ่และเฟืองขับ Tumbler Drum Loop #3</v>
          </cell>
          <cell r="H286">
            <v>30</v>
          </cell>
        </row>
        <row r="287">
          <cell r="C287">
            <v>610000004087</v>
          </cell>
          <cell r="D287" t="str">
            <v>P17-MI-ME</v>
          </cell>
          <cell r="F287" t="str">
            <v>Tumbler Drum Loop #4</v>
          </cell>
          <cell r="G287" t="str">
            <v>ตรวจเช็คความสึกหรอของโซ่และเฟืองขับ Tumbler Drum Loop #4</v>
          </cell>
          <cell r="H287">
            <v>30</v>
          </cell>
        </row>
        <row r="288">
          <cell r="C288">
            <v>610000004087</v>
          </cell>
          <cell r="D288" t="str">
            <v>P17-MI-ME</v>
          </cell>
          <cell r="F288" t="str">
            <v>Weight Belt Loop #2</v>
          </cell>
          <cell r="G288" t="str">
            <v>ตรวจเช็คระดับน้ำมันเกียร์ขับ Weightbelt Loop #2</v>
          </cell>
          <cell r="H288">
            <v>30</v>
          </cell>
        </row>
        <row r="289">
          <cell r="C289">
            <v>610000004087</v>
          </cell>
          <cell r="D289" t="str">
            <v>P17-MI-ME</v>
          </cell>
          <cell r="F289" t="str">
            <v>Weight Belt Loop #3</v>
          </cell>
          <cell r="G289" t="str">
            <v>ตรวจเช็คระดับน้ำมันเกียร์ขับ Weightbelt Loop #3</v>
          </cell>
          <cell r="H289">
            <v>30</v>
          </cell>
        </row>
        <row r="290">
          <cell r="C290">
            <v>610000004087</v>
          </cell>
          <cell r="D290" t="str">
            <v>P17-MI-ME</v>
          </cell>
          <cell r="F290" t="str">
            <v>SSN Applicator Loop #1-4</v>
          </cell>
          <cell r="G290" t="str">
            <v>ตรวจเช็คการรั่วที่เพลา Screw SSN Loop #1-4</v>
          </cell>
          <cell r="H290">
            <v>30</v>
          </cell>
        </row>
        <row r="291">
          <cell r="C291">
            <v>610000004088</v>
          </cell>
          <cell r="D291" t="str">
            <v>P17-MR-ME</v>
          </cell>
          <cell r="F291" t="str">
            <v>SSN Applicator Loop #1</v>
          </cell>
          <cell r="G291" t="str">
            <v>เปลี่ยนปะเก็นเชือก SSN Auger Loop #1</v>
          </cell>
          <cell r="H291">
            <v>30</v>
          </cell>
          <cell r="I291">
            <v>120</v>
          </cell>
          <cell r="J291">
            <v>2</v>
          </cell>
        </row>
        <row r="292">
          <cell r="C292">
            <v>610000004088</v>
          </cell>
          <cell r="D292" t="str">
            <v>P17-MR-ME</v>
          </cell>
          <cell r="F292" t="str">
            <v>SSN Applicator Loop #1</v>
          </cell>
          <cell r="G292" t="str">
            <v>เปลี่ยนปะเก็นเชือก SSN Agitator Loop #1</v>
          </cell>
          <cell r="H292">
            <v>30</v>
          </cell>
        </row>
        <row r="293">
          <cell r="C293">
            <v>610000004088</v>
          </cell>
          <cell r="D293" t="str">
            <v>P17-MR-ME</v>
          </cell>
          <cell r="F293" t="str">
            <v>SSN Applicator Loop #2</v>
          </cell>
          <cell r="G293" t="str">
            <v>เปลี่ยนปะเก็นเชือก SSN Auger Loop #2</v>
          </cell>
          <cell r="H293">
            <v>30</v>
          </cell>
          <cell r="I293">
            <v>120</v>
          </cell>
          <cell r="J293">
            <v>2</v>
          </cell>
        </row>
        <row r="294">
          <cell r="C294">
            <v>610000004088</v>
          </cell>
          <cell r="D294" t="str">
            <v>P17-MR-ME</v>
          </cell>
          <cell r="F294" t="str">
            <v>SSN Applicator Loop #2</v>
          </cell>
          <cell r="G294" t="str">
            <v>เปลี่ยนปะเก็นเชือก SSN Agitator Loop #2</v>
          </cell>
          <cell r="H294">
            <v>30</v>
          </cell>
        </row>
        <row r="295">
          <cell r="C295">
            <v>610000004088</v>
          </cell>
          <cell r="D295" t="str">
            <v>P17-MR-ME</v>
          </cell>
          <cell r="F295" t="str">
            <v>SSN Applicator Loop #3</v>
          </cell>
          <cell r="G295" t="str">
            <v>เปลี่ยนปะเก็นเชือก SSN Auger Loop #3</v>
          </cell>
          <cell r="H295">
            <v>30</v>
          </cell>
        </row>
        <row r="296">
          <cell r="C296">
            <v>610000004088</v>
          </cell>
          <cell r="D296" t="str">
            <v>P17-MR-ME</v>
          </cell>
          <cell r="F296" t="str">
            <v>SSN Applicator Loop #3</v>
          </cell>
          <cell r="G296" t="str">
            <v>เปลี่ยนปะเก็นเชือก SSN Agitator Loop #3</v>
          </cell>
          <cell r="H296">
            <v>30</v>
          </cell>
        </row>
        <row r="297">
          <cell r="C297">
            <v>610000004088</v>
          </cell>
          <cell r="D297" t="str">
            <v>P17-MR-ME</v>
          </cell>
          <cell r="F297" t="str">
            <v>SSN Applicator Loop #4</v>
          </cell>
          <cell r="G297" t="str">
            <v>เปลี่ยนปะเก็นเชือก SSN Auger Loop #4</v>
          </cell>
          <cell r="H297">
            <v>30</v>
          </cell>
        </row>
        <row r="298">
          <cell r="C298">
            <v>610000004088</v>
          </cell>
          <cell r="D298" t="str">
            <v>P17-MR-ME</v>
          </cell>
          <cell r="F298" t="str">
            <v>SSN Applicator Loop #4</v>
          </cell>
          <cell r="G298" t="str">
            <v>เปลี่ยนปะเก็นเชือก SSN Agitator Loop #4</v>
          </cell>
          <cell r="H298">
            <v>30</v>
          </cell>
        </row>
        <row r="299">
          <cell r="C299">
            <v>351883</v>
          </cell>
          <cell r="D299" t="str">
            <v>P17-QR-ME</v>
          </cell>
          <cell r="E299">
            <v>1424</v>
          </cell>
          <cell r="F299" t="str">
            <v>Scarf Feeder Loop #1</v>
          </cell>
          <cell r="G299" t="str">
            <v>เปลี่ยน bearing ล้อประคอง scarf feeder Loop#1</v>
          </cell>
          <cell r="H299">
            <v>90</v>
          </cell>
          <cell r="I299">
            <v>120</v>
          </cell>
          <cell r="J299">
            <v>4</v>
          </cell>
        </row>
        <row r="300">
          <cell r="C300">
            <v>351884</v>
          </cell>
          <cell r="D300" t="str">
            <v>P17-QR-ME2</v>
          </cell>
          <cell r="E300">
            <v>1425</v>
          </cell>
          <cell r="F300" t="str">
            <v>Scarf Feeder Loop #2</v>
          </cell>
          <cell r="G300" t="str">
            <v>เปลี่ยน bearing ล้อประคอง scarf feeder Loop#2</v>
          </cell>
          <cell r="H300">
            <v>90</v>
          </cell>
          <cell r="I300">
            <v>120</v>
          </cell>
          <cell r="J300">
            <v>4</v>
          </cell>
        </row>
        <row r="301">
          <cell r="C301">
            <v>351885</v>
          </cell>
          <cell r="D301" t="str">
            <v>P17-QR-ME3</v>
          </cell>
          <cell r="E301">
            <v>1426</v>
          </cell>
          <cell r="F301" t="str">
            <v>Scarf Feeder Loop #3</v>
          </cell>
          <cell r="G301" t="str">
            <v>เปลี่ยน bearing ล้อประคอง scarf feeder Loop#3</v>
          </cell>
          <cell r="H301">
            <v>90</v>
          </cell>
          <cell r="I301">
            <v>120</v>
          </cell>
          <cell r="J301">
            <v>4</v>
          </cell>
        </row>
        <row r="302">
          <cell r="C302">
            <v>351886</v>
          </cell>
          <cell r="D302" t="str">
            <v>P17-QR-ME4</v>
          </cell>
          <cell r="E302">
            <v>1427</v>
          </cell>
          <cell r="F302" t="str">
            <v>Scarf Feeder Loop #4</v>
          </cell>
          <cell r="G302" t="str">
            <v>เปลี่ยน bearing ล้อประคอง scarf feeder Loop#4</v>
          </cell>
          <cell r="H302">
            <v>90</v>
          </cell>
          <cell r="I302">
            <v>120</v>
          </cell>
          <cell r="J302">
            <v>4</v>
          </cell>
        </row>
        <row r="303">
          <cell r="C303">
            <v>610000004089</v>
          </cell>
          <cell r="D303" t="str">
            <v>P17-HR-ME</v>
          </cell>
          <cell r="F303" t="str">
            <v>SSN Dust Collector</v>
          </cell>
          <cell r="G303" t="str">
            <v>เปลี่ยนสายพานขับ Dust collector</v>
          </cell>
          <cell r="H303">
            <v>180</v>
          </cell>
          <cell r="I303">
            <v>60</v>
          </cell>
          <cell r="J303">
            <v>1</v>
          </cell>
        </row>
        <row r="304">
          <cell r="C304">
            <v>610000004090</v>
          </cell>
          <cell r="D304" t="str">
            <v>P17-HL-ME</v>
          </cell>
          <cell r="E304">
            <v>100524</v>
          </cell>
          <cell r="F304" t="str">
            <v>Weight Belt Loop #2</v>
          </cell>
          <cell r="G304" t="str">
            <v>เปลี่ยนน้ำมันเกียร์ Weight belt Loop #2</v>
          </cell>
          <cell r="H304">
            <v>180</v>
          </cell>
          <cell r="I304">
            <v>180</v>
          </cell>
          <cell r="J304">
            <v>3</v>
          </cell>
        </row>
        <row r="305">
          <cell r="C305">
            <v>610000004090</v>
          </cell>
          <cell r="D305" t="str">
            <v>P17-HL-ME</v>
          </cell>
          <cell r="E305">
            <v>100524</v>
          </cell>
          <cell r="F305" t="str">
            <v>Weight Belt Loop #3</v>
          </cell>
          <cell r="G305" t="str">
            <v>เปลี่ยนน้ำมันขับเกียร์ Weightbelt Loop #3</v>
          </cell>
          <cell r="H305">
            <v>180</v>
          </cell>
          <cell r="I305">
            <v>180</v>
          </cell>
          <cell r="J305">
            <v>3</v>
          </cell>
        </row>
        <row r="306">
          <cell r="C306">
            <v>610000004090</v>
          </cell>
          <cell r="D306" t="str">
            <v>P17-HL-ME</v>
          </cell>
          <cell r="E306">
            <v>100524</v>
          </cell>
          <cell r="F306" t="str">
            <v>Tumbler Drum Loop #1</v>
          </cell>
          <cell r="G306" t="str">
            <v>เปลี่ยนน้ำมันขับเกียร์  Tumbler Drum Loop #1</v>
          </cell>
          <cell r="H306">
            <v>180</v>
          </cell>
        </row>
        <row r="307">
          <cell r="C307">
            <v>610000004090</v>
          </cell>
          <cell r="D307" t="str">
            <v>P17-HL-ME</v>
          </cell>
          <cell r="E307">
            <v>100524</v>
          </cell>
          <cell r="F307" t="str">
            <v>Tumbler Drum Loop #2</v>
          </cell>
          <cell r="G307" t="str">
            <v>เปลี่ยนน้ำมันขับเกียร์  Tumbler Drum Loop #2</v>
          </cell>
          <cell r="H307">
            <v>180</v>
          </cell>
        </row>
        <row r="308">
          <cell r="C308">
            <v>610000004090</v>
          </cell>
          <cell r="D308" t="str">
            <v>P17-HL-ME</v>
          </cell>
          <cell r="E308">
            <v>100524</v>
          </cell>
          <cell r="F308" t="str">
            <v>Tumbler Drum Loop #3</v>
          </cell>
          <cell r="G308" t="str">
            <v>เปลี่ยนน้ำมันขับเกียร์ Tumbler Drum Loop #3</v>
          </cell>
          <cell r="H308">
            <v>180</v>
          </cell>
        </row>
        <row r="309">
          <cell r="C309">
            <v>342596</v>
          </cell>
          <cell r="D309" t="str">
            <v>P17-HR-ME2</v>
          </cell>
          <cell r="F309" t="str">
            <v>SSN Dust Collector</v>
          </cell>
          <cell r="G309" t="str">
            <v>เปลี่ยน Bearing เพลาขับ Dust collector</v>
          </cell>
          <cell r="H309">
            <v>180</v>
          </cell>
          <cell r="I309">
            <v>240</v>
          </cell>
          <cell r="J309">
            <v>4</v>
          </cell>
        </row>
        <row r="310">
          <cell r="C310">
            <v>342587</v>
          </cell>
          <cell r="D310" t="str">
            <v>P17-HA-ME</v>
          </cell>
          <cell r="F310" t="str">
            <v>Scarf Feeder Loop #1</v>
          </cell>
          <cell r="G310" t="str">
            <v>ปรับตั้ง Alignment ของ Scarf feeder plate ทั้งแนว X และ Y</v>
          </cell>
          <cell r="H310">
            <v>180</v>
          </cell>
          <cell r="I310">
            <v>60</v>
          </cell>
          <cell r="J310">
            <v>1</v>
          </cell>
        </row>
        <row r="311">
          <cell r="C311">
            <v>342587</v>
          </cell>
          <cell r="D311" t="str">
            <v>P17-HA-ME</v>
          </cell>
          <cell r="F311" t="str">
            <v>Scarf Feeder Loop #2</v>
          </cell>
          <cell r="G311" t="str">
            <v>ปรับตั้ง Alignment ของ Scarf feeder plate ทั้งแนว X และ Y</v>
          </cell>
          <cell r="H311">
            <v>180</v>
          </cell>
          <cell r="I311">
            <v>60</v>
          </cell>
          <cell r="J311">
            <v>1</v>
          </cell>
        </row>
        <row r="312">
          <cell r="C312">
            <v>342587</v>
          </cell>
          <cell r="D312" t="str">
            <v>P17-HA-ME</v>
          </cell>
          <cell r="F312" t="str">
            <v>Scarf Feeder Loop #3</v>
          </cell>
          <cell r="G312" t="str">
            <v>ปรับตั้ง Alignment ของ Scarf feeder plate ทั้งแนว X และ Y</v>
          </cell>
          <cell r="H312">
            <v>180</v>
          </cell>
        </row>
        <row r="313">
          <cell r="C313">
            <v>342587</v>
          </cell>
          <cell r="D313" t="str">
            <v>P17-HA-ME</v>
          </cell>
          <cell r="F313" t="str">
            <v>Scarf Feeder Loop #4</v>
          </cell>
          <cell r="G313" t="str">
            <v>ปรับตั้ง Alignment ของ Scarf feeder plate ทั้งแนว X และ Y</v>
          </cell>
          <cell r="H313">
            <v>180</v>
          </cell>
        </row>
        <row r="314">
          <cell r="C314">
            <v>610000004091</v>
          </cell>
          <cell r="D314" t="str">
            <v>P18-FL-ME</v>
          </cell>
          <cell r="E314">
            <v>100525</v>
          </cell>
          <cell r="F314" t="str">
            <v>Elevating Conveyor #1</v>
          </cell>
          <cell r="G314" t="str">
            <v>อัดจาระบี Bearing สายพาน Elevating Conveyor Loop #1 ทั้ง 4 จุด</v>
          </cell>
          <cell r="H314">
            <v>15</v>
          </cell>
          <cell r="I314">
            <v>30</v>
          </cell>
          <cell r="J314">
            <v>1</v>
          </cell>
        </row>
        <row r="315">
          <cell r="C315">
            <v>610000004091</v>
          </cell>
          <cell r="D315" t="str">
            <v>P18-FL-ME</v>
          </cell>
          <cell r="E315">
            <v>100525</v>
          </cell>
          <cell r="F315" t="str">
            <v>Elevating Conveyor #2</v>
          </cell>
          <cell r="G315" t="str">
            <v>อัดจาระบี Bearing สายพาน Elevating Conveyor Loop #2 ทั้ง 4 จุด</v>
          </cell>
          <cell r="H315">
            <v>15</v>
          </cell>
        </row>
        <row r="316">
          <cell r="C316">
            <v>610000004091</v>
          </cell>
          <cell r="D316" t="str">
            <v>P18-FL-ME</v>
          </cell>
          <cell r="E316">
            <v>100525</v>
          </cell>
          <cell r="F316" t="str">
            <v>Elevating Conveyor #3</v>
          </cell>
          <cell r="G316" t="str">
            <v>อัดจาระบี Bearing สายพาน Elevating Conveyor Loop #3 ทั้ง 4 จุด</v>
          </cell>
          <cell r="H316">
            <v>15</v>
          </cell>
          <cell r="I316">
            <v>30</v>
          </cell>
          <cell r="J316">
            <v>1</v>
          </cell>
        </row>
        <row r="317">
          <cell r="C317">
            <v>610000004091</v>
          </cell>
          <cell r="D317" t="str">
            <v>P18-FL-ME</v>
          </cell>
          <cell r="E317">
            <v>100525</v>
          </cell>
          <cell r="F317" t="str">
            <v>Elevating Conveyor #4</v>
          </cell>
          <cell r="G317" t="str">
            <v>อัดจาระบี Bearing สายพาน Elevating Conveyor Loop #4 ทั้ง 8 จุด</v>
          </cell>
          <cell r="H317">
            <v>15</v>
          </cell>
        </row>
        <row r="318">
          <cell r="C318">
            <v>610000004091</v>
          </cell>
          <cell r="D318" t="str">
            <v>P18-FL-ME</v>
          </cell>
          <cell r="E318">
            <v>100525</v>
          </cell>
          <cell r="F318" t="str">
            <v>Elevating Conveyor #5</v>
          </cell>
          <cell r="G318" t="str">
            <v>อัดจาระบี Bearing สายพาน Elevating Conveyor Loop #5 ทั้ง 10 จุด</v>
          </cell>
          <cell r="H318">
            <v>15</v>
          </cell>
        </row>
        <row r="319">
          <cell r="C319">
            <v>610000004092</v>
          </cell>
          <cell r="D319" t="str">
            <v>P18-MI-ME</v>
          </cell>
          <cell r="E319">
            <v>100526</v>
          </cell>
          <cell r="F319" t="str">
            <v>Elevating Conveyor #1-4</v>
          </cell>
          <cell r="G319" t="str">
            <v>ตรวจเช็คความตึงหย่อนของสายพาน Elevating Conveyor Loop #1-5</v>
          </cell>
          <cell r="H319">
            <v>30</v>
          </cell>
          <cell r="I319">
            <v>15</v>
          </cell>
          <cell r="J319">
            <v>1</v>
          </cell>
        </row>
        <row r="320">
          <cell r="C320">
            <v>610000004092</v>
          </cell>
          <cell r="D320" t="str">
            <v>P18-MI-ME</v>
          </cell>
          <cell r="E320">
            <v>100526</v>
          </cell>
          <cell r="F320" t="str">
            <v>Vibrating Conveyor (Outfeed Drum Loop #1)</v>
          </cell>
          <cell r="G320" t="str">
            <v>ตรวจเช็คสภาพของ Spring Vibrating Conveyor (Outfeed Drum Loop #1)</v>
          </cell>
          <cell r="H320">
            <v>30</v>
          </cell>
        </row>
        <row r="321">
          <cell r="C321">
            <v>610000004093</v>
          </cell>
          <cell r="D321" t="str">
            <v>P18-HL-ME</v>
          </cell>
          <cell r="E321">
            <v>100527</v>
          </cell>
          <cell r="F321" t="str">
            <v>Elevating Conveyor #1</v>
          </cell>
          <cell r="G321" t="str">
            <v>เปลี่ยนน้ำมันเกียร์ขับสายพาน Elevating Conveyor Loop #1</v>
          </cell>
          <cell r="H321">
            <v>180</v>
          </cell>
          <cell r="I321">
            <v>120</v>
          </cell>
          <cell r="J321">
            <v>2</v>
          </cell>
        </row>
        <row r="322">
          <cell r="C322">
            <v>610000004093</v>
          </cell>
          <cell r="D322" t="str">
            <v>P18-HL-ME</v>
          </cell>
          <cell r="E322">
            <v>100527</v>
          </cell>
          <cell r="F322" t="str">
            <v>Elevating Conveyor #2</v>
          </cell>
          <cell r="G322" t="str">
            <v>เปลี่ยนน้ำมันเกียร์ขับสายพาน Elevating Conveyor Loop #2</v>
          </cell>
          <cell r="H322">
            <v>180</v>
          </cell>
        </row>
        <row r="323">
          <cell r="C323">
            <v>610000004093</v>
          </cell>
          <cell r="D323" t="str">
            <v>P18-HL-ME</v>
          </cell>
          <cell r="E323">
            <v>100527</v>
          </cell>
          <cell r="F323" t="str">
            <v>Elevating Conveyor #3</v>
          </cell>
          <cell r="G323" t="str">
            <v>เปลี่ยนน้ำมันเกียร์ขับสายพาน Elevating Conveyor Loop #3</v>
          </cell>
          <cell r="H323">
            <v>180</v>
          </cell>
          <cell r="I323">
            <v>120</v>
          </cell>
          <cell r="J323">
            <v>2</v>
          </cell>
        </row>
        <row r="324">
          <cell r="C324">
            <v>610000004093</v>
          </cell>
          <cell r="D324" t="str">
            <v>P18-HL-ME</v>
          </cell>
          <cell r="E324">
            <v>100527</v>
          </cell>
          <cell r="F324" t="str">
            <v>Elevating Conveyor #4</v>
          </cell>
          <cell r="G324" t="str">
            <v>เปลี่ยนน้ำมันเกียร์ขับสายพาน Elevating Conveyor Loop #4</v>
          </cell>
          <cell r="H324">
            <v>180</v>
          </cell>
        </row>
        <row r="325">
          <cell r="C325">
            <v>610000004093</v>
          </cell>
          <cell r="D325" t="str">
            <v>P18-HL-ME</v>
          </cell>
          <cell r="E325">
            <v>100527</v>
          </cell>
          <cell r="F325" t="str">
            <v>Elevating Conveyor #5</v>
          </cell>
          <cell r="G325" t="str">
            <v>เปลี่ยนน้ำมันเกียร์ขับสายพาน Elevating Conveyor Loop #5</v>
          </cell>
          <cell r="H325">
            <v>180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909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5" x14ac:dyDescent="0.25"/>
  <cols>
    <col min="3" max="3" width="11.85546875" bestFit="1" customWidth="1"/>
    <col min="4" max="4" width="16.5703125" bestFit="1" customWidth="1"/>
    <col min="5" max="5" width="14" bestFit="1" customWidth="1"/>
    <col min="6" max="6" width="10.28515625" bestFit="1" customWidth="1"/>
    <col min="7" max="7" width="35.28515625" customWidth="1"/>
    <col min="8" max="8" width="65" customWidth="1"/>
    <col min="9" max="9" width="5" bestFit="1" customWidth="1"/>
    <col min="10" max="10" width="4.5703125" bestFit="1" customWidth="1"/>
    <col min="12" max="12" width="4.7109375" bestFit="1" customWidth="1"/>
    <col min="13" max="13" width="9.42578125" bestFit="1" customWidth="1"/>
    <col min="14" max="15" width="9" bestFit="1" customWidth="1"/>
    <col min="16" max="16" width="18.42578125" bestFit="1" customWidth="1"/>
    <col min="17" max="18" width="24.28515625" bestFit="1" customWidth="1"/>
    <col min="19" max="19" width="5.5703125" bestFit="1" customWidth="1"/>
    <col min="20" max="20" width="12" customWidth="1"/>
    <col min="21" max="21" width="11.85546875" bestFit="1" customWidth="1"/>
  </cols>
  <sheetData>
    <row r="1" spans="1:21" x14ac:dyDescent="0.25">
      <c r="A1" s="99">
        <v>0</v>
      </c>
      <c r="B1" s="99">
        <v>1</v>
      </c>
      <c r="C1" s="99">
        <v>2</v>
      </c>
      <c r="D1" s="99">
        <v>3</v>
      </c>
      <c r="E1" s="99">
        <v>4</v>
      </c>
      <c r="F1" s="99">
        <v>5</v>
      </c>
      <c r="G1" s="99">
        <v>6</v>
      </c>
      <c r="H1" s="99">
        <v>7</v>
      </c>
      <c r="I1" s="99">
        <v>8</v>
      </c>
      <c r="J1" s="99">
        <v>9</v>
      </c>
      <c r="K1" s="99">
        <v>10</v>
      </c>
      <c r="L1" s="99">
        <v>11</v>
      </c>
      <c r="M1" s="99">
        <v>12</v>
      </c>
      <c r="N1" s="99">
        <v>13</v>
      </c>
      <c r="O1" s="99">
        <v>14</v>
      </c>
      <c r="P1" s="99">
        <v>15</v>
      </c>
      <c r="Q1" s="99">
        <v>16</v>
      </c>
      <c r="R1" s="99">
        <v>17</v>
      </c>
      <c r="S1" s="99">
        <v>18</v>
      </c>
      <c r="T1" s="99">
        <v>19</v>
      </c>
      <c r="U1" s="99">
        <v>20</v>
      </c>
    </row>
    <row r="2" spans="1:21" x14ac:dyDescent="0.25">
      <c r="A2" s="1" t="s">
        <v>179</v>
      </c>
      <c r="B2" s="1" t="s">
        <v>0</v>
      </c>
      <c r="C2" s="1" t="s">
        <v>1</v>
      </c>
      <c r="D2" s="2" t="s">
        <v>3444</v>
      </c>
      <c r="E2" s="2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7</v>
      </c>
      <c r="P2" s="3" t="s">
        <v>8</v>
      </c>
      <c r="Q2" s="3" t="s">
        <v>3443</v>
      </c>
      <c r="R2" s="3" t="s">
        <v>3441</v>
      </c>
      <c r="S2" s="473" t="s">
        <v>3442</v>
      </c>
      <c r="T2" s="474" t="s">
        <v>3445</v>
      </c>
      <c r="U2" s="474" t="s">
        <v>5318</v>
      </c>
    </row>
    <row r="3" spans="1:21" x14ac:dyDescent="0.25">
      <c r="A3" t="s">
        <v>180</v>
      </c>
      <c r="B3" s="4" t="s">
        <v>14</v>
      </c>
      <c r="C3" s="5"/>
      <c r="D3" s="6">
        <v>610000004633</v>
      </c>
      <c r="E3" s="6">
        <f>VLOOKUP(D3,'[1]Task list &amp; Maintenace plan'!$B:$G,6,FALSE)</f>
        <v>101067</v>
      </c>
      <c r="F3" s="7" t="s">
        <v>16</v>
      </c>
      <c r="G3" s="8" t="s">
        <v>17</v>
      </c>
      <c r="H3" s="8" t="s">
        <v>18</v>
      </c>
      <c r="I3" s="7">
        <v>15</v>
      </c>
      <c r="J3" s="7"/>
      <c r="K3" s="7">
        <v>20</v>
      </c>
      <c r="L3" s="7">
        <v>1</v>
      </c>
      <c r="M3" s="7">
        <f>L3*K3</f>
        <v>20</v>
      </c>
      <c r="N3" s="10" t="s">
        <v>20</v>
      </c>
      <c r="O3" s="7"/>
      <c r="P3" s="9">
        <v>651</v>
      </c>
      <c r="Q3" s="9" t="s">
        <v>19</v>
      </c>
    </row>
    <row r="4" spans="1:21" x14ac:dyDescent="0.25">
      <c r="A4" t="s">
        <v>180</v>
      </c>
      <c r="B4" s="4" t="s">
        <v>14</v>
      </c>
      <c r="C4" s="12"/>
      <c r="D4" s="13">
        <v>610000004634</v>
      </c>
      <c r="E4" s="13">
        <f>VLOOKUP(D4,'[1]Task list &amp; Maintenace plan'!$B:$G,6,FALSE)</f>
        <v>101068</v>
      </c>
      <c r="F4" s="14" t="s">
        <v>21</v>
      </c>
      <c r="G4" s="15" t="s">
        <v>15</v>
      </c>
      <c r="H4" s="15" t="s">
        <v>22</v>
      </c>
      <c r="I4" s="14">
        <v>30</v>
      </c>
      <c r="J4" s="14"/>
      <c r="K4" s="686">
        <v>10</v>
      </c>
      <c r="L4" s="686">
        <v>1</v>
      </c>
      <c r="M4" s="686">
        <f>L4*K4</f>
        <v>10</v>
      </c>
      <c r="N4" s="689" t="s">
        <v>20</v>
      </c>
      <c r="O4" s="14"/>
      <c r="P4" s="16">
        <v>651</v>
      </c>
      <c r="Q4" s="16" t="s">
        <v>19</v>
      </c>
    </row>
    <row r="5" spans="1:21" x14ac:dyDescent="0.25">
      <c r="A5" t="s">
        <v>180</v>
      </c>
      <c r="B5" s="4" t="s">
        <v>14</v>
      </c>
      <c r="C5" s="12"/>
      <c r="D5" s="17">
        <v>610000004634</v>
      </c>
      <c r="E5" s="17">
        <f>VLOOKUP(D5,'[1]Task list &amp; Maintenace plan'!$B:$G,6,FALSE)</f>
        <v>101068</v>
      </c>
      <c r="F5" s="18" t="s">
        <v>21</v>
      </c>
      <c r="G5" s="19" t="s">
        <v>17</v>
      </c>
      <c r="H5" s="19" t="s">
        <v>24</v>
      </c>
      <c r="I5" s="18">
        <v>30</v>
      </c>
      <c r="J5" s="18"/>
      <c r="K5" s="687"/>
      <c r="L5" s="687"/>
      <c r="M5" s="687"/>
      <c r="N5" s="690"/>
      <c r="O5" s="18"/>
      <c r="P5" s="20">
        <v>651</v>
      </c>
      <c r="Q5" s="20" t="s">
        <v>19</v>
      </c>
    </row>
    <row r="6" spans="1:21" x14ac:dyDescent="0.25">
      <c r="A6" t="s">
        <v>180</v>
      </c>
      <c r="B6" s="4" t="s">
        <v>14</v>
      </c>
      <c r="C6" s="12"/>
      <c r="D6" s="17">
        <v>610000004634</v>
      </c>
      <c r="E6" s="17">
        <f>VLOOKUP(D6,'[1]Task list &amp; Maintenace plan'!$B:$G,6,FALSE)</f>
        <v>101068</v>
      </c>
      <c r="F6" s="18" t="s">
        <v>21</v>
      </c>
      <c r="G6" s="19" t="s">
        <v>23</v>
      </c>
      <c r="H6" s="19" t="s">
        <v>26</v>
      </c>
      <c r="I6" s="18">
        <v>30</v>
      </c>
      <c r="J6" s="18"/>
      <c r="K6" s="687"/>
      <c r="L6" s="687"/>
      <c r="M6" s="687"/>
      <c r="N6" s="690"/>
      <c r="O6" s="18"/>
      <c r="P6" s="20">
        <v>651</v>
      </c>
      <c r="Q6" s="20" t="s">
        <v>19</v>
      </c>
    </row>
    <row r="7" spans="1:21" x14ac:dyDescent="0.25">
      <c r="A7" t="s">
        <v>180</v>
      </c>
      <c r="B7" s="4" t="s">
        <v>14</v>
      </c>
      <c r="C7" s="12"/>
      <c r="D7" s="17">
        <v>610000004634</v>
      </c>
      <c r="E7" s="17">
        <f>VLOOKUP(D7,'[1]Task list &amp; Maintenace plan'!$B:$G,6,FALSE)</f>
        <v>101068</v>
      </c>
      <c r="F7" s="18" t="s">
        <v>21</v>
      </c>
      <c r="G7" s="19" t="s">
        <v>25</v>
      </c>
      <c r="H7" s="19" t="s">
        <v>28</v>
      </c>
      <c r="I7" s="18">
        <v>30</v>
      </c>
      <c r="J7" s="18"/>
      <c r="K7" s="687"/>
      <c r="L7" s="687"/>
      <c r="M7" s="687"/>
      <c r="N7" s="690"/>
      <c r="O7" s="18"/>
      <c r="P7" s="20">
        <v>651</v>
      </c>
      <c r="Q7" s="20" t="s">
        <v>19</v>
      </c>
    </row>
    <row r="8" spans="1:21" x14ac:dyDescent="0.25">
      <c r="A8" t="s">
        <v>180</v>
      </c>
      <c r="B8" s="4" t="s">
        <v>14</v>
      </c>
      <c r="C8" s="12"/>
      <c r="D8" s="17">
        <v>610000004634</v>
      </c>
      <c r="E8" s="17">
        <f>VLOOKUP(D8,'[1]Task list &amp; Maintenace plan'!$B:$G,6,FALSE)</f>
        <v>101068</v>
      </c>
      <c r="F8" s="18" t="s">
        <v>21</v>
      </c>
      <c r="G8" s="19" t="s">
        <v>27</v>
      </c>
      <c r="H8" s="19" t="s">
        <v>30</v>
      </c>
      <c r="I8" s="18">
        <v>30</v>
      </c>
      <c r="J8" s="18"/>
      <c r="K8" s="687"/>
      <c r="L8" s="687"/>
      <c r="M8" s="687"/>
      <c r="N8" s="690"/>
      <c r="O8" s="21">
        <v>1</v>
      </c>
      <c r="P8" s="20">
        <v>651</v>
      </c>
      <c r="Q8" s="20" t="s">
        <v>19</v>
      </c>
    </row>
    <row r="9" spans="1:21" x14ac:dyDescent="0.25">
      <c r="A9" t="s">
        <v>180</v>
      </c>
      <c r="B9" s="4" t="s">
        <v>14</v>
      </c>
      <c r="C9" s="12"/>
      <c r="D9" s="22">
        <v>610000004634</v>
      </c>
      <c r="E9" s="22">
        <f>VLOOKUP(D9,'[1]Task list &amp; Maintenace plan'!$B:$G,6,FALSE)</f>
        <v>101068</v>
      </c>
      <c r="F9" s="23" t="s">
        <v>21</v>
      </c>
      <c r="G9" s="24" t="s">
        <v>29</v>
      </c>
      <c r="H9" s="24" t="s">
        <v>31</v>
      </c>
      <c r="I9" s="23">
        <v>30</v>
      </c>
      <c r="J9" s="23"/>
      <c r="K9" s="688"/>
      <c r="L9" s="688"/>
      <c r="M9" s="688"/>
      <c r="N9" s="691"/>
      <c r="O9" s="23"/>
      <c r="P9" s="25">
        <v>651</v>
      </c>
      <c r="Q9" s="25" t="s">
        <v>19</v>
      </c>
    </row>
    <row r="10" spans="1:21" x14ac:dyDescent="0.25">
      <c r="A10" t="s">
        <v>180</v>
      </c>
      <c r="B10" s="4" t="s">
        <v>14</v>
      </c>
      <c r="C10" s="12"/>
      <c r="D10" s="13">
        <v>610000004635</v>
      </c>
      <c r="E10" s="13">
        <f>VLOOKUP(D10,'[1]Task list &amp; Maintenace plan'!$B:$G,6,FALSE)</f>
        <v>101069</v>
      </c>
      <c r="F10" s="14" t="s">
        <v>32</v>
      </c>
      <c r="G10" s="26" t="s">
        <v>15</v>
      </c>
      <c r="H10" s="15" t="s">
        <v>33</v>
      </c>
      <c r="I10" s="14">
        <v>60</v>
      </c>
      <c r="J10" s="14">
        <v>1</v>
      </c>
      <c r="K10" s="686">
        <v>60</v>
      </c>
      <c r="L10" s="686">
        <v>1</v>
      </c>
      <c r="M10" s="686">
        <f>L10*K10</f>
        <v>60</v>
      </c>
      <c r="N10" s="689" t="s">
        <v>34</v>
      </c>
      <c r="O10" s="14"/>
      <c r="P10" s="16">
        <v>651</v>
      </c>
      <c r="Q10" s="16" t="s">
        <v>19</v>
      </c>
    </row>
    <row r="11" spans="1:21" x14ac:dyDescent="0.25">
      <c r="A11" t="s">
        <v>180</v>
      </c>
      <c r="B11" s="4" t="s">
        <v>14</v>
      </c>
      <c r="C11" s="12"/>
      <c r="D11" s="17">
        <v>610000004635</v>
      </c>
      <c r="E11" s="17">
        <f>VLOOKUP(D11,'[1]Task list &amp; Maintenace plan'!$B:$G,6,FALSE)</f>
        <v>101069</v>
      </c>
      <c r="F11" s="18" t="s">
        <v>32</v>
      </c>
      <c r="G11" s="19" t="s">
        <v>17</v>
      </c>
      <c r="H11" s="19" t="s">
        <v>35</v>
      </c>
      <c r="I11" s="18">
        <v>60</v>
      </c>
      <c r="J11" s="18">
        <v>1</v>
      </c>
      <c r="K11" s="687"/>
      <c r="L11" s="687"/>
      <c r="M11" s="687"/>
      <c r="N11" s="690"/>
      <c r="O11" s="18"/>
      <c r="P11" s="20">
        <v>651</v>
      </c>
      <c r="Q11" s="20" t="s">
        <v>19</v>
      </c>
    </row>
    <row r="12" spans="1:21" x14ac:dyDescent="0.25">
      <c r="A12" t="s">
        <v>180</v>
      </c>
      <c r="B12" s="4" t="s">
        <v>14</v>
      </c>
      <c r="C12" s="12"/>
      <c r="D12" s="17">
        <v>610000004635</v>
      </c>
      <c r="E12" s="17">
        <f>VLOOKUP(D12,'[1]Task list &amp; Maintenace plan'!$B:$G,6,FALSE)</f>
        <v>101069</v>
      </c>
      <c r="F12" s="18" t="s">
        <v>32</v>
      </c>
      <c r="G12" s="19" t="s">
        <v>23</v>
      </c>
      <c r="H12" s="19" t="s">
        <v>36</v>
      </c>
      <c r="I12" s="18">
        <v>60</v>
      </c>
      <c r="J12" s="18">
        <v>1</v>
      </c>
      <c r="K12" s="687"/>
      <c r="L12" s="687"/>
      <c r="M12" s="687"/>
      <c r="N12" s="690"/>
      <c r="O12" s="18"/>
      <c r="P12" s="20">
        <v>651</v>
      </c>
      <c r="Q12" s="20" t="s">
        <v>19</v>
      </c>
    </row>
    <row r="13" spans="1:21" x14ac:dyDescent="0.25">
      <c r="A13" t="s">
        <v>180</v>
      </c>
      <c r="B13" s="4" t="s">
        <v>14</v>
      </c>
      <c r="C13" s="12"/>
      <c r="D13" s="17">
        <v>610000004635</v>
      </c>
      <c r="E13" s="17">
        <f>VLOOKUP(D13,'[1]Task list &amp; Maintenace plan'!$B:$G,6,FALSE)</f>
        <v>101069</v>
      </c>
      <c r="F13" s="18" t="s">
        <v>32</v>
      </c>
      <c r="G13" s="19" t="s">
        <v>25</v>
      </c>
      <c r="H13" s="19" t="s">
        <v>37</v>
      </c>
      <c r="I13" s="18">
        <v>60</v>
      </c>
      <c r="J13" s="18">
        <v>1</v>
      </c>
      <c r="K13" s="687"/>
      <c r="L13" s="687"/>
      <c r="M13" s="687"/>
      <c r="N13" s="690"/>
      <c r="O13" s="18"/>
      <c r="P13" s="20">
        <v>651</v>
      </c>
      <c r="Q13" s="20" t="s">
        <v>19</v>
      </c>
    </row>
    <row r="14" spans="1:21" x14ac:dyDescent="0.25">
      <c r="A14" t="s">
        <v>180</v>
      </c>
      <c r="B14" s="4" t="s">
        <v>14</v>
      </c>
      <c r="C14" s="12"/>
      <c r="D14" s="17">
        <v>610000004635</v>
      </c>
      <c r="E14" s="17">
        <f>VLOOKUP(D14,'[1]Task list &amp; Maintenace plan'!$B:$G,6,FALSE)</f>
        <v>101069</v>
      </c>
      <c r="F14" s="18" t="s">
        <v>32</v>
      </c>
      <c r="G14" s="19" t="s">
        <v>27</v>
      </c>
      <c r="H14" s="19" t="s">
        <v>38</v>
      </c>
      <c r="I14" s="18">
        <v>60</v>
      </c>
      <c r="J14" s="18">
        <v>1</v>
      </c>
      <c r="K14" s="687"/>
      <c r="L14" s="687"/>
      <c r="M14" s="687"/>
      <c r="N14" s="690"/>
      <c r="O14" s="21">
        <v>1</v>
      </c>
      <c r="P14" s="20">
        <v>651</v>
      </c>
      <c r="Q14" s="20" t="s">
        <v>19</v>
      </c>
    </row>
    <row r="15" spans="1:21" x14ac:dyDescent="0.25">
      <c r="A15" t="s">
        <v>180</v>
      </c>
      <c r="B15" s="4" t="s">
        <v>14</v>
      </c>
      <c r="C15" s="12"/>
      <c r="D15" s="22">
        <v>610000004635</v>
      </c>
      <c r="E15" s="22">
        <f>VLOOKUP(D15,'[1]Task list &amp; Maintenace plan'!$B:$G,6,FALSE)</f>
        <v>101069</v>
      </c>
      <c r="F15" s="23" t="s">
        <v>32</v>
      </c>
      <c r="G15" s="24" t="s">
        <v>29</v>
      </c>
      <c r="H15" s="24" t="s">
        <v>39</v>
      </c>
      <c r="I15" s="23">
        <v>60</v>
      </c>
      <c r="J15" s="23">
        <v>1</v>
      </c>
      <c r="K15" s="688"/>
      <c r="L15" s="688"/>
      <c r="M15" s="688"/>
      <c r="N15" s="691"/>
      <c r="O15" s="23"/>
      <c r="P15" s="25">
        <v>651</v>
      </c>
      <c r="Q15" s="25" t="s">
        <v>19</v>
      </c>
    </row>
    <row r="16" spans="1:21" x14ac:dyDescent="0.25">
      <c r="A16" t="s">
        <v>180</v>
      </c>
      <c r="B16" s="4" t="s">
        <v>14</v>
      </c>
      <c r="C16" s="12"/>
      <c r="D16" s="13">
        <v>610000004636</v>
      </c>
      <c r="E16" s="13">
        <f>VLOOKUP(D16,'[1]Task list &amp; Maintenace plan'!$B:$G,6,FALSE)</f>
        <v>101070</v>
      </c>
      <c r="F16" s="14" t="s">
        <v>40</v>
      </c>
      <c r="G16" s="26" t="s">
        <v>15</v>
      </c>
      <c r="H16" s="15" t="s">
        <v>41</v>
      </c>
      <c r="I16" s="14">
        <v>90</v>
      </c>
      <c r="J16" s="14">
        <v>1</v>
      </c>
      <c r="K16" s="686">
        <v>10</v>
      </c>
      <c r="L16" s="686">
        <v>1</v>
      </c>
      <c r="M16" s="686">
        <f>L16*K16</f>
        <v>10</v>
      </c>
      <c r="N16" s="689" t="s">
        <v>20</v>
      </c>
      <c r="O16" s="14"/>
      <c r="P16" s="16">
        <v>651</v>
      </c>
      <c r="Q16" s="16" t="s">
        <v>19</v>
      </c>
    </row>
    <row r="17" spans="1:17" x14ac:dyDescent="0.25">
      <c r="A17" t="s">
        <v>180</v>
      </c>
      <c r="B17" s="4" t="s">
        <v>14</v>
      </c>
      <c r="C17" s="12"/>
      <c r="D17" s="17">
        <v>610000004636</v>
      </c>
      <c r="E17" s="17">
        <f>VLOOKUP(D17,'[1]Task list &amp; Maintenace plan'!$B:$G,6,FALSE)</f>
        <v>101070</v>
      </c>
      <c r="F17" s="18" t="s">
        <v>40</v>
      </c>
      <c r="G17" s="19" t="s">
        <v>17</v>
      </c>
      <c r="H17" s="19" t="s">
        <v>42</v>
      </c>
      <c r="I17" s="18">
        <v>90</v>
      </c>
      <c r="J17" s="18">
        <v>1</v>
      </c>
      <c r="K17" s="687"/>
      <c r="L17" s="687"/>
      <c r="M17" s="687"/>
      <c r="N17" s="690"/>
      <c r="O17" s="18"/>
      <c r="P17" s="20">
        <v>651</v>
      </c>
      <c r="Q17" s="20" t="s">
        <v>19</v>
      </c>
    </row>
    <row r="18" spans="1:17" x14ac:dyDescent="0.25">
      <c r="A18" t="s">
        <v>180</v>
      </c>
      <c r="B18" s="4" t="s">
        <v>14</v>
      </c>
      <c r="C18" s="12"/>
      <c r="D18" s="17">
        <v>610000004636</v>
      </c>
      <c r="E18" s="17">
        <f>VLOOKUP(D18,'[1]Task list &amp; Maintenace plan'!$B:$G,6,FALSE)</f>
        <v>101070</v>
      </c>
      <c r="F18" s="18" t="s">
        <v>40</v>
      </c>
      <c r="G18" s="19" t="s">
        <v>23</v>
      </c>
      <c r="H18" s="19" t="s">
        <v>43</v>
      </c>
      <c r="I18" s="18">
        <v>90</v>
      </c>
      <c r="J18" s="18">
        <v>1</v>
      </c>
      <c r="K18" s="687"/>
      <c r="L18" s="687"/>
      <c r="M18" s="687"/>
      <c r="N18" s="690"/>
      <c r="O18" s="18"/>
      <c r="P18" s="20">
        <v>651</v>
      </c>
      <c r="Q18" s="20" t="s">
        <v>19</v>
      </c>
    </row>
    <row r="19" spans="1:17" x14ac:dyDescent="0.25">
      <c r="A19" t="s">
        <v>180</v>
      </c>
      <c r="B19" s="4" t="s">
        <v>14</v>
      </c>
      <c r="C19" s="12"/>
      <c r="D19" s="17">
        <v>610000004636</v>
      </c>
      <c r="E19" s="17">
        <f>VLOOKUP(D19,'[1]Task list &amp; Maintenace plan'!$B:$G,6,FALSE)</f>
        <v>101070</v>
      </c>
      <c r="F19" s="18" t="s">
        <v>40</v>
      </c>
      <c r="G19" s="19" t="s">
        <v>25</v>
      </c>
      <c r="H19" s="19" t="s">
        <v>44</v>
      </c>
      <c r="I19" s="18">
        <v>90</v>
      </c>
      <c r="J19" s="18">
        <v>1</v>
      </c>
      <c r="K19" s="687"/>
      <c r="L19" s="687"/>
      <c r="M19" s="687"/>
      <c r="N19" s="690"/>
      <c r="O19" s="18"/>
      <c r="P19" s="20">
        <v>651</v>
      </c>
      <c r="Q19" s="20" t="s">
        <v>19</v>
      </c>
    </row>
    <row r="20" spans="1:17" x14ac:dyDescent="0.25">
      <c r="A20" t="s">
        <v>180</v>
      </c>
      <c r="B20" s="4" t="s">
        <v>14</v>
      </c>
      <c r="C20" s="12"/>
      <c r="D20" s="17">
        <v>610000004636</v>
      </c>
      <c r="E20" s="17">
        <f>VLOOKUP(D20,'[1]Task list &amp; Maintenace plan'!$B:$G,6,FALSE)</f>
        <v>101070</v>
      </c>
      <c r="F20" s="18" t="s">
        <v>40</v>
      </c>
      <c r="G20" s="19" t="s">
        <v>27</v>
      </c>
      <c r="H20" s="19" t="s">
        <v>45</v>
      </c>
      <c r="I20" s="18">
        <v>90</v>
      </c>
      <c r="J20" s="18">
        <v>1</v>
      </c>
      <c r="K20" s="687"/>
      <c r="L20" s="687"/>
      <c r="M20" s="687"/>
      <c r="N20" s="690"/>
      <c r="O20" s="21">
        <v>1</v>
      </c>
      <c r="P20" s="20">
        <v>651</v>
      </c>
      <c r="Q20" s="20" t="s">
        <v>19</v>
      </c>
    </row>
    <row r="21" spans="1:17" ht="15.75" thickBot="1" x14ac:dyDescent="0.3">
      <c r="A21" t="s">
        <v>180</v>
      </c>
      <c r="B21" s="4" t="s">
        <v>14</v>
      </c>
      <c r="C21" s="27"/>
      <c r="D21" s="28">
        <v>610000004636</v>
      </c>
      <c r="E21" s="28">
        <f>VLOOKUP(D21,'[1]Task list &amp; Maintenace plan'!$B:$G,6,FALSE)</f>
        <v>101070</v>
      </c>
      <c r="F21" s="29" t="s">
        <v>40</v>
      </c>
      <c r="G21" s="30" t="s">
        <v>29</v>
      </c>
      <c r="H21" s="30" t="s">
        <v>46</v>
      </c>
      <c r="I21" s="29">
        <v>90</v>
      </c>
      <c r="J21" s="29">
        <v>1</v>
      </c>
      <c r="K21" s="692"/>
      <c r="L21" s="692"/>
      <c r="M21" s="692"/>
      <c r="N21" s="693"/>
      <c r="O21" s="29"/>
      <c r="P21" s="31">
        <v>651</v>
      </c>
      <c r="Q21" s="31" t="s">
        <v>19</v>
      </c>
    </row>
    <row r="22" spans="1:17" x14ac:dyDescent="0.25">
      <c r="A22" t="s">
        <v>180</v>
      </c>
      <c r="B22" s="11" t="s">
        <v>47</v>
      </c>
      <c r="C22" s="12"/>
      <c r="D22" s="13">
        <v>610000004637</v>
      </c>
      <c r="E22" s="13">
        <f>VLOOKUP(D22,'[1]Task list &amp; Maintenace plan'!$B:$G,6,FALSE)</f>
        <v>101071</v>
      </c>
      <c r="F22" s="14" t="s">
        <v>49</v>
      </c>
      <c r="G22" s="15" t="s">
        <v>48</v>
      </c>
      <c r="H22" s="15" t="s">
        <v>50</v>
      </c>
      <c r="I22" s="14">
        <v>15</v>
      </c>
      <c r="J22" s="14"/>
      <c r="K22" s="694">
        <v>10</v>
      </c>
      <c r="L22" s="694">
        <v>1</v>
      </c>
      <c r="M22" s="694">
        <f>L22*K22</f>
        <v>10</v>
      </c>
      <c r="N22" s="695" t="s">
        <v>20</v>
      </c>
      <c r="O22" s="14"/>
      <c r="P22" s="16">
        <v>651</v>
      </c>
      <c r="Q22" s="16" t="s">
        <v>19</v>
      </c>
    </row>
    <row r="23" spans="1:17" x14ac:dyDescent="0.25">
      <c r="A23" t="s">
        <v>180</v>
      </c>
      <c r="B23" s="11" t="s">
        <v>47</v>
      </c>
      <c r="C23" s="12"/>
      <c r="D23" s="17">
        <v>610000004637</v>
      </c>
      <c r="E23" s="17">
        <f>VLOOKUP(D23,'[1]Task list &amp; Maintenace plan'!$B:$G,6,FALSE)</f>
        <v>101071</v>
      </c>
      <c r="F23" s="18" t="s">
        <v>49</v>
      </c>
      <c r="G23" s="19" t="s">
        <v>51</v>
      </c>
      <c r="H23" s="19" t="s">
        <v>52</v>
      </c>
      <c r="I23" s="18">
        <v>15</v>
      </c>
      <c r="J23" s="18"/>
      <c r="K23" s="687"/>
      <c r="L23" s="687"/>
      <c r="M23" s="687"/>
      <c r="N23" s="690"/>
      <c r="O23" s="18"/>
      <c r="P23" s="20">
        <v>651</v>
      </c>
      <c r="Q23" s="20" t="s">
        <v>19</v>
      </c>
    </row>
    <row r="24" spans="1:17" x14ac:dyDescent="0.25">
      <c r="A24" t="s">
        <v>180</v>
      </c>
      <c r="B24" s="11" t="s">
        <v>47</v>
      </c>
      <c r="C24" s="12"/>
      <c r="D24" s="17">
        <v>610000004637</v>
      </c>
      <c r="E24" s="17">
        <f>VLOOKUP(D24,'[1]Task list &amp; Maintenace plan'!$B:$G,6,FALSE)</f>
        <v>101071</v>
      </c>
      <c r="F24" s="18" t="s">
        <v>49</v>
      </c>
      <c r="G24" s="19" t="s">
        <v>53</v>
      </c>
      <c r="H24" s="19" t="s">
        <v>54</v>
      </c>
      <c r="I24" s="18">
        <v>15</v>
      </c>
      <c r="J24" s="18"/>
      <c r="K24" s="687"/>
      <c r="L24" s="687"/>
      <c r="M24" s="687"/>
      <c r="N24" s="690"/>
      <c r="O24" s="18"/>
      <c r="P24" s="20">
        <v>651</v>
      </c>
      <c r="Q24" s="20" t="s">
        <v>19</v>
      </c>
    </row>
    <row r="25" spans="1:17" x14ac:dyDescent="0.25">
      <c r="A25" t="s">
        <v>180</v>
      </c>
      <c r="B25" s="11" t="s">
        <v>47</v>
      </c>
      <c r="C25" s="12"/>
      <c r="D25" s="22">
        <v>610000004637</v>
      </c>
      <c r="E25" s="22">
        <f>VLOOKUP(D25,'[1]Task list &amp; Maintenace plan'!$B:$G,6,FALSE)</f>
        <v>101071</v>
      </c>
      <c r="F25" s="23" t="s">
        <v>49</v>
      </c>
      <c r="G25" s="24" t="s">
        <v>55</v>
      </c>
      <c r="H25" s="24" t="s">
        <v>56</v>
      </c>
      <c r="I25" s="23">
        <v>15</v>
      </c>
      <c r="J25" s="23"/>
      <c r="K25" s="688"/>
      <c r="L25" s="688"/>
      <c r="M25" s="688"/>
      <c r="N25" s="691"/>
      <c r="O25" s="23"/>
      <c r="P25" s="25">
        <v>651</v>
      </c>
      <c r="Q25" s="25" t="s">
        <v>19</v>
      </c>
    </row>
    <row r="26" spans="1:17" x14ac:dyDescent="0.25">
      <c r="A26" t="s">
        <v>180</v>
      </c>
      <c r="B26" s="11" t="s">
        <v>47</v>
      </c>
      <c r="C26" s="12"/>
      <c r="D26" s="32"/>
      <c r="E26" s="33"/>
      <c r="F26" s="34" t="s">
        <v>58</v>
      </c>
      <c r="G26" s="26" t="s">
        <v>59</v>
      </c>
      <c r="H26" s="26" t="s">
        <v>60</v>
      </c>
      <c r="I26" s="34">
        <v>30</v>
      </c>
      <c r="J26" s="34">
        <v>1</v>
      </c>
      <c r="K26" s="686">
        <v>90</v>
      </c>
      <c r="L26" s="686">
        <v>1</v>
      </c>
      <c r="M26" s="686">
        <f>L26*K26</f>
        <v>90</v>
      </c>
      <c r="N26" s="689" t="s">
        <v>20</v>
      </c>
      <c r="O26" s="34"/>
      <c r="P26" s="35">
        <v>651</v>
      </c>
      <c r="Q26" s="35" t="s">
        <v>19</v>
      </c>
    </row>
    <row r="27" spans="1:17" x14ac:dyDescent="0.25">
      <c r="A27" t="s">
        <v>180</v>
      </c>
      <c r="B27" s="11" t="s">
        <v>47</v>
      </c>
      <c r="C27" s="12"/>
      <c r="D27" s="36"/>
      <c r="E27" s="17"/>
      <c r="F27" s="18" t="s">
        <v>58</v>
      </c>
      <c r="G27" s="19" t="s">
        <v>59</v>
      </c>
      <c r="H27" s="19" t="s">
        <v>62</v>
      </c>
      <c r="I27" s="18">
        <v>30</v>
      </c>
      <c r="J27" s="18">
        <v>1</v>
      </c>
      <c r="K27" s="687"/>
      <c r="L27" s="687"/>
      <c r="M27" s="687"/>
      <c r="N27" s="690"/>
      <c r="O27" s="18"/>
      <c r="P27" s="20">
        <v>651</v>
      </c>
      <c r="Q27" s="20" t="s">
        <v>19</v>
      </c>
    </row>
    <row r="28" spans="1:17" x14ac:dyDescent="0.25">
      <c r="A28" t="s">
        <v>180</v>
      </c>
      <c r="B28" s="11" t="s">
        <v>47</v>
      </c>
      <c r="C28" s="12"/>
      <c r="D28" s="6"/>
      <c r="E28" s="22"/>
      <c r="F28" s="23" t="s">
        <v>58</v>
      </c>
      <c r="G28" s="24" t="s">
        <v>59</v>
      </c>
      <c r="H28" s="24" t="s">
        <v>64</v>
      </c>
      <c r="I28" s="23">
        <v>30</v>
      </c>
      <c r="J28" s="23">
        <v>1</v>
      </c>
      <c r="K28" s="688"/>
      <c r="L28" s="688"/>
      <c r="M28" s="688"/>
      <c r="N28" s="691"/>
      <c r="O28" s="23"/>
      <c r="P28" s="25">
        <v>651</v>
      </c>
      <c r="Q28" s="25" t="s">
        <v>19</v>
      </c>
    </row>
    <row r="29" spans="1:17" x14ac:dyDescent="0.25">
      <c r="A29" t="s">
        <v>180</v>
      </c>
      <c r="B29" s="11" t="s">
        <v>47</v>
      </c>
      <c r="C29" s="12"/>
      <c r="D29" s="13">
        <v>610000004638</v>
      </c>
      <c r="E29" s="13">
        <f>VLOOKUP(D29,'[1]Task list &amp; Maintenace plan'!$B:$G,6,FALSE)</f>
        <v>101072</v>
      </c>
      <c r="F29" s="14" t="s">
        <v>66</v>
      </c>
      <c r="G29" s="15" t="s">
        <v>48</v>
      </c>
      <c r="H29" s="15" t="s">
        <v>67</v>
      </c>
      <c r="I29" s="14">
        <v>30</v>
      </c>
      <c r="J29" s="14"/>
      <c r="K29" s="686">
        <v>10</v>
      </c>
      <c r="L29" s="686">
        <v>1</v>
      </c>
      <c r="M29" s="686">
        <f>L29*K29</f>
        <v>10</v>
      </c>
      <c r="N29" s="689" t="s">
        <v>20</v>
      </c>
      <c r="O29" s="14"/>
      <c r="P29" s="16">
        <v>651</v>
      </c>
      <c r="Q29" s="16" t="s">
        <v>19</v>
      </c>
    </row>
    <row r="30" spans="1:17" x14ac:dyDescent="0.25">
      <c r="A30" t="s">
        <v>180</v>
      </c>
      <c r="B30" s="11" t="s">
        <v>47</v>
      </c>
      <c r="C30" s="12"/>
      <c r="D30" s="17">
        <v>610000004638</v>
      </c>
      <c r="E30" s="17">
        <f>VLOOKUP(D30,'[1]Task list &amp; Maintenace plan'!$B:$G,6,FALSE)</f>
        <v>101072</v>
      </c>
      <c r="F30" s="18" t="s">
        <v>66</v>
      </c>
      <c r="G30" s="19" t="s">
        <v>51</v>
      </c>
      <c r="H30" s="19" t="s">
        <v>69</v>
      </c>
      <c r="I30" s="18">
        <v>30</v>
      </c>
      <c r="J30" s="18"/>
      <c r="K30" s="687"/>
      <c r="L30" s="687"/>
      <c r="M30" s="687"/>
      <c r="N30" s="690"/>
      <c r="O30" s="18"/>
      <c r="P30" s="20">
        <v>651</v>
      </c>
      <c r="Q30" s="20" t="s">
        <v>19</v>
      </c>
    </row>
    <row r="31" spans="1:17" x14ac:dyDescent="0.25">
      <c r="A31" t="s">
        <v>180</v>
      </c>
      <c r="B31" s="11" t="s">
        <v>47</v>
      </c>
      <c r="C31" s="37"/>
      <c r="D31" s="17">
        <v>610000004638</v>
      </c>
      <c r="E31" s="17">
        <f>VLOOKUP(D31,'[1]Task list &amp; Maintenace plan'!$B:$G,6,FALSE)</f>
        <v>101072</v>
      </c>
      <c r="F31" s="18" t="s">
        <v>66</v>
      </c>
      <c r="G31" s="19" t="s">
        <v>53</v>
      </c>
      <c r="H31" s="19" t="s">
        <v>70</v>
      </c>
      <c r="I31" s="18">
        <v>60</v>
      </c>
      <c r="J31" s="18"/>
      <c r="K31" s="687"/>
      <c r="L31" s="687"/>
      <c r="M31" s="687"/>
      <c r="N31" s="690"/>
      <c r="O31" s="18"/>
      <c r="P31" s="20">
        <v>651</v>
      </c>
      <c r="Q31" s="20" t="s">
        <v>19</v>
      </c>
    </row>
    <row r="32" spans="1:17" x14ac:dyDescent="0.25">
      <c r="A32" t="s">
        <v>180</v>
      </c>
      <c r="B32" s="11" t="s">
        <v>47</v>
      </c>
      <c r="C32" s="37"/>
      <c r="D32" s="38">
        <v>610000004638</v>
      </c>
      <c r="E32" s="38">
        <f>VLOOKUP(D32,'[1]Task list &amp; Maintenace plan'!$B:$G,6,FALSE)</f>
        <v>101072</v>
      </c>
      <c r="F32" s="39" t="s">
        <v>66</v>
      </c>
      <c r="G32" s="40" t="s">
        <v>55</v>
      </c>
      <c r="H32" s="40" t="s">
        <v>72</v>
      </c>
      <c r="I32" s="39">
        <v>60</v>
      </c>
      <c r="J32" s="39"/>
      <c r="K32" s="687"/>
      <c r="L32" s="687"/>
      <c r="M32" s="687"/>
      <c r="N32" s="690"/>
      <c r="O32" s="39"/>
      <c r="P32" s="41">
        <v>651</v>
      </c>
      <c r="Q32" s="41" t="s">
        <v>19</v>
      </c>
    </row>
    <row r="33" spans="1:17" x14ac:dyDescent="0.25">
      <c r="A33" t="s">
        <v>180</v>
      </c>
      <c r="B33" s="11" t="s">
        <v>47</v>
      </c>
      <c r="C33" s="37"/>
      <c r="D33" s="38">
        <v>610000004638</v>
      </c>
      <c r="E33" s="38">
        <f>VLOOKUP(D33,'[1]Task list &amp; Maintenace plan'!$B:$G,6,FALSE)</f>
        <v>101072</v>
      </c>
      <c r="F33" s="39" t="s">
        <v>66</v>
      </c>
      <c r="G33" s="24" t="s">
        <v>59</v>
      </c>
      <c r="H33" s="24" t="s">
        <v>73</v>
      </c>
      <c r="I33" s="23">
        <v>60</v>
      </c>
      <c r="J33" s="23"/>
      <c r="K33" s="688"/>
      <c r="L33" s="688"/>
      <c r="M33" s="688"/>
      <c r="N33" s="691"/>
      <c r="O33" s="23"/>
      <c r="P33" s="25">
        <v>651</v>
      </c>
      <c r="Q33" s="25" t="s">
        <v>19</v>
      </c>
    </row>
    <row r="34" spans="1:17" x14ac:dyDescent="0.25">
      <c r="A34" t="s">
        <v>180</v>
      </c>
      <c r="B34" s="11" t="s">
        <v>47</v>
      </c>
      <c r="C34" s="12"/>
      <c r="D34" s="22"/>
      <c r="E34" s="22"/>
      <c r="F34" s="23" t="s">
        <v>74</v>
      </c>
      <c r="G34" s="24" t="s">
        <v>71</v>
      </c>
      <c r="H34" s="24" t="s">
        <v>75</v>
      </c>
      <c r="I34" s="23">
        <v>60</v>
      </c>
      <c r="J34" s="23"/>
      <c r="K34" s="23">
        <v>2</v>
      </c>
      <c r="L34" s="23">
        <v>1</v>
      </c>
      <c r="M34" s="23">
        <f>L34*K34</f>
        <v>2</v>
      </c>
      <c r="N34" s="43" t="s">
        <v>20</v>
      </c>
      <c r="O34" s="23"/>
      <c r="P34" s="42">
        <v>652</v>
      </c>
      <c r="Q34" s="42" t="s">
        <v>76</v>
      </c>
    </row>
    <row r="35" spans="1:17" x14ac:dyDescent="0.25">
      <c r="A35" t="s">
        <v>180</v>
      </c>
      <c r="B35" s="11" t="s">
        <v>47</v>
      </c>
      <c r="C35" s="12"/>
      <c r="D35" s="13">
        <v>610000004639</v>
      </c>
      <c r="E35" s="13">
        <f>VLOOKUP(D35,'[1]Task list &amp; Maintenace plan'!$B:$G,6,FALSE)</f>
        <v>101073</v>
      </c>
      <c r="F35" s="14" t="s">
        <v>77</v>
      </c>
      <c r="G35" s="15" t="s">
        <v>48</v>
      </c>
      <c r="H35" s="15" t="s">
        <v>78</v>
      </c>
      <c r="I35" s="14">
        <v>60</v>
      </c>
      <c r="J35" s="14">
        <v>1</v>
      </c>
      <c r="K35" s="686">
        <v>30</v>
      </c>
      <c r="L35" s="686">
        <v>1</v>
      </c>
      <c r="M35" s="686">
        <f>L35*K35</f>
        <v>30</v>
      </c>
      <c r="N35" s="689" t="s">
        <v>34</v>
      </c>
      <c r="O35" s="14"/>
      <c r="P35" s="16">
        <v>651</v>
      </c>
      <c r="Q35" s="16" t="s">
        <v>19</v>
      </c>
    </row>
    <row r="36" spans="1:17" x14ac:dyDescent="0.25">
      <c r="A36" t="s">
        <v>180</v>
      </c>
      <c r="B36" s="11" t="s">
        <v>47</v>
      </c>
      <c r="C36" s="44"/>
      <c r="D36" s="17">
        <v>610000004639</v>
      </c>
      <c r="E36" s="17">
        <f>VLOOKUP(D36,'[1]Task list &amp; Maintenace plan'!$B:$G,6,FALSE)</f>
        <v>101073</v>
      </c>
      <c r="F36" s="18" t="s">
        <v>77</v>
      </c>
      <c r="G36" s="19" t="s">
        <v>51</v>
      </c>
      <c r="H36" s="19" t="s">
        <v>79</v>
      </c>
      <c r="I36" s="18">
        <v>60</v>
      </c>
      <c r="J36" s="18">
        <v>1</v>
      </c>
      <c r="K36" s="687"/>
      <c r="L36" s="687"/>
      <c r="M36" s="687"/>
      <c r="N36" s="690"/>
      <c r="O36" s="18"/>
      <c r="P36" s="20">
        <v>651</v>
      </c>
      <c r="Q36" s="20" t="s">
        <v>19</v>
      </c>
    </row>
    <row r="37" spans="1:17" x14ac:dyDescent="0.25">
      <c r="A37" t="s">
        <v>180</v>
      </c>
      <c r="B37" s="11" t="s">
        <v>47</v>
      </c>
      <c r="C37" s="12"/>
      <c r="D37" s="17">
        <v>610000004639</v>
      </c>
      <c r="E37" s="17">
        <f>VLOOKUP(D37,'[1]Task list &amp; Maintenace plan'!$B:$G,6,FALSE)</f>
        <v>101073</v>
      </c>
      <c r="F37" s="18" t="s">
        <v>77</v>
      </c>
      <c r="G37" s="19" t="s">
        <v>53</v>
      </c>
      <c r="H37" s="19" t="s">
        <v>80</v>
      </c>
      <c r="I37" s="18">
        <v>60</v>
      </c>
      <c r="J37" s="18">
        <v>1</v>
      </c>
      <c r="K37" s="687"/>
      <c r="L37" s="687"/>
      <c r="M37" s="687"/>
      <c r="N37" s="690"/>
      <c r="O37" s="18"/>
      <c r="P37" s="20">
        <v>651</v>
      </c>
      <c r="Q37" s="20" t="s">
        <v>19</v>
      </c>
    </row>
    <row r="38" spans="1:17" x14ac:dyDescent="0.25">
      <c r="A38" t="s">
        <v>180</v>
      </c>
      <c r="B38" s="11" t="s">
        <v>47</v>
      </c>
      <c r="C38" s="12"/>
      <c r="D38" s="17">
        <v>610000004639</v>
      </c>
      <c r="E38" s="17">
        <f>VLOOKUP(D38,'[1]Task list &amp; Maintenace plan'!$B:$G,6,FALSE)</f>
        <v>101073</v>
      </c>
      <c r="F38" s="18" t="s">
        <v>77</v>
      </c>
      <c r="G38" s="19" t="s">
        <v>55</v>
      </c>
      <c r="H38" s="19" t="s">
        <v>81</v>
      </c>
      <c r="I38" s="18">
        <v>60</v>
      </c>
      <c r="J38" s="18">
        <v>1</v>
      </c>
      <c r="K38" s="687"/>
      <c r="L38" s="687"/>
      <c r="M38" s="687"/>
      <c r="N38" s="690"/>
      <c r="O38" s="18"/>
      <c r="P38" s="20">
        <v>651</v>
      </c>
      <c r="Q38" s="20" t="s">
        <v>19</v>
      </c>
    </row>
    <row r="39" spans="1:17" x14ac:dyDescent="0.25">
      <c r="A39" t="s">
        <v>180</v>
      </c>
      <c r="B39" s="11" t="s">
        <v>47</v>
      </c>
      <c r="C39" s="12"/>
      <c r="D39" s="22">
        <v>610000004639</v>
      </c>
      <c r="E39" s="22">
        <f>VLOOKUP(D39,'[1]Task list &amp; Maintenace plan'!$B:$G,6,FALSE)</f>
        <v>101073</v>
      </c>
      <c r="F39" s="23" t="s">
        <v>77</v>
      </c>
      <c r="G39" s="24" t="s">
        <v>59</v>
      </c>
      <c r="H39" s="24" t="s">
        <v>82</v>
      </c>
      <c r="I39" s="23">
        <v>60</v>
      </c>
      <c r="J39" s="23">
        <v>1</v>
      </c>
      <c r="K39" s="688"/>
      <c r="L39" s="688"/>
      <c r="M39" s="688"/>
      <c r="N39" s="691"/>
      <c r="O39" s="23"/>
      <c r="P39" s="25">
        <v>651</v>
      </c>
      <c r="Q39" s="25" t="s">
        <v>19</v>
      </c>
    </row>
    <row r="40" spans="1:17" x14ac:dyDescent="0.25">
      <c r="A40" t="s">
        <v>180</v>
      </c>
      <c r="B40" s="11" t="s">
        <v>47</v>
      </c>
      <c r="C40" s="12"/>
      <c r="D40" s="36"/>
      <c r="E40" s="36"/>
      <c r="F40" s="45" t="s">
        <v>83</v>
      </c>
      <c r="G40" s="46" t="s">
        <v>71</v>
      </c>
      <c r="H40" s="46" t="s">
        <v>84</v>
      </c>
      <c r="I40" s="45">
        <v>60</v>
      </c>
      <c r="J40" s="45">
        <v>1</v>
      </c>
      <c r="K40" s="45">
        <v>20</v>
      </c>
      <c r="L40" s="45">
        <v>1</v>
      </c>
      <c r="M40" s="45">
        <f>L40*K40</f>
        <v>20</v>
      </c>
      <c r="N40" s="49" t="s">
        <v>34</v>
      </c>
      <c r="O40" s="45"/>
      <c r="P40" s="47">
        <v>652</v>
      </c>
      <c r="Q40" s="48" t="s">
        <v>76</v>
      </c>
    </row>
    <row r="41" spans="1:17" x14ac:dyDescent="0.25">
      <c r="A41" t="s">
        <v>180</v>
      </c>
      <c r="B41" s="11" t="s">
        <v>47</v>
      </c>
      <c r="C41" s="12"/>
      <c r="D41" s="13">
        <v>610000004640</v>
      </c>
      <c r="E41" s="13">
        <f>VLOOKUP(D41,'[1]Task list &amp; Maintenace plan'!$B:$G,6,FALSE)</f>
        <v>101074</v>
      </c>
      <c r="F41" s="14" t="s">
        <v>85</v>
      </c>
      <c r="G41" s="15" t="s">
        <v>48</v>
      </c>
      <c r="H41" s="15" t="s">
        <v>86</v>
      </c>
      <c r="I41" s="14">
        <v>60</v>
      </c>
      <c r="J41" s="14">
        <v>1</v>
      </c>
      <c r="K41" s="686">
        <v>30</v>
      </c>
      <c r="L41" s="686">
        <v>1</v>
      </c>
      <c r="M41" s="686">
        <f>L41*K41</f>
        <v>30</v>
      </c>
      <c r="N41" s="689" t="s">
        <v>20</v>
      </c>
      <c r="O41" s="14"/>
      <c r="P41" s="16">
        <v>651</v>
      </c>
      <c r="Q41" s="16" t="s">
        <v>19</v>
      </c>
    </row>
    <row r="42" spans="1:17" x14ac:dyDescent="0.25">
      <c r="A42" t="s">
        <v>180</v>
      </c>
      <c r="B42" s="11" t="s">
        <v>47</v>
      </c>
      <c r="C42" s="12"/>
      <c r="D42" s="17">
        <v>610000004640</v>
      </c>
      <c r="E42" s="17">
        <f>VLOOKUP(D42,'[1]Task list &amp; Maintenace plan'!$B:$G,6,FALSE)</f>
        <v>101074</v>
      </c>
      <c r="F42" s="18" t="s">
        <v>85</v>
      </c>
      <c r="G42" s="19" t="s">
        <v>51</v>
      </c>
      <c r="H42" s="19" t="s">
        <v>87</v>
      </c>
      <c r="I42" s="18">
        <v>60</v>
      </c>
      <c r="J42" s="18">
        <v>1</v>
      </c>
      <c r="K42" s="687"/>
      <c r="L42" s="687"/>
      <c r="M42" s="687"/>
      <c r="N42" s="690"/>
      <c r="O42" s="18"/>
      <c r="P42" s="20">
        <v>651</v>
      </c>
      <c r="Q42" s="20" t="s">
        <v>19</v>
      </c>
    </row>
    <row r="43" spans="1:17" x14ac:dyDescent="0.25">
      <c r="A43" t="s">
        <v>180</v>
      </c>
      <c r="B43" s="11" t="s">
        <v>47</v>
      </c>
      <c r="C43" s="12"/>
      <c r="D43" s="17">
        <v>610000004640</v>
      </c>
      <c r="E43" s="17">
        <f>VLOOKUP(D43,'[1]Task list &amp; Maintenace plan'!$B:$G,6,FALSE)</f>
        <v>101074</v>
      </c>
      <c r="F43" s="18" t="s">
        <v>85</v>
      </c>
      <c r="G43" s="19" t="s">
        <v>53</v>
      </c>
      <c r="H43" s="19" t="s">
        <v>88</v>
      </c>
      <c r="I43" s="18">
        <v>60</v>
      </c>
      <c r="J43" s="18">
        <v>1</v>
      </c>
      <c r="K43" s="687"/>
      <c r="L43" s="687"/>
      <c r="M43" s="687"/>
      <c r="N43" s="690"/>
      <c r="O43" s="18"/>
      <c r="P43" s="20">
        <v>651</v>
      </c>
      <c r="Q43" s="20" t="s">
        <v>19</v>
      </c>
    </row>
    <row r="44" spans="1:17" x14ac:dyDescent="0.25">
      <c r="A44" t="s">
        <v>180</v>
      </c>
      <c r="B44" s="11" t="s">
        <v>47</v>
      </c>
      <c r="C44" s="12"/>
      <c r="D44" s="38">
        <v>610000004640</v>
      </c>
      <c r="E44" s="38">
        <f>VLOOKUP(D44,'[1]Task list &amp; Maintenace plan'!$B:$G,6,FALSE)</f>
        <v>101074</v>
      </c>
      <c r="F44" s="39" t="s">
        <v>85</v>
      </c>
      <c r="G44" s="40" t="s">
        <v>55</v>
      </c>
      <c r="H44" s="40" t="s">
        <v>89</v>
      </c>
      <c r="I44" s="39">
        <v>60</v>
      </c>
      <c r="J44" s="39">
        <v>1</v>
      </c>
      <c r="K44" s="687"/>
      <c r="L44" s="687"/>
      <c r="M44" s="687"/>
      <c r="N44" s="690"/>
      <c r="O44" s="39"/>
      <c r="P44" s="41">
        <v>651</v>
      </c>
      <c r="Q44" s="41" t="s">
        <v>19</v>
      </c>
    </row>
    <row r="45" spans="1:17" ht="15.75" thickBot="1" x14ac:dyDescent="0.3">
      <c r="A45" t="s">
        <v>180</v>
      </c>
      <c r="B45" s="11" t="s">
        <v>47</v>
      </c>
      <c r="C45" s="27"/>
      <c r="D45" s="28">
        <v>610000004640</v>
      </c>
      <c r="E45" s="28">
        <v>101074</v>
      </c>
      <c r="F45" s="29" t="s">
        <v>85</v>
      </c>
      <c r="G45" s="30" t="s">
        <v>59</v>
      </c>
      <c r="H45" s="30" t="s">
        <v>90</v>
      </c>
      <c r="I45" s="29">
        <v>60</v>
      </c>
      <c r="J45" s="29">
        <v>1</v>
      </c>
      <c r="K45" s="692"/>
      <c r="L45" s="692"/>
      <c r="M45" s="692"/>
      <c r="N45" s="693"/>
      <c r="O45" s="29"/>
      <c r="P45" s="31">
        <v>651</v>
      </c>
      <c r="Q45" s="31" t="s">
        <v>19</v>
      </c>
    </row>
    <row r="46" spans="1:17" x14ac:dyDescent="0.25">
      <c r="A46" t="s">
        <v>180</v>
      </c>
      <c r="B46" s="50" t="s">
        <v>91</v>
      </c>
      <c r="C46" s="51"/>
      <c r="D46" s="52">
        <v>610000004641</v>
      </c>
      <c r="E46" s="52">
        <f>VLOOKUP(D46,'[1]Task list &amp; Maintenace plan'!$B:$G,6,FALSE)</f>
        <v>101075</v>
      </c>
      <c r="F46" s="53" t="s">
        <v>92</v>
      </c>
      <c r="G46" s="54" t="s">
        <v>57</v>
      </c>
      <c r="H46" s="54" t="s">
        <v>93</v>
      </c>
      <c r="I46" s="53">
        <v>15</v>
      </c>
      <c r="J46" s="53"/>
      <c r="K46" s="53">
        <v>10</v>
      </c>
      <c r="L46" s="53">
        <v>1</v>
      </c>
      <c r="M46" s="53">
        <f>L46*K46</f>
        <v>10</v>
      </c>
      <c r="N46" s="56" t="s">
        <v>20</v>
      </c>
      <c r="O46" s="53"/>
      <c r="P46" s="55">
        <v>651</v>
      </c>
      <c r="Q46" s="55" t="s">
        <v>19</v>
      </c>
    </row>
    <row r="47" spans="1:17" x14ac:dyDescent="0.25">
      <c r="A47" t="s">
        <v>180</v>
      </c>
      <c r="B47" s="50" t="s">
        <v>91</v>
      </c>
      <c r="C47" s="51"/>
      <c r="D47" s="57">
        <v>610000004642</v>
      </c>
      <c r="E47" s="57">
        <f>VLOOKUP(D47,'[1]Task list &amp; Maintenace plan'!$B:$G,6,FALSE)</f>
        <v>101076</v>
      </c>
      <c r="F47" s="58" t="s">
        <v>94</v>
      </c>
      <c r="G47" s="59" t="s">
        <v>57</v>
      </c>
      <c r="H47" s="59" t="s">
        <v>95</v>
      </c>
      <c r="I47" s="58">
        <v>30</v>
      </c>
      <c r="J47" s="58"/>
      <c r="K47" s="686">
        <v>10</v>
      </c>
      <c r="L47" s="686">
        <v>1</v>
      </c>
      <c r="M47" s="686">
        <f>L47*K47</f>
        <v>10</v>
      </c>
      <c r="N47" s="689" t="s">
        <v>20</v>
      </c>
      <c r="O47" s="58"/>
      <c r="P47" s="60">
        <v>651</v>
      </c>
      <c r="Q47" s="60" t="s">
        <v>19</v>
      </c>
    </row>
    <row r="48" spans="1:17" x14ac:dyDescent="0.25">
      <c r="A48" t="s">
        <v>180</v>
      </c>
      <c r="B48" s="50" t="s">
        <v>91</v>
      </c>
      <c r="C48" s="51"/>
      <c r="D48" s="38">
        <v>610000004642</v>
      </c>
      <c r="E48" s="38">
        <f>VLOOKUP(D48,'[1]Task list &amp; Maintenace plan'!$B:$G,6,FALSE)</f>
        <v>101076</v>
      </c>
      <c r="F48" s="39" t="s">
        <v>94</v>
      </c>
      <c r="G48" s="40" t="s">
        <v>61</v>
      </c>
      <c r="H48" s="40" t="s">
        <v>96</v>
      </c>
      <c r="I48" s="39">
        <v>30</v>
      </c>
      <c r="J48" s="39"/>
      <c r="K48" s="687"/>
      <c r="L48" s="687"/>
      <c r="M48" s="687"/>
      <c r="N48" s="690"/>
      <c r="O48" s="39"/>
      <c r="P48" s="41">
        <v>651</v>
      </c>
      <c r="Q48" s="41" t="s">
        <v>19</v>
      </c>
    </row>
    <row r="49" spans="1:17" x14ac:dyDescent="0.25">
      <c r="A49" t="s">
        <v>180</v>
      </c>
      <c r="B49" s="50" t="s">
        <v>91</v>
      </c>
      <c r="C49" s="51"/>
      <c r="D49" s="38">
        <v>610000004642</v>
      </c>
      <c r="E49" s="38">
        <f>VLOOKUP(D49,'[1]Task list &amp; Maintenace plan'!$B:$G,6,FALSE)</f>
        <v>101076</v>
      </c>
      <c r="F49" s="39" t="s">
        <v>94</v>
      </c>
      <c r="G49" s="40" t="s">
        <v>63</v>
      </c>
      <c r="H49" s="40" t="s">
        <v>97</v>
      </c>
      <c r="I49" s="39">
        <v>30</v>
      </c>
      <c r="J49" s="39"/>
      <c r="K49" s="687"/>
      <c r="L49" s="687"/>
      <c r="M49" s="687"/>
      <c r="N49" s="690"/>
      <c r="O49" s="39"/>
      <c r="P49" s="41">
        <v>651</v>
      </c>
      <c r="Q49" s="41" t="s">
        <v>19</v>
      </c>
    </row>
    <row r="50" spans="1:17" x14ac:dyDescent="0.25">
      <c r="A50" t="s">
        <v>180</v>
      </c>
      <c r="B50" s="50" t="s">
        <v>91</v>
      </c>
      <c r="C50" s="51"/>
      <c r="D50" s="38">
        <v>610000004642</v>
      </c>
      <c r="E50" s="38">
        <f>VLOOKUP(D50,'[1]Task list &amp; Maintenace plan'!$B:$G,6,FALSE)</f>
        <v>101076</v>
      </c>
      <c r="F50" s="39" t="s">
        <v>94</v>
      </c>
      <c r="G50" s="40" t="s">
        <v>65</v>
      </c>
      <c r="H50" s="40" t="s">
        <v>98</v>
      </c>
      <c r="I50" s="39">
        <v>30</v>
      </c>
      <c r="J50" s="39"/>
      <c r="K50" s="687"/>
      <c r="L50" s="687"/>
      <c r="M50" s="687"/>
      <c r="N50" s="690"/>
      <c r="O50" s="39"/>
      <c r="P50" s="41">
        <v>651</v>
      </c>
      <c r="Q50" s="41" t="s">
        <v>19</v>
      </c>
    </row>
    <row r="51" spans="1:17" x14ac:dyDescent="0.25">
      <c r="A51" t="s">
        <v>180</v>
      </c>
      <c r="B51" s="50" t="s">
        <v>91</v>
      </c>
      <c r="C51" s="12"/>
      <c r="D51" s="22">
        <v>610000004642</v>
      </c>
      <c r="E51" s="22">
        <f>VLOOKUP(D51,'[1]Task list &amp; Maintenace plan'!$B:$G,6,FALSE)</f>
        <v>101076</v>
      </c>
      <c r="F51" s="23" t="s">
        <v>94</v>
      </c>
      <c r="G51" s="24" t="s">
        <v>68</v>
      </c>
      <c r="H51" s="24" t="s">
        <v>99</v>
      </c>
      <c r="I51" s="23">
        <v>30</v>
      </c>
      <c r="J51" s="23"/>
      <c r="K51" s="688"/>
      <c r="L51" s="688"/>
      <c r="M51" s="688"/>
      <c r="N51" s="691"/>
      <c r="O51" s="23"/>
      <c r="P51" s="25">
        <v>651</v>
      </c>
      <c r="Q51" s="25" t="s">
        <v>19</v>
      </c>
    </row>
    <row r="52" spans="1:17" x14ac:dyDescent="0.25">
      <c r="A52" t="s">
        <v>180</v>
      </c>
      <c r="B52" s="50" t="s">
        <v>91</v>
      </c>
      <c r="C52" s="12"/>
      <c r="D52" s="6">
        <v>610000004643</v>
      </c>
      <c r="E52" s="6">
        <f>VLOOKUP(D52,'[1]Task list &amp; Maintenace plan'!$B:$G,6,FALSE)</f>
        <v>101077</v>
      </c>
      <c r="F52" s="7" t="s">
        <v>100</v>
      </c>
      <c r="G52" s="61" t="s">
        <v>101</v>
      </c>
      <c r="H52" s="61" t="s">
        <v>102</v>
      </c>
      <c r="I52" s="7">
        <v>30</v>
      </c>
      <c r="J52" s="7">
        <v>1</v>
      </c>
      <c r="K52" s="7">
        <v>30</v>
      </c>
      <c r="L52" s="7">
        <v>1</v>
      </c>
      <c r="M52" s="7">
        <f>L52*K52</f>
        <v>30</v>
      </c>
      <c r="N52" s="10" t="s">
        <v>34</v>
      </c>
      <c r="O52" s="7"/>
      <c r="P52" s="9">
        <v>651</v>
      </c>
      <c r="Q52" s="9" t="s">
        <v>19</v>
      </c>
    </row>
    <row r="53" spans="1:17" x14ac:dyDescent="0.25">
      <c r="A53" t="s">
        <v>180</v>
      </c>
      <c r="B53" s="50" t="s">
        <v>91</v>
      </c>
      <c r="C53" s="12"/>
      <c r="D53" s="57">
        <v>610000004644</v>
      </c>
      <c r="E53" s="57">
        <f>VLOOKUP(D53,'[1]Task list &amp; Maintenace plan'!$B:$G,6,FALSE)</f>
        <v>101078</v>
      </c>
      <c r="F53" s="58" t="s">
        <v>103</v>
      </c>
      <c r="G53" s="59" t="s">
        <v>57</v>
      </c>
      <c r="H53" s="59" t="s">
        <v>104</v>
      </c>
      <c r="I53" s="58">
        <v>60</v>
      </c>
      <c r="J53" s="58">
        <v>1</v>
      </c>
      <c r="K53" s="686">
        <v>45</v>
      </c>
      <c r="L53" s="686">
        <v>1</v>
      </c>
      <c r="M53" s="686">
        <f>L53*K53</f>
        <v>45</v>
      </c>
      <c r="N53" s="689" t="s">
        <v>34</v>
      </c>
      <c r="O53" s="58"/>
      <c r="P53" s="60">
        <v>651</v>
      </c>
      <c r="Q53" s="60" t="s">
        <v>19</v>
      </c>
    </row>
    <row r="54" spans="1:17" x14ac:dyDescent="0.25">
      <c r="A54" t="s">
        <v>180</v>
      </c>
      <c r="B54" s="50" t="s">
        <v>91</v>
      </c>
      <c r="C54" s="12"/>
      <c r="D54" s="38">
        <v>610000004644</v>
      </c>
      <c r="E54" s="38">
        <f>VLOOKUP(D54,'[1]Task list &amp; Maintenace plan'!$B:$G,6,FALSE)</f>
        <v>101078</v>
      </c>
      <c r="F54" s="39" t="s">
        <v>103</v>
      </c>
      <c r="G54" s="40" t="s">
        <v>61</v>
      </c>
      <c r="H54" s="40" t="s">
        <v>105</v>
      </c>
      <c r="I54" s="39">
        <v>60</v>
      </c>
      <c r="J54" s="39">
        <v>1</v>
      </c>
      <c r="K54" s="687"/>
      <c r="L54" s="687"/>
      <c r="M54" s="687"/>
      <c r="N54" s="690"/>
      <c r="O54" s="39"/>
      <c r="P54" s="41">
        <v>651</v>
      </c>
      <c r="Q54" s="41" t="s">
        <v>19</v>
      </c>
    </row>
    <row r="55" spans="1:17" x14ac:dyDescent="0.25">
      <c r="A55" t="s">
        <v>180</v>
      </c>
      <c r="B55" s="50" t="s">
        <v>91</v>
      </c>
      <c r="C55" s="12"/>
      <c r="D55" s="38">
        <v>610000004644</v>
      </c>
      <c r="E55" s="38">
        <f>VLOOKUP(D55,'[1]Task list &amp; Maintenace plan'!$B:$G,6,FALSE)</f>
        <v>101078</v>
      </c>
      <c r="F55" s="39" t="s">
        <v>103</v>
      </c>
      <c r="G55" s="40" t="s">
        <v>63</v>
      </c>
      <c r="H55" s="40" t="s">
        <v>106</v>
      </c>
      <c r="I55" s="39">
        <v>60</v>
      </c>
      <c r="J55" s="39">
        <v>1</v>
      </c>
      <c r="K55" s="687"/>
      <c r="L55" s="687"/>
      <c r="M55" s="687"/>
      <c r="N55" s="690"/>
      <c r="O55" s="39"/>
      <c r="P55" s="41">
        <v>651</v>
      </c>
      <c r="Q55" s="41" t="s">
        <v>19</v>
      </c>
    </row>
    <row r="56" spans="1:17" x14ac:dyDescent="0.25">
      <c r="A56" t="s">
        <v>180</v>
      </c>
      <c r="B56" s="50" t="s">
        <v>91</v>
      </c>
      <c r="C56" s="12"/>
      <c r="D56" s="38">
        <v>610000004644</v>
      </c>
      <c r="E56" s="38">
        <f>VLOOKUP(D56,'[1]Task list &amp; Maintenace plan'!$B:$G,6,FALSE)</f>
        <v>101078</v>
      </c>
      <c r="F56" s="39" t="s">
        <v>103</v>
      </c>
      <c r="G56" s="40" t="s">
        <v>65</v>
      </c>
      <c r="H56" s="40" t="s">
        <v>107</v>
      </c>
      <c r="I56" s="39">
        <v>60</v>
      </c>
      <c r="J56" s="39">
        <v>1</v>
      </c>
      <c r="K56" s="687"/>
      <c r="L56" s="687"/>
      <c r="M56" s="687"/>
      <c r="N56" s="690"/>
      <c r="O56" s="39"/>
      <c r="P56" s="41">
        <v>651</v>
      </c>
      <c r="Q56" s="41" t="s">
        <v>19</v>
      </c>
    </row>
    <row r="57" spans="1:17" x14ac:dyDescent="0.25">
      <c r="A57" t="s">
        <v>180</v>
      </c>
      <c r="B57" s="50" t="s">
        <v>91</v>
      </c>
      <c r="C57" s="12"/>
      <c r="D57" s="22">
        <v>610000004644</v>
      </c>
      <c r="E57" s="22">
        <f>VLOOKUP(D57,'[1]Task list &amp; Maintenace plan'!$B:$G,6,FALSE)</f>
        <v>101078</v>
      </c>
      <c r="F57" s="23" t="s">
        <v>103</v>
      </c>
      <c r="G57" s="24" t="s">
        <v>68</v>
      </c>
      <c r="H57" s="24" t="s">
        <v>108</v>
      </c>
      <c r="I57" s="23">
        <v>60</v>
      </c>
      <c r="J57" s="23">
        <v>1</v>
      </c>
      <c r="K57" s="688"/>
      <c r="L57" s="688"/>
      <c r="M57" s="688"/>
      <c r="N57" s="691"/>
      <c r="O57" s="23"/>
      <c r="P57" s="25">
        <v>651</v>
      </c>
      <c r="Q57" s="25" t="s">
        <v>19</v>
      </c>
    </row>
    <row r="58" spans="1:17" x14ac:dyDescent="0.25">
      <c r="A58" t="s">
        <v>180</v>
      </c>
      <c r="B58" s="50" t="s">
        <v>91</v>
      </c>
      <c r="C58" s="12"/>
      <c r="D58" s="57">
        <v>610000004645</v>
      </c>
      <c r="E58" s="57">
        <f>VLOOKUP(D58,'[1]Task list &amp; Maintenace plan'!$B:$G,6,FALSE)</f>
        <v>101079</v>
      </c>
      <c r="F58" s="58" t="s">
        <v>109</v>
      </c>
      <c r="G58" s="59" t="s">
        <v>57</v>
      </c>
      <c r="H58" s="59" t="s">
        <v>110</v>
      </c>
      <c r="I58" s="58">
        <v>90</v>
      </c>
      <c r="J58" s="58">
        <v>1</v>
      </c>
      <c r="K58" s="686">
        <v>30</v>
      </c>
      <c r="L58" s="686">
        <v>1</v>
      </c>
      <c r="M58" s="686">
        <f>L58*K58</f>
        <v>30</v>
      </c>
      <c r="N58" s="689" t="s">
        <v>20</v>
      </c>
      <c r="O58" s="58"/>
      <c r="P58" s="60">
        <v>651</v>
      </c>
      <c r="Q58" s="60" t="s">
        <v>19</v>
      </c>
    </row>
    <row r="59" spans="1:17" x14ac:dyDescent="0.25">
      <c r="A59" t="s">
        <v>180</v>
      </c>
      <c r="B59" s="50" t="s">
        <v>91</v>
      </c>
      <c r="C59" s="12"/>
      <c r="D59" s="38">
        <v>610000004645</v>
      </c>
      <c r="E59" s="38">
        <f>VLOOKUP(D59,'[1]Task list &amp; Maintenace plan'!$B:$G,6,FALSE)</f>
        <v>101079</v>
      </c>
      <c r="F59" s="39" t="s">
        <v>109</v>
      </c>
      <c r="G59" s="40" t="s">
        <v>61</v>
      </c>
      <c r="H59" s="40" t="s">
        <v>111</v>
      </c>
      <c r="I59" s="39">
        <v>90</v>
      </c>
      <c r="J59" s="39">
        <v>1</v>
      </c>
      <c r="K59" s="687"/>
      <c r="L59" s="687"/>
      <c r="M59" s="687"/>
      <c r="N59" s="690"/>
      <c r="O59" s="39"/>
      <c r="P59" s="41">
        <v>651</v>
      </c>
      <c r="Q59" s="41" t="s">
        <v>19</v>
      </c>
    </row>
    <row r="60" spans="1:17" x14ac:dyDescent="0.25">
      <c r="A60" t="s">
        <v>180</v>
      </c>
      <c r="B60" s="50" t="s">
        <v>91</v>
      </c>
      <c r="C60" s="12"/>
      <c r="D60" s="38">
        <v>610000004645</v>
      </c>
      <c r="E60" s="38">
        <f>VLOOKUP(D60,'[1]Task list &amp; Maintenace plan'!$B:$G,6,FALSE)</f>
        <v>101079</v>
      </c>
      <c r="F60" s="39" t="s">
        <v>109</v>
      </c>
      <c r="G60" s="40" t="s">
        <v>63</v>
      </c>
      <c r="H60" s="40" t="s">
        <v>112</v>
      </c>
      <c r="I60" s="39">
        <v>90</v>
      </c>
      <c r="J60" s="39">
        <v>1</v>
      </c>
      <c r="K60" s="687"/>
      <c r="L60" s="687"/>
      <c r="M60" s="687"/>
      <c r="N60" s="690"/>
      <c r="O60" s="39"/>
      <c r="P60" s="41">
        <v>651</v>
      </c>
      <c r="Q60" s="41" t="s">
        <v>19</v>
      </c>
    </row>
    <row r="61" spans="1:17" x14ac:dyDescent="0.25">
      <c r="A61" t="s">
        <v>180</v>
      </c>
      <c r="B61" s="50" t="s">
        <v>91</v>
      </c>
      <c r="C61" s="12"/>
      <c r="D61" s="38">
        <v>610000004645</v>
      </c>
      <c r="E61" s="38">
        <f>VLOOKUP(D61,'[1]Task list &amp; Maintenace plan'!$B:$G,6,FALSE)</f>
        <v>101079</v>
      </c>
      <c r="F61" s="39" t="s">
        <v>109</v>
      </c>
      <c r="G61" s="40" t="s">
        <v>65</v>
      </c>
      <c r="H61" s="40" t="s">
        <v>113</v>
      </c>
      <c r="I61" s="39">
        <v>90</v>
      </c>
      <c r="J61" s="39">
        <v>1</v>
      </c>
      <c r="K61" s="687"/>
      <c r="L61" s="687"/>
      <c r="M61" s="687"/>
      <c r="N61" s="690"/>
      <c r="O61" s="39"/>
      <c r="P61" s="41">
        <v>651</v>
      </c>
      <c r="Q61" s="41" t="s">
        <v>19</v>
      </c>
    </row>
    <row r="62" spans="1:17" x14ac:dyDescent="0.25">
      <c r="A62" t="s">
        <v>180</v>
      </c>
      <c r="B62" s="50" t="s">
        <v>91</v>
      </c>
      <c r="C62" s="12"/>
      <c r="D62" s="38">
        <v>610000004645</v>
      </c>
      <c r="E62" s="38">
        <f>VLOOKUP(D62,'[1]Task list &amp; Maintenace plan'!$B:$G,6,FALSE)</f>
        <v>101079</v>
      </c>
      <c r="F62" s="39" t="s">
        <v>109</v>
      </c>
      <c r="G62" s="40" t="s">
        <v>68</v>
      </c>
      <c r="H62" s="40" t="s">
        <v>114</v>
      </c>
      <c r="I62" s="39">
        <v>90</v>
      </c>
      <c r="J62" s="39">
        <v>1</v>
      </c>
      <c r="K62" s="688"/>
      <c r="L62" s="688"/>
      <c r="M62" s="688"/>
      <c r="N62" s="691"/>
      <c r="O62" s="39"/>
      <c r="P62" s="41">
        <v>651</v>
      </c>
      <c r="Q62" s="41" t="s">
        <v>19</v>
      </c>
    </row>
    <row r="63" spans="1:17" x14ac:dyDescent="0.25">
      <c r="A63" t="s">
        <v>180</v>
      </c>
      <c r="B63" s="50" t="s">
        <v>91</v>
      </c>
      <c r="C63" s="12"/>
      <c r="D63" s="6">
        <v>610000004646</v>
      </c>
      <c r="E63" s="6">
        <f>VLOOKUP(D63,'[1]Task list &amp; Maintenace plan'!$B:$G,6,FALSE)</f>
        <v>101080</v>
      </c>
      <c r="F63" s="7" t="s">
        <v>115</v>
      </c>
      <c r="G63" s="8" t="s">
        <v>57</v>
      </c>
      <c r="H63" s="8" t="s">
        <v>116</v>
      </c>
      <c r="I63" s="7">
        <v>180</v>
      </c>
      <c r="J63" s="7">
        <v>1</v>
      </c>
      <c r="K63" s="7">
        <v>60</v>
      </c>
      <c r="L63" s="7">
        <v>1</v>
      </c>
      <c r="M63" s="7">
        <f>L63*K63</f>
        <v>60</v>
      </c>
      <c r="N63" s="10" t="s">
        <v>117</v>
      </c>
      <c r="O63" s="7"/>
      <c r="P63" s="9">
        <v>651</v>
      </c>
      <c r="Q63" s="9" t="s">
        <v>19</v>
      </c>
    </row>
    <row r="64" spans="1:17" x14ac:dyDescent="0.25">
      <c r="A64" t="s">
        <v>180</v>
      </c>
      <c r="B64" s="50" t="s">
        <v>91</v>
      </c>
      <c r="C64" s="12"/>
      <c r="D64" s="6">
        <v>357640</v>
      </c>
      <c r="E64" s="6">
        <f>VLOOKUP(D64,'[1]Task list &amp; Maintenace plan'!$B:$G,6,FALSE)</f>
        <v>2054</v>
      </c>
      <c r="F64" s="7" t="s">
        <v>118</v>
      </c>
      <c r="G64" s="8" t="s">
        <v>119</v>
      </c>
      <c r="H64" s="62" t="s">
        <v>120</v>
      </c>
      <c r="I64" s="7">
        <v>180</v>
      </c>
      <c r="J64" s="7">
        <v>1</v>
      </c>
      <c r="K64" s="63">
        <v>60</v>
      </c>
      <c r="L64" s="63">
        <v>1</v>
      </c>
      <c r="M64" s="63">
        <f>L64*K64</f>
        <v>60</v>
      </c>
      <c r="N64" s="64" t="s">
        <v>34</v>
      </c>
      <c r="O64" s="7"/>
      <c r="P64" s="9">
        <v>651</v>
      </c>
      <c r="Q64" s="9" t="s">
        <v>19</v>
      </c>
    </row>
    <row r="65" spans="1:17" ht="15.75" thickBot="1" x14ac:dyDescent="0.3">
      <c r="A65" t="s">
        <v>180</v>
      </c>
      <c r="B65" s="50" t="s">
        <v>91</v>
      </c>
      <c r="C65" s="27"/>
      <c r="D65" s="65">
        <v>356693</v>
      </c>
      <c r="E65" s="65">
        <f>VLOOKUP(D65,'[1]Task list &amp; Maintenace plan'!$B:$G,6,FALSE)</f>
        <v>1612</v>
      </c>
      <c r="F65" s="66" t="s">
        <v>121</v>
      </c>
      <c r="G65" s="67" t="s">
        <v>57</v>
      </c>
      <c r="H65" s="67" t="s">
        <v>122</v>
      </c>
      <c r="I65" s="66">
        <v>365</v>
      </c>
      <c r="J65" s="66">
        <v>1</v>
      </c>
      <c r="K65" s="66">
        <v>180</v>
      </c>
      <c r="L65" s="66">
        <v>1</v>
      </c>
      <c r="M65" s="66">
        <f>L65*K65</f>
        <v>180</v>
      </c>
      <c r="N65" s="69" t="s">
        <v>20</v>
      </c>
      <c r="O65" s="66"/>
      <c r="P65" s="68">
        <v>651</v>
      </c>
      <c r="Q65" s="68" t="s">
        <v>19</v>
      </c>
    </row>
    <row r="66" spans="1:17" x14ac:dyDescent="0.25">
      <c r="A66" t="s">
        <v>180</v>
      </c>
      <c r="B66" s="11" t="s">
        <v>123</v>
      </c>
      <c r="C66" s="12"/>
      <c r="D66" s="13">
        <v>610000004647</v>
      </c>
      <c r="E66" s="13">
        <f>VLOOKUP(D66,'[1]Task list &amp; Maintenace plan'!$B:$G,6,FALSE)</f>
        <v>101081</v>
      </c>
      <c r="F66" s="14" t="s">
        <v>125</v>
      </c>
      <c r="G66" s="15" t="s">
        <v>126</v>
      </c>
      <c r="H66" s="15" t="s">
        <v>127</v>
      </c>
      <c r="I66" s="14">
        <v>15</v>
      </c>
      <c r="J66" s="14"/>
      <c r="K66" s="694">
        <v>10</v>
      </c>
      <c r="L66" s="694">
        <v>1</v>
      </c>
      <c r="M66" s="694">
        <f>L66*K66</f>
        <v>10</v>
      </c>
      <c r="N66" s="695" t="s">
        <v>20</v>
      </c>
      <c r="O66" s="14"/>
      <c r="P66" s="16">
        <v>651</v>
      </c>
      <c r="Q66" s="16" t="s">
        <v>19</v>
      </c>
    </row>
    <row r="67" spans="1:17" x14ac:dyDescent="0.25">
      <c r="A67" t="s">
        <v>180</v>
      </c>
      <c r="B67" s="11" t="s">
        <v>123</v>
      </c>
      <c r="C67" s="37"/>
      <c r="D67" s="22">
        <v>610000004647</v>
      </c>
      <c r="E67" s="22">
        <f>VLOOKUP(D67,'[1]Task list &amp; Maintenace plan'!$B:$G,6,FALSE)</f>
        <v>101081</v>
      </c>
      <c r="F67" s="23" t="s">
        <v>125</v>
      </c>
      <c r="G67" s="24" t="s">
        <v>129</v>
      </c>
      <c r="H67" s="24" t="s">
        <v>130</v>
      </c>
      <c r="I67" s="23">
        <v>15</v>
      </c>
      <c r="J67" s="23"/>
      <c r="K67" s="688"/>
      <c r="L67" s="688"/>
      <c r="M67" s="688"/>
      <c r="N67" s="691"/>
      <c r="O67" s="23"/>
      <c r="P67" s="25">
        <v>651</v>
      </c>
      <c r="Q67" s="25" t="s">
        <v>19</v>
      </c>
    </row>
    <row r="68" spans="1:17" x14ac:dyDescent="0.25">
      <c r="A68" t="s">
        <v>180</v>
      </c>
      <c r="B68" s="11" t="s">
        <v>123</v>
      </c>
      <c r="C68" s="70"/>
      <c r="D68" s="33"/>
      <c r="E68" s="33"/>
      <c r="F68" s="34" t="s">
        <v>131</v>
      </c>
      <c r="G68" s="26" t="s">
        <v>132</v>
      </c>
      <c r="H68" s="26" t="s">
        <v>133</v>
      </c>
      <c r="I68" s="34">
        <v>15</v>
      </c>
      <c r="J68" s="34"/>
      <c r="K68" s="686">
        <v>10</v>
      </c>
      <c r="L68" s="686">
        <v>1</v>
      </c>
      <c r="M68" s="686">
        <f>L68*K68</f>
        <v>10</v>
      </c>
      <c r="N68" s="689" t="s">
        <v>20</v>
      </c>
      <c r="O68" s="34"/>
      <c r="P68" s="71">
        <v>653</v>
      </c>
      <c r="Q68" s="71" t="s">
        <v>134</v>
      </c>
    </row>
    <row r="69" spans="1:17" x14ac:dyDescent="0.25">
      <c r="A69" t="s">
        <v>180</v>
      </c>
      <c r="B69" s="11" t="s">
        <v>123</v>
      </c>
      <c r="C69" s="70"/>
      <c r="D69" s="17"/>
      <c r="E69" s="17"/>
      <c r="F69" s="18" t="s">
        <v>131</v>
      </c>
      <c r="G69" s="19" t="s">
        <v>135</v>
      </c>
      <c r="H69" s="19" t="s">
        <v>136</v>
      </c>
      <c r="I69" s="18">
        <v>15</v>
      </c>
      <c r="J69" s="18"/>
      <c r="K69" s="687"/>
      <c r="L69" s="687"/>
      <c r="M69" s="687"/>
      <c r="N69" s="690"/>
      <c r="O69" s="18"/>
      <c r="P69" s="72">
        <v>653</v>
      </c>
      <c r="Q69" s="72" t="s">
        <v>134</v>
      </c>
    </row>
    <row r="70" spans="1:17" x14ac:dyDescent="0.25">
      <c r="A70" t="s">
        <v>180</v>
      </c>
      <c r="B70" s="11" t="s">
        <v>123</v>
      </c>
      <c r="C70" s="37"/>
      <c r="D70" s="36"/>
      <c r="E70" s="36"/>
      <c r="F70" s="45" t="s">
        <v>131</v>
      </c>
      <c r="G70" s="46" t="s">
        <v>137</v>
      </c>
      <c r="H70" s="46" t="s">
        <v>138</v>
      </c>
      <c r="I70" s="45">
        <v>15</v>
      </c>
      <c r="J70" s="45"/>
      <c r="K70" s="688"/>
      <c r="L70" s="688"/>
      <c r="M70" s="688"/>
      <c r="N70" s="691"/>
      <c r="O70" s="45"/>
      <c r="P70" s="73">
        <v>653</v>
      </c>
      <c r="Q70" s="73" t="s">
        <v>134</v>
      </c>
    </row>
    <row r="71" spans="1:17" x14ac:dyDescent="0.25">
      <c r="A71" t="s">
        <v>180</v>
      </c>
      <c r="B71" s="11" t="s">
        <v>123</v>
      </c>
      <c r="C71" s="37"/>
      <c r="D71" s="33"/>
      <c r="E71" s="33"/>
      <c r="F71" s="34" t="s">
        <v>140</v>
      </c>
      <c r="G71" s="26" t="s">
        <v>141</v>
      </c>
      <c r="H71" s="26" t="s">
        <v>142</v>
      </c>
      <c r="I71" s="34">
        <v>15</v>
      </c>
      <c r="J71" s="34"/>
      <c r="K71" s="34">
        <v>5</v>
      </c>
      <c r="L71" s="34">
        <v>1</v>
      </c>
      <c r="M71" s="34">
        <f>L71*K71</f>
        <v>5</v>
      </c>
      <c r="N71" s="75" t="s">
        <v>20</v>
      </c>
      <c r="O71" s="34"/>
      <c r="P71" s="74">
        <v>652</v>
      </c>
      <c r="Q71" s="74" t="s">
        <v>76</v>
      </c>
    </row>
    <row r="72" spans="1:17" x14ac:dyDescent="0.25">
      <c r="A72" t="s">
        <v>180</v>
      </c>
      <c r="B72" s="11" t="s">
        <v>123</v>
      </c>
      <c r="C72" s="37"/>
      <c r="D72" s="22"/>
      <c r="E72" s="22"/>
      <c r="F72" s="23" t="s">
        <v>140</v>
      </c>
      <c r="G72" s="24" t="s">
        <v>143</v>
      </c>
      <c r="H72" s="24" t="s">
        <v>144</v>
      </c>
      <c r="I72" s="23">
        <v>15</v>
      </c>
      <c r="J72" s="23"/>
      <c r="K72" s="23">
        <v>5</v>
      </c>
      <c r="L72" s="23">
        <v>1</v>
      </c>
      <c r="M72" s="23">
        <f>L72*K72</f>
        <v>5</v>
      </c>
      <c r="N72" s="43" t="s">
        <v>20</v>
      </c>
      <c r="O72" s="23"/>
      <c r="P72" s="42">
        <v>652</v>
      </c>
      <c r="Q72" s="42" t="s">
        <v>76</v>
      </c>
    </row>
    <row r="73" spans="1:17" x14ac:dyDescent="0.25">
      <c r="A73" t="s">
        <v>180</v>
      </c>
      <c r="B73" s="11" t="s">
        <v>123</v>
      </c>
      <c r="C73" s="70"/>
      <c r="D73" s="33">
        <v>610000004648</v>
      </c>
      <c r="E73" s="33">
        <f>VLOOKUP(D73,'[1]Task list &amp; Maintenace plan'!$B:$G,6,FALSE)</f>
        <v>101082</v>
      </c>
      <c r="F73" s="34" t="s">
        <v>145</v>
      </c>
      <c r="G73" s="26" t="s">
        <v>126</v>
      </c>
      <c r="H73" s="76" t="s">
        <v>146</v>
      </c>
      <c r="I73" s="34">
        <v>30</v>
      </c>
      <c r="J73" s="34"/>
      <c r="K73" s="686">
        <v>5</v>
      </c>
      <c r="L73" s="686">
        <v>1</v>
      </c>
      <c r="M73" s="686">
        <f>L73*K73</f>
        <v>5</v>
      </c>
      <c r="N73" s="689" t="s">
        <v>20</v>
      </c>
      <c r="O73" s="34"/>
      <c r="P73" s="35">
        <v>651</v>
      </c>
      <c r="Q73" s="35" t="s">
        <v>19</v>
      </c>
    </row>
    <row r="74" spans="1:17" x14ac:dyDescent="0.25">
      <c r="A74" t="s">
        <v>180</v>
      </c>
      <c r="B74" s="11" t="s">
        <v>123</v>
      </c>
      <c r="C74" s="77"/>
      <c r="D74" s="22">
        <v>610000004648</v>
      </c>
      <c r="E74" s="22">
        <f>VLOOKUP(D74,'[1]Task list &amp; Maintenace plan'!$B:$G,6,FALSE)</f>
        <v>101082</v>
      </c>
      <c r="F74" s="23" t="s">
        <v>145</v>
      </c>
      <c r="G74" s="24" t="s">
        <v>129</v>
      </c>
      <c r="H74" s="78" t="s">
        <v>147</v>
      </c>
      <c r="I74" s="23">
        <v>30</v>
      </c>
      <c r="J74" s="23"/>
      <c r="K74" s="688"/>
      <c r="L74" s="688"/>
      <c r="M74" s="688"/>
      <c r="N74" s="691"/>
      <c r="O74" s="23"/>
      <c r="P74" s="25">
        <v>651</v>
      </c>
      <c r="Q74" s="25" t="s">
        <v>19</v>
      </c>
    </row>
    <row r="75" spans="1:17" x14ac:dyDescent="0.25">
      <c r="A75" t="s">
        <v>180</v>
      </c>
      <c r="B75" s="11" t="s">
        <v>123</v>
      </c>
      <c r="C75" s="37"/>
      <c r="D75" s="13">
        <v>610000004648</v>
      </c>
      <c r="E75" s="13">
        <f>VLOOKUP(D75,'[1]Task list &amp; Maintenace plan'!$B:$G,6,FALSE)</f>
        <v>101082</v>
      </c>
      <c r="F75" s="14" t="s">
        <v>148</v>
      </c>
      <c r="G75" s="15" t="s">
        <v>132</v>
      </c>
      <c r="H75" s="15" t="s">
        <v>149</v>
      </c>
      <c r="I75" s="14">
        <v>30</v>
      </c>
      <c r="J75" s="14"/>
      <c r="K75" s="687">
        <v>5</v>
      </c>
      <c r="L75" s="687">
        <v>1</v>
      </c>
      <c r="M75" s="687">
        <f>L75*K75</f>
        <v>5</v>
      </c>
      <c r="N75" s="690" t="s">
        <v>20</v>
      </c>
      <c r="O75" s="14"/>
      <c r="P75" s="79">
        <v>653</v>
      </c>
      <c r="Q75" s="79" t="s">
        <v>134</v>
      </c>
    </row>
    <row r="76" spans="1:17" x14ac:dyDescent="0.25">
      <c r="A76" t="s">
        <v>180</v>
      </c>
      <c r="B76" s="11" t="s">
        <v>123</v>
      </c>
      <c r="C76" s="12"/>
      <c r="D76" s="22">
        <v>610000004648</v>
      </c>
      <c r="E76" s="22">
        <f>VLOOKUP(D76,'[1]Task list &amp; Maintenace plan'!$B:$G,6,FALSE)</f>
        <v>101082</v>
      </c>
      <c r="F76" s="23" t="s">
        <v>148</v>
      </c>
      <c r="G76" s="24" t="s">
        <v>135</v>
      </c>
      <c r="H76" s="24" t="s">
        <v>150</v>
      </c>
      <c r="I76" s="23">
        <v>30</v>
      </c>
      <c r="J76" s="23"/>
      <c r="K76" s="688"/>
      <c r="L76" s="688"/>
      <c r="M76" s="688"/>
      <c r="N76" s="691"/>
      <c r="O76" s="23"/>
      <c r="P76" s="80">
        <v>653</v>
      </c>
      <c r="Q76" s="80" t="s">
        <v>134</v>
      </c>
    </row>
    <row r="77" spans="1:17" x14ac:dyDescent="0.25">
      <c r="A77" t="s">
        <v>180</v>
      </c>
      <c r="B77" s="11" t="s">
        <v>123</v>
      </c>
      <c r="C77" s="12"/>
      <c r="D77" s="6"/>
      <c r="E77" s="6"/>
      <c r="F77" s="7" t="s">
        <v>151</v>
      </c>
      <c r="G77" s="81" t="s">
        <v>143</v>
      </c>
      <c r="H77" s="81" t="s">
        <v>152</v>
      </c>
      <c r="I77" s="82">
        <v>30</v>
      </c>
      <c r="J77" s="45"/>
      <c r="K77" s="45">
        <v>2</v>
      </c>
      <c r="L77" s="45">
        <v>1</v>
      </c>
      <c r="M77" s="45">
        <f>L77*K77</f>
        <v>2</v>
      </c>
      <c r="N77" s="49" t="s">
        <v>20</v>
      </c>
      <c r="O77" s="82"/>
      <c r="P77" s="47">
        <v>652</v>
      </c>
      <c r="Q77" s="47" t="s">
        <v>76</v>
      </c>
    </row>
    <row r="78" spans="1:17" x14ac:dyDescent="0.25">
      <c r="A78" t="s">
        <v>180</v>
      </c>
      <c r="B78" s="11" t="s">
        <v>123</v>
      </c>
      <c r="C78" s="12"/>
      <c r="D78" s="33">
        <v>610000004649</v>
      </c>
      <c r="E78" s="33">
        <f>VLOOKUP(D78,'[1]Task list &amp; Maintenace plan'!$B:$G,6,FALSE)</f>
        <v>101083</v>
      </c>
      <c r="F78" s="34" t="s">
        <v>153</v>
      </c>
      <c r="G78" s="26" t="s">
        <v>126</v>
      </c>
      <c r="H78" s="76" t="s">
        <v>154</v>
      </c>
      <c r="I78" s="34">
        <v>60</v>
      </c>
      <c r="J78" s="34">
        <v>1</v>
      </c>
      <c r="K78" s="696">
        <v>20</v>
      </c>
      <c r="L78" s="696">
        <v>1</v>
      </c>
      <c r="M78" s="696">
        <f>L78*K78</f>
        <v>20</v>
      </c>
      <c r="N78" s="689" t="s">
        <v>34</v>
      </c>
      <c r="O78" s="34"/>
      <c r="P78" s="35">
        <v>651</v>
      </c>
      <c r="Q78" s="35" t="s">
        <v>19</v>
      </c>
    </row>
    <row r="79" spans="1:17" x14ac:dyDescent="0.25">
      <c r="A79" t="s">
        <v>180</v>
      </c>
      <c r="B79" s="11" t="s">
        <v>123</v>
      </c>
      <c r="C79" s="12"/>
      <c r="D79" s="22">
        <v>610000004649</v>
      </c>
      <c r="E79" s="22">
        <f>VLOOKUP(D79,'[1]Task list &amp; Maintenace plan'!$B:$G,6,FALSE)</f>
        <v>101083</v>
      </c>
      <c r="F79" s="23" t="s">
        <v>153</v>
      </c>
      <c r="G79" s="24" t="s">
        <v>129</v>
      </c>
      <c r="H79" s="78" t="s">
        <v>155</v>
      </c>
      <c r="I79" s="23">
        <v>60</v>
      </c>
      <c r="J79" s="23">
        <v>1</v>
      </c>
      <c r="K79" s="697"/>
      <c r="L79" s="697"/>
      <c r="M79" s="697"/>
      <c r="N79" s="691"/>
      <c r="O79" s="23"/>
      <c r="P79" s="25">
        <v>651</v>
      </c>
      <c r="Q79" s="25" t="s">
        <v>19</v>
      </c>
    </row>
    <row r="80" spans="1:17" x14ac:dyDescent="0.25">
      <c r="A80" t="s">
        <v>180</v>
      </c>
      <c r="B80" s="11" t="s">
        <v>123</v>
      </c>
      <c r="C80" s="12"/>
      <c r="D80" s="13">
        <v>610000004649</v>
      </c>
      <c r="E80" s="13">
        <f>VLOOKUP(D80,'[1]Task list &amp; Maintenace plan'!$B:$G,6,FALSE)</f>
        <v>101083</v>
      </c>
      <c r="F80" s="14" t="s">
        <v>156</v>
      </c>
      <c r="G80" s="15" t="s">
        <v>132</v>
      </c>
      <c r="H80" s="15" t="s">
        <v>157</v>
      </c>
      <c r="I80" s="14">
        <v>60</v>
      </c>
      <c r="J80" s="14">
        <v>1</v>
      </c>
      <c r="K80" s="686">
        <v>20</v>
      </c>
      <c r="L80" s="686">
        <v>1</v>
      </c>
      <c r="M80" s="686">
        <f>L80*K80</f>
        <v>20</v>
      </c>
      <c r="N80" s="686" t="s">
        <v>34</v>
      </c>
      <c r="O80" s="14"/>
      <c r="P80" s="79">
        <v>653</v>
      </c>
      <c r="Q80" s="79" t="s">
        <v>134</v>
      </c>
    </row>
    <row r="81" spans="1:17" x14ac:dyDescent="0.25">
      <c r="A81" t="s">
        <v>180</v>
      </c>
      <c r="B81" s="11" t="s">
        <v>123</v>
      </c>
      <c r="C81" s="12"/>
      <c r="D81" s="17">
        <v>610000004649</v>
      </c>
      <c r="E81" s="17">
        <f>VLOOKUP(D81,'[1]Task list &amp; Maintenace plan'!$B:$G,6,FALSE)</f>
        <v>101083</v>
      </c>
      <c r="F81" s="18" t="s">
        <v>156</v>
      </c>
      <c r="G81" s="19" t="s">
        <v>135</v>
      </c>
      <c r="H81" s="19" t="s">
        <v>158</v>
      </c>
      <c r="I81" s="18">
        <v>60</v>
      </c>
      <c r="J81" s="18">
        <v>1</v>
      </c>
      <c r="K81" s="687"/>
      <c r="L81" s="687"/>
      <c r="M81" s="687"/>
      <c r="N81" s="687"/>
      <c r="O81" s="18"/>
      <c r="P81" s="72">
        <v>653</v>
      </c>
      <c r="Q81" s="72" t="s">
        <v>134</v>
      </c>
    </row>
    <row r="82" spans="1:17" x14ac:dyDescent="0.25">
      <c r="A82" t="s">
        <v>180</v>
      </c>
      <c r="B82" s="11" t="s">
        <v>123</v>
      </c>
      <c r="C82" s="12"/>
      <c r="D82" s="38">
        <v>610000004649</v>
      </c>
      <c r="E82" s="38">
        <f>VLOOKUP(D82,'[1]Task list &amp; Maintenace plan'!$B:$G,6,FALSE)</f>
        <v>101083</v>
      </c>
      <c r="F82" s="39" t="s">
        <v>156</v>
      </c>
      <c r="G82" s="40" t="s">
        <v>139</v>
      </c>
      <c r="H82" s="40" t="s">
        <v>159</v>
      </c>
      <c r="I82" s="39">
        <v>60</v>
      </c>
      <c r="J82" s="39">
        <v>1</v>
      </c>
      <c r="K82" s="688"/>
      <c r="L82" s="688"/>
      <c r="M82" s="688"/>
      <c r="N82" s="688"/>
      <c r="O82" s="39"/>
      <c r="P82" s="83">
        <v>653</v>
      </c>
      <c r="Q82" s="83" t="s">
        <v>134</v>
      </c>
    </row>
    <row r="83" spans="1:17" x14ac:dyDescent="0.25">
      <c r="A83" t="s">
        <v>180</v>
      </c>
      <c r="B83" s="11" t="s">
        <v>123</v>
      </c>
      <c r="C83" s="12"/>
      <c r="D83" s="33"/>
      <c r="E83" s="33"/>
      <c r="F83" s="34" t="s">
        <v>160</v>
      </c>
      <c r="G83" s="26" t="s">
        <v>141</v>
      </c>
      <c r="H83" s="26" t="s">
        <v>161</v>
      </c>
      <c r="I83" s="34"/>
      <c r="J83" s="34">
        <v>1</v>
      </c>
      <c r="K83" s="686">
        <v>20</v>
      </c>
      <c r="L83" s="686">
        <v>1</v>
      </c>
      <c r="M83" s="686">
        <f>L83*K83</f>
        <v>20</v>
      </c>
      <c r="N83" s="689" t="s">
        <v>34</v>
      </c>
      <c r="O83" s="34"/>
      <c r="P83" s="42">
        <v>652</v>
      </c>
      <c r="Q83" s="42" t="s">
        <v>76</v>
      </c>
    </row>
    <row r="84" spans="1:17" x14ac:dyDescent="0.25">
      <c r="A84" t="s">
        <v>180</v>
      </c>
      <c r="B84" s="11" t="s">
        <v>123</v>
      </c>
      <c r="C84" s="12"/>
      <c r="D84" s="22"/>
      <c r="E84" s="22"/>
      <c r="F84" s="23" t="s">
        <v>160</v>
      </c>
      <c r="G84" s="84" t="s">
        <v>143</v>
      </c>
      <c r="H84" s="84" t="s">
        <v>162</v>
      </c>
      <c r="I84" s="85">
        <v>60</v>
      </c>
      <c r="J84" s="23">
        <v>1</v>
      </c>
      <c r="K84" s="688"/>
      <c r="L84" s="688"/>
      <c r="M84" s="688"/>
      <c r="N84" s="691"/>
      <c r="O84" s="23"/>
      <c r="P84" s="42">
        <v>652</v>
      </c>
      <c r="Q84" s="42" t="s">
        <v>76</v>
      </c>
    </row>
    <row r="85" spans="1:17" x14ac:dyDescent="0.25">
      <c r="A85" t="s">
        <v>180</v>
      </c>
      <c r="B85" s="11" t="s">
        <v>123</v>
      </c>
      <c r="C85" s="12"/>
      <c r="D85" s="33">
        <v>610000004650</v>
      </c>
      <c r="E85" s="33">
        <f>VLOOKUP(D85,'[1]Task list &amp; Maintenace plan'!$B:$G,6,FALSE)</f>
        <v>101084</v>
      </c>
      <c r="F85" s="34" t="s">
        <v>163</v>
      </c>
      <c r="G85" s="26" t="s">
        <v>126</v>
      </c>
      <c r="H85" s="26" t="s">
        <v>164</v>
      </c>
      <c r="I85" s="34">
        <v>90</v>
      </c>
      <c r="J85" s="34">
        <v>1</v>
      </c>
      <c r="K85" s="686">
        <v>20</v>
      </c>
      <c r="L85" s="686">
        <v>1</v>
      </c>
      <c r="M85" s="686">
        <f>L85*K85</f>
        <v>20</v>
      </c>
      <c r="N85" s="689" t="s">
        <v>20</v>
      </c>
      <c r="O85" s="34"/>
      <c r="P85" s="35">
        <v>651</v>
      </c>
      <c r="Q85" s="35" t="s">
        <v>19</v>
      </c>
    </row>
    <row r="86" spans="1:17" x14ac:dyDescent="0.25">
      <c r="A86" t="s">
        <v>180</v>
      </c>
      <c r="B86" s="11" t="s">
        <v>123</v>
      </c>
      <c r="C86" s="12"/>
      <c r="D86" s="22">
        <v>610000004650</v>
      </c>
      <c r="E86" s="22">
        <f>VLOOKUP(D86,'[1]Task list &amp; Maintenace plan'!$B:$G,6,FALSE)</f>
        <v>101084</v>
      </c>
      <c r="F86" s="23" t="s">
        <v>163</v>
      </c>
      <c r="G86" s="24" t="s">
        <v>129</v>
      </c>
      <c r="H86" s="24" t="s">
        <v>165</v>
      </c>
      <c r="I86" s="23">
        <v>90</v>
      </c>
      <c r="J86" s="23">
        <v>1</v>
      </c>
      <c r="K86" s="688"/>
      <c r="L86" s="688"/>
      <c r="M86" s="688"/>
      <c r="N86" s="691"/>
      <c r="O86" s="23"/>
      <c r="P86" s="25">
        <v>651</v>
      </c>
      <c r="Q86" s="25" t="s">
        <v>19</v>
      </c>
    </row>
    <row r="87" spans="1:17" x14ac:dyDescent="0.25">
      <c r="A87" t="s">
        <v>180</v>
      </c>
      <c r="B87" s="11" t="s">
        <v>123</v>
      </c>
      <c r="C87" s="12"/>
      <c r="D87" s="13">
        <v>610000004650</v>
      </c>
      <c r="E87" s="13">
        <f>VLOOKUP(D87,'[1]Task list &amp; Maintenace plan'!$B:$G,6,FALSE)</f>
        <v>101084</v>
      </c>
      <c r="F87" s="14" t="s">
        <v>166</v>
      </c>
      <c r="G87" s="15" t="s">
        <v>132</v>
      </c>
      <c r="H87" s="15" t="s">
        <v>167</v>
      </c>
      <c r="I87" s="14">
        <v>90</v>
      </c>
      <c r="J87" s="14">
        <v>1</v>
      </c>
      <c r="K87" s="686">
        <v>20</v>
      </c>
      <c r="L87" s="686">
        <v>1</v>
      </c>
      <c r="M87" s="686">
        <f>L87*K87</f>
        <v>20</v>
      </c>
      <c r="N87" s="689" t="s">
        <v>20</v>
      </c>
      <c r="O87" s="14"/>
      <c r="P87" s="79">
        <v>653</v>
      </c>
      <c r="Q87" s="79" t="s">
        <v>134</v>
      </c>
    </row>
    <row r="88" spans="1:17" x14ac:dyDescent="0.25">
      <c r="A88" t="s">
        <v>180</v>
      </c>
      <c r="B88" s="11" t="s">
        <v>123</v>
      </c>
      <c r="C88" s="12"/>
      <c r="D88" s="17">
        <v>610000004650</v>
      </c>
      <c r="E88" s="17">
        <f>VLOOKUP(D88,'[1]Task list &amp; Maintenace plan'!$B:$G,6,FALSE)</f>
        <v>101084</v>
      </c>
      <c r="F88" s="18" t="s">
        <v>166</v>
      </c>
      <c r="G88" s="19" t="s">
        <v>135</v>
      </c>
      <c r="H88" s="19" t="s">
        <v>168</v>
      </c>
      <c r="I88" s="18">
        <v>90</v>
      </c>
      <c r="J88" s="18">
        <v>1</v>
      </c>
      <c r="K88" s="687"/>
      <c r="L88" s="687"/>
      <c r="M88" s="687"/>
      <c r="N88" s="690"/>
      <c r="O88" s="18"/>
      <c r="P88" s="72">
        <v>653</v>
      </c>
      <c r="Q88" s="72" t="s">
        <v>134</v>
      </c>
    </row>
    <row r="89" spans="1:17" x14ac:dyDescent="0.25">
      <c r="A89" t="s">
        <v>180</v>
      </c>
      <c r="B89" s="11" t="s">
        <v>123</v>
      </c>
      <c r="C89" s="12"/>
      <c r="D89" s="22">
        <v>610000004650</v>
      </c>
      <c r="E89" s="22">
        <f>VLOOKUP(D89,'[1]Task list &amp; Maintenace plan'!$B:$G,6,FALSE)</f>
        <v>101084</v>
      </c>
      <c r="F89" s="23" t="s">
        <v>166</v>
      </c>
      <c r="G89" s="24" t="s">
        <v>169</v>
      </c>
      <c r="H89" s="24" t="s">
        <v>170</v>
      </c>
      <c r="I89" s="23">
        <v>90</v>
      </c>
      <c r="J89" s="23">
        <v>1</v>
      </c>
      <c r="K89" s="688"/>
      <c r="L89" s="688"/>
      <c r="M89" s="688"/>
      <c r="N89" s="691"/>
      <c r="O89" s="23"/>
      <c r="P89" s="80">
        <v>653</v>
      </c>
      <c r="Q89" s="80" t="s">
        <v>134</v>
      </c>
    </row>
    <row r="90" spans="1:17" x14ac:dyDescent="0.25">
      <c r="A90" t="s">
        <v>180</v>
      </c>
      <c r="B90" s="11" t="s">
        <v>123</v>
      </c>
      <c r="C90" s="12"/>
      <c r="D90" s="13">
        <v>610000004650</v>
      </c>
      <c r="E90" s="13">
        <f>VLOOKUP(D90,'[1]Task list &amp; Maintenace plan'!$B:$G,6,FALSE)</f>
        <v>101084</v>
      </c>
      <c r="F90" s="14" t="s">
        <v>171</v>
      </c>
      <c r="G90" s="15" t="s">
        <v>141</v>
      </c>
      <c r="H90" s="15" t="s">
        <v>172</v>
      </c>
      <c r="I90" s="14">
        <v>90</v>
      </c>
      <c r="J90" s="14">
        <v>1</v>
      </c>
      <c r="K90" s="687">
        <v>20</v>
      </c>
      <c r="L90" s="687">
        <v>1</v>
      </c>
      <c r="M90" s="687">
        <f>L90*K90</f>
        <v>20</v>
      </c>
      <c r="N90" s="690" t="s">
        <v>20</v>
      </c>
      <c r="O90" s="14"/>
      <c r="P90" s="42">
        <v>652</v>
      </c>
      <c r="Q90" s="42" t="s">
        <v>76</v>
      </c>
    </row>
    <row r="91" spans="1:17" ht="15.75" thickBot="1" x14ac:dyDescent="0.3">
      <c r="A91" t="s">
        <v>180</v>
      </c>
      <c r="B91" s="11" t="s">
        <v>123</v>
      </c>
      <c r="C91" s="27"/>
      <c r="D91" s="28">
        <v>610000004650</v>
      </c>
      <c r="E91" s="28">
        <f>VLOOKUP(D91,'[1]Task list &amp; Maintenace plan'!$B:$G,6,FALSE)</f>
        <v>101084</v>
      </c>
      <c r="F91" s="29" t="s">
        <v>171</v>
      </c>
      <c r="G91" s="30" t="s">
        <v>143</v>
      </c>
      <c r="H91" s="30" t="s">
        <v>173</v>
      </c>
      <c r="I91" s="29">
        <v>90</v>
      </c>
      <c r="J91" s="29">
        <v>1</v>
      </c>
      <c r="K91" s="692"/>
      <c r="L91" s="692"/>
      <c r="M91" s="692"/>
      <c r="N91" s="693"/>
      <c r="O91" s="29"/>
      <c r="P91" s="86">
        <v>652</v>
      </c>
      <c r="Q91" s="86" t="s">
        <v>76</v>
      </c>
    </row>
    <row r="92" spans="1:17" x14ac:dyDescent="0.25">
      <c r="A92" t="s">
        <v>180</v>
      </c>
      <c r="B92" s="87" t="s">
        <v>174</v>
      </c>
      <c r="C92" s="698"/>
      <c r="D92" s="88"/>
      <c r="E92" s="89"/>
      <c r="F92" s="90" t="s">
        <v>176</v>
      </c>
      <c r="G92" s="91" t="s">
        <v>175</v>
      </c>
      <c r="H92" s="92" t="s">
        <v>177</v>
      </c>
      <c r="I92" s="90">
        <v>60</v>
      </c>
      <c r="J92" s="90">
        <v>1</v>
      </c>
      <c r="K92" s="700">
        <v>20</v>
      </c>
      <c r="L92" s="700">
        <v>1</v>
      </c>
      <c r="M92" s="700">
        <f>L92*K92</f>
        <v>20</v>
      </c>
      <c r="N92" s="702" t="s">
        <v>20</v>
      </c>
      <c r="O92" s="90"/>
      <c r="P92" s="93">
        <v>652</v>
      </c>
      <c r="Q92" s="93" t="s">
        <v>76</v>
      </c>
    </row>
    <row r="93" spans="1:17" ht="15.75" thickBot="1" x14ac:dyDescent="0.3">
      <c r="A93" t="s">
        <v>180</v>
      </c>
      <c r="B93" s="87" t="s">
        <v>174</v>
      </c>
      <c r="C93" s="699"/>
      <c r="D93" s="94"/>
      <c r="E93" s="95"/>
      <c r="F93" s="96" t="s">
        <v>176</v>
      </c>
      <c r="G93" s="97" t="s">
        <v>175</v>
      </c>
      <c r="H93" s="98" t="s">
        <v>178</v>
      </c>
      <c r="I93" s="96">
        <v>60</v>
      </c>
      <c r="J93" s="96">
        <v>1</v>
      </c>
      <c r="K93" s="701"/>
      <c r="L93" s="701"/>
      <c r="M93" s="701"/>
      <c r="N93" s="703"/>
      <c r="O93" s="96"/>
      <c r="P93" s="42">
        <v>652</v>
      </c>
      <c r="Q93" s="42" t="s">
        <v>76</v>
      </c>
    </row>
    <row r="94" spans="1:17" x14ac:dyDescent="0.25">
      <c r="A94" t="s">
        <v>180</v>
      </c>
      <c r="B94" s="4" t="s">
        <v>181</v>
      </c>
      <c r="C94" s="12"/>
      <c r="D94" s="100">
        <v>610000004838</v>
      </c>
      <c r="E94" s="6">
        <f>VLOOKUP(D94,'[1]Task list &amp; Maintenace plan'!$B:$G,6,FALSE)</f>
        <v>101272</v>
      </c>
      <c r="F94" s="101" t="s">
        <v>183</v>
      </c>
      <c r="G94" s="102" t="s">
        <v>182</v>
      </c>
      <c r="H94" s="102" t="s">
        <v>184</v>
      </c>
      <c r="I94" s="101">
        <v>30</v>
      </c>
      <c r="J94" s="101">
        <v>1</v>
      </c>
      <c r="K94" s="710">
        <v>30</v>
      </c>
      <c r="L94" s="710">
        <v>1</v>
      </c>
      <c r="M94" s="710">
        <f>L94*K94</f>
        <v>30</v>
      </c>
      <c r="N94" s="712" t="s">
        <v>34</v>
      </c>
    </row>
    <row r="95" spans="1:17" x14ac:dyDescent="0.25">
      <c r="A95" t="s">
        <v>180</v>
      </c>
      <c r="B95" s="4" t="s">
        <v>181</v>
      </c>
      <c r="C95" s="12"/>
      <c r="D95" s="103">
        <v>610000004838</v>
      </c>
      <c r="E95" s="103">
        <f>VLOOKUP(D95,'[1]Task list &amp; Maintenace plan'!$B:$G,6,FALSE)</f>
        <v>101272</v>
      </c>
      <c r="F95" s="85" t="s">
        <v>183</v>
      </c>
      <c r="G95" s="84" t="s">
        <v>185</v>
      </c>
      <c r="H95" s="84" t="s">
        <v>186</v>
      </c>
      <c r="I95" s="85">
        <v>30</v>
      </c>
      <c r="J95" s="85">
        <v>1</v>
      </c>
      <c r="K95" s="706"/>
      <c r="L95" s="706"/>
      <c r="M95" s="706"/>
      <c r="N95" s="709"/>
    </row>
    <row r="96" spans="1:17" x14ac:dyDescent="0.25">
      <c r="A96" t="s">
        <v>180</v>
      </c>
      <c r="B96" s="4" t="s">
        <v>181</v>
      </c>
      <c r="C96" s="12"/>
      <c r="D96" s="104">
        <v>610000004839</v>
      </c>
      <c r="E96" s="104">
        <f>VLOOKUP(D96,'[1]Task list &amp; Maintenace plan'!$B:$G,6,FALSE)</f>
        <v>101273</v>
      </c>
      <c r="F96" s="105" t="s">
        <v>188</v>
      </c>
      <c r="G96" s="106" t="s">
        <v>182</v>
      </c>
      <c r="H96" s="107" t="s">
        <v>189</v>
      </c>
      <c r="I96" s="105">
        <v>30</v>
      </c>
      <c r="J96" s="105"/>
      <c r="K96" s="710">
        <v>5</v>
      </c>
      <c r="L96" s="710">
        <v>1</v>
      </c>
      <c r="M96" s="710">
        <f>L96*K96</f>
        <v>5</v>
      </c>
      <c r="N96" s="712" t="s">
        <v>20</v>
      </c>
    </row>
    <row r="97" spans="1:14" x14ac:dyDescent="0.25">
      <c r="A97" t="s">
        <v>180</v>
      </c>
      <c r="B97" s="4" t="s">
        <v>181</v>
      </c>
      <c r="C97" s="12"/>
      <c r="D97" s="104">
        <v>610000004839</v>
      </c>
      <c r="E97" s="104">
        <f>VLOOKUP(D97,'[1]Task list &amp; Maintenace plan'!$B:$G,6,FALSE)</f>
        <v>101273</v>
      </c>
      <c r="F97" s="105" t="s">
        <v>188</v>
      </c>
      <c r="G97" s="106" t="s">
        <v>185</v>
      </c>
      <c r="H97" s="107" t="s">
        <v>191</v>
      </c>
      <c r="I97" s="105">
        <v>30</v>
      </c>
      <c r="J97" s="105"/>
      <c r="K97" s="705"/>
      <c r="L97" s="705"/>
      <c r="M97" s="705"/>
      <c r="N97" s="708"/>
    </row>
    <row r="98" spans="1:14" x14ac:dyDescent="0.25">
      <c r="A98" t="s">
        <v>180</v>
      </c>
      <c r="B98" s="4" t="s">
        <v>181</v>
      </c>
      <c r="C98" s="12"/>
      <c r="D98" s="104">
        <v>610000004839</v>
      </c>
      <c r="E98" s="104">
        <f>VLOOKUP(D98,'[1]Task list &amp; Maintenace plan'!$B:$G,6,FALSE)</f>
        <v>101273</v>
      </c>
      <c r="F98" s="105" t="s">
        <v>188</v>
      </c>
      <c r="G98" s="106" t="s">
        <v>187</v>
      </c>
      <c r="H98" s="107" t="s">
        <v>192</v>
      </c>
      <c r="I98" s="105">
        <v>30</v>
      </c>
      <c r="J98" s="105"/>
      <c r="K98" s="705"/>
      <c r="L98" s="705"/>
      <c r="M98" s="705"/>
      <c r="N98" s="708"/>
    </row>
    <row r="99" spans="1:14" x14ac:dyDescent="0.25">
      <c r="A99" t="s">
        <v>180</v>
      </c>
      <c r="B99" s="4" t="s">
        <v>181</v>
      </c>
      <c r="C99" s="12"/>
      <c r="D99" s="17">
        <v>610000004839</v>
      </c>
      <c r="E99" s="17">
        <f>VLOOKUP(D99,'[1]Task list &amp; Maintenace plan'!$B:$G,6,FALSE)</f>
        <v>101273</v>
      </c>
      <c r="F99" s="18" t="s">
        <v>188</v>
      </c>
      <c r="G99" s="19" t="s">
        <v>190</v>
      </c>
      <c r="H99" s="19" t="s">
        <v>193</v>
      </c>
      <c r="I99" s="18">
        <v>30</v>
      </c>
      <c r="J99" s="18"/>
      <c r="K99" s="711"/>
      <c r="L99" s="711"/>
      <c r="M99" s="711"/>
      <c r="N99" s="713"/>
    </row>
    <row r="100" spans="1:14" x14ac:dyDescent="0.25">
      <c r="A100" t="s">
        <v>180</v>
      </c>
      <c r="B100" s="4" t="s">
        <v>181</v>
      </c>
      <c r="C100" s="12"/>
      <c r="D100" s="17">
        <v>610000004839</v>
      </c>
      <c r="E100" s="17">
        <f>VLOOKUP(D100,'[1]Task list &amp; Maintenace plan'!$B:$G,6,FALSE)</f>
        <v>101273</v>
      </c>
      <c r="F100" s="18" t="s">
        <v>188</v>
      </c>
      <c r="G100" s="19" t="s">
        <v>194</v>
      </c>
      <c r="H100" s="108" t="s">
        <v>195</v>
      </c>
      <c r="I100" s="18">
        <v>30</v>
      </c>
      <c r="J100" s="18"/>
      <c r="K100" s="109"/>
      <c r="L100" s="109"/>
      <c r="M100" s="109"/>
      <c r="N100" s="110"/>
    </row>
    <row r="101" spans="1:14" x14ac:dyDescent="0.25">
      <c r="A101" t="s">
        <v>180</v>
      </c>
      <c r="B101" s="4" t="s">
        <v>181</v>
      </c>
      <c r="C101" s="12"/>
      <c r="D101" s="17">
        <v>610000004839</v>
      </c>
      <c r="E101" s="17">
        <f>VLOOKUP(D101,'[1]Task list &amp; Maintenace plan'!$B:$G,6,FALSE)</f>
        <v>101273</v>
      </c>
      <c r="F101" s="18" t="s">
        <v>188</v>
      </c>
      <c r="G101" s="19" t="s">
        <v>196</v>
      </c>
      <c r="H101" s="108" t="s">
        <v>197</v>
      </c>
      <c r="I101" s="18">
        <v>30</v>
      </c>
      <c r="J101" s="18"/>
      <c r="K101" s="109"/>
      <c r="L101" s="109"/>
      <c r="M101" s="109"/>
      <c r="N101" s="110"/>
    </row>
    <row r="102" spans="1:14" x14ac:dyDescent="0.25">
      <c r="A102" t="s">
        <v>180</v>
      </c>
      <c r="B102" s="4" t="s">
        <v>181</v>
      </c>
      <c r="C102" s="12"/>
      <c r="D102" s="17">
        <v>610000004839</v>
      </c>
      <c r="E102" s="17">
        <f>VLOOKUP(D102,'[1]Task list &amp; Maintenace plan'!$B:$G,6,FALSE)</f>
        <v>101273</v>
      </c>
      <c r="F102" s="18" t="s">
        <v>188</v>
      </c>
      <c r="G102" s="19" t="s">
        <v>198</v>
      </c>
      <c r="H102" s="108" t="s">
        <v>199</v>
      </c>
      <c r="I102" s="18">
        <v>30</v>
      </c>
      <c r="J102" s="18"/>
      <c r="K102" s="109"/>
      <c r="L102" s="109"/>
      <c r="M102" s="109"/>
      <c r="N102" s="110"/>
    </row>
    <row r="103" spans="1:14" x14ac:dyDescent="0.25">
      <c r="A103" t="s">
        <v>180</v>
      </c>
      <c r="B103" s="4" t="s">
        <v>181</v>
      </c>
      <c r="C103" s="12"/>
      <c r="D103" s="17">
        <v>610000004839</v>
      </c>
      <c r="E103" s="17">
        <f>VLOOKUP(D103,'[1]Task list &amp; Maintenace plan'!$B:$G,6,FALSE)</f>
        <v>101273</v>
      </c>
      <c r="F103" s="18" t="s">
        <v>188</v>
      </c>
      <c r="G103" s="19" t="s">
        <v>200</v>
      </c>
      <c r="H103" s="108" t="s">
        <v>199</v>
      </c>
      <c r="I103" s="18">
        <v>30</v>
      </c>
      <c r="J103" s="18"/>
      <c r="K103" s="109"/>
      <c r="L103" s="109"/>
      <c r="M103" s="109"/>
      <c r="N103" s="110"/>
    </row>
    <row r="104" spans="1:14" x14ac:dyDescent="0.25">
      <c r="A104" t="s">
        <v>180</v>
      </c>
      <c r="B104" s="4" t="s">
        <v>181</v>
      </c>
      <c r="C104" s="12"/>
      <c r="D104" s="22">
        <v>610000004839</v>
      </c>
      <c r="E104" s="22">
        <f>VLOOKUP(D104,'[1]Task list &amp; Maintenace plan'!$B:$G,6,FALSE)</f>
        <v>101273</v>
      </c>
      <c r="F104" s="23" t="s">
        <v>188</v>
      </c>
      <c r="G104" s="24" t="s">
        <v>201</v>
      </c>
      <c r="H104" s="111" t="s">
        <v>202</v>
      </c>
      <c r="I104" s="23">
        <v>30</v>
      </c>
      <c r="J104" s="23"/>
      <c r="K104" s="112"/>
      <c r="L104" s="112"/>
      <c r="M104" s="112"/>
      <c r="N104" s="113"/>
    </row>
    <row r="105" spans="1:14" x14ac:dyDescent="0.25">
      <c r="A105" t="s">
        <v>180</v>
      </c>
      <c r="B105" s="4" t="s">
        <v>181</v>
      </c>
      <c r="C105" s="12"/>
      <c r="D105" s="104">
        <v>610000004840</v>
      </c>
      <c r="E105" s="104">
        <f>VLOOKUP(D105,'[1]Task list &amp; Maintenace plan'!$B:$G,6,FALSE)</f>
        <v>101274</v>
      </c>
      <c r="F105" s="105" t="s">
        <v>203</v>
      </c>
      <c r="G105" s="106" t="s">
        <v>182</v>
      </c>
      <c r="H105" s="106" t="s">
        <v>204</v>
      </c>
      <c r="I105" s="105">
        <v>60</v>
      </c>
      <c r="J105" s="105">
        <v>1</v>
      </c>
      <c r="K105" s="710">
        <v>30</v>
      </c>
      <c r="L105" s="710">
        <v>1</v>
      </c>
      <c r="M105" s="710">
        <f>L105*K105</f>
        <v>30</v>
      </c>
      <c r="N105" s="712" t="s">
        <v>34</v>
      </c>
    </row>
    <row r="106" spans="1:14" x14ac:dyDescent="0.25">
      <c r="A106" t="s">
        <v>180</v>
      </c>
      <c r="B106" s="4" t="s">
        <v>181</v>
      </c>
      <c r="C106" s="12"/>
      <c r="D106" s="104">
        <v>610000004840</v>
      </c>
      <c r="E106" s="104">
        <f>VLOOKUP(D106,'[1]Task list &amp; Maintenace plan'!$B:$G,6,FALSE)</f>
        <v>101274</v>
      </c>
      <c r="F106" s="105" t="s">
        <v>203</v>
      </c>
      <c r="G106" s="106" t="s">
        <v>185</v>
      </c>
      <c r="H106" s="106" t="s">
        <v>205</v>
      </c>
      <c r="I106" s="105">
        <v>60</v>
      </c>
      <c r="J106" s="105">
        <v>1</v>
      </c>
      <c r="K106" s="705"/>
      <c r="L106" s="705"/>
      <c r="M106" s="705"/>
      <c r="N106" s="708"/>
    </row>
    <row r="107" spans="1:14" x14ac:dyDescent="0.25">
      <c r="A107" t="s">
        <v>180</v>
      </c>
      <c r="B107" s="4" t="s">
        <v>181</v>
      </c>
      <c r="C107" s="12"/>
      <c r="D107" s="104">
        <v>610000004840</v>
      </c>
      <c r="E107" s="104">
        <f>VLOOKUP(D107,'[1]Task list &amp; Maintenace plan'!$B:$G,6,FALSE)</f>
        <v>101274</v>
      </c>
      <c r="F107" s="105" t="s">
        <v>203</v>
      </c>
      <c r="G107" s="106" t="s">
        <v>187</v>
      </c>
      <c r="H107" s="106" t="s">
        <v>206</v>
      </c>
      <c r="I107" s="105">
        <v>60</v>
      </c>
      <c r="J107" s="105">
        <v>1</v>
      </c>
      <c r="K107" s="705"/>
      <c r="L107" s="705"/>
      <c r="M107" s="705"/>
      <c r="N107" s="708"/>
    </row>
    <row r="108" spans="1:14" x14ac:dyDescent="0.25">
      <c r="A108" t="s">
        <v>180</v>
      </c>
      <c r="B108" s="4" t="s">
        <v>181</v>
      </c>
      <c r="C108" s="12"/>
      <c r="D108" s="104">
        <v>610000004840</v>
      </c>
      <c r="E108" s="104">
        <f>VLOOKUP(D108,'[1]Task list &amp; Maintenace plan'!$B:$G,6,FALSE)</f>
        <v>101274</v>
      </c>
      <c r="F108" s="105" t="s">
        <v>203</v>
      </c>
      <c r="G108" s="106" t="s">
        <v>190</v>
      </c>
      <c r="H108" s="106" t="s">
        <v>207</v>
      </c>
      <c r="I108" s="105">
        <v>60</v>
      </c>
      <c r="J108" s="105">
        <v>1</v>
      </c>
      <c r="K108" s="711"/>
      <c r="L108" s="711"/>
      <c r="M108" s="711"/>
      <c r="N108" s="713"/>
    </row>
    <row r="109" spans="1:14" x14ac:dyDescent="0.25">
      <c r="A109" t="s">
        <v>180</v>
      </c>
      <c r="B109" s="4" t="s">
        <v>181</v>
      </c>
      <c r="C109" s="12"/>
      <c r="D109" s="38">
        <v>610000004840</v>
      </c>
      <c r="E109" s="38">
        <f>VLOOKUP(D109,'[1]Task list &amp; Maintenace plan'!$B:$G,6,FALSE)</f>
        <v>101274</v>
      </c>
      <c r="F109" s="39" t="s">
        <v>203</v>
      </c>
      <c r="G109" s="40" t="s">
        <v>194</v>
      </c>
      <c r="H109" s="114" t="s">
        <v>208</v>
      </c>
      <c r="I109" s="39">
        <v>60</v>
      </c>
      <c r="J109" s="39">
        <v>1</v>
      </c>
      <c r="K109" s="115"/>
      <c r="L109" s="115"/>
      <c r="M109" s="115"/>
      <c r="N109" s="116"/>
    </row>
    <row r="110" spans="1:14" x14ac:dyDescent="0.25">
      <c r="A110" t="s">
        <v>180</v>
      </c>
      <c r="B110" s="4" t="s">
        <v>181</v>
      </c>
      <c r="C110" s="12"/>
      <c r="D110" s="38">
        <v>610000004840</v>
      </c>
      <c r="E110" s="38">
        <f>VLOOKUP(D110,'[1]Task list &amp; Maintenace plan'!$B:$G,6,FALSE)</f>
        <v>101274</v>
      </c>
      <c r="F110" s="39" t="s">
        <v>203</v>
      </c>
      <c r="G110" s="40" t="s">
        <v>196</v>
      </c>
      <c r="H110" s="114" t="s">
        <v>209</v>
      </c>
      <c r="I110" s="39">
        <v>60</v>
      </c>
      <c r="J110" s="39">
        <v>1</v>
      </c>
      <c r="K110" s="115"/>
      <c r="L110" s="115"/>
      <c r="M110" s="115"/>
      <c r="N110" s="116"/>
    </row>
    <row r="111" spans="1:14" x14ac:dyDescent="0.25">
      <c r="A111" t="s">
        <v>180</v>
      </c>
      <c r="B111" s="4" t="s">
        <v>181</v>
      </c>
      <c r="C111" s="12"/>
      <c r="D111" s="38">
        <v>610000004840</v>
      </c>
      <c r="E111" s="38">
        <f>VLOOKUP(D111,'[1]Task list &amp; Maintenace plan'!$B:$G,6,FALSE)</f>
        <v>101274</v>
      </c>
      <c r="F111" s="39" t="s">
        <v>203</v>
      </c>
      <c r="G111" s="40" t="s">
        <v>198</v>
      </c>
      <c r="H111" s="114" t="s">
        <v>210</v>
      </c>
      <c r="I111" s="39">
        <v>60</v>
      </c>
      <c r="J111" s="39">
        <v>1</v>
      </c>
      <c r="K111" s="115"/>
      <c r="L111" s="115"/>
      <c r="M111" s="115"/>
      <c r="N111" s="116"/>
    </row>
    <row r="112" spans="1:14" x14ac:dyDescent="0.25">
      <c r="A112" t="s">
        <v>180</v>
      </c>
      <c r="B112" s="4" t="s">
        <v>181</v>
      </c>
      <c r="C112" s="12"/>
      <c r="D112" s="38">
        <v>610000004840</v>
      </c>
      <c r="E112" s="38">
        <f>VLOOKUP(D112,'[1]Task list &amp; Maintenace plan'!$B:$G,6,FALSE)</f>
        <v>101274</v>
      </c>
      <c r="F112" s="39" t="s">
        <v>203</v>
      </c>
      <c r="G112" s="40" t="s">
        <v>200</v>
      </c>
      <c r="H112" s="114" t="s">
        <v>211</v>
      </c>
      <c r="I112" s="39">
        <v>60</v>
      </c>
      <c r="J112" s="39">
        <v>1</v>
      </c>
      <c r="K112" s="115"/>
      <c r="L112" s="115"/>
      <c r="M112" s="115"/>
      <c r="N112" s="116"/>
    </row>
    <row r="113" spans="1:14" x14ac:dyDescent="0.25">
      <c r="A113" t="s">
        <v>180</v>
      </c>
      <c r="B113" s="4" t="s">
        <v>181</v>
      </c>
      <c r="C113" s="12"/>
      <c r="D113" s="38">
        <v>610000004840</v>
      </c>
      <c r="E113" s="38">
        <f>VLOOKUP(D113,'[1]Task list &amp; Maintenace plan'!$B:$G,6,FALSE)</f>
        <v>101274</v>
      </c>
      <c r="F113" s="39" t="s">
        <v>203</v>
      </c>
      <c r="G113" s="40" t="s">
        <v>201</v>
      </c>
      <c r="H113" s="114" t="s">
        <v>212</v>
      </c>
      <c r="I113" s="39">
        <v>60</v>
      </c>
      <c r="J113" s="39">
        <v>1</v>
      </c>
      <c r="K113" s="115"/>
      <c r="L113" s="115"/>
      <c r="M113" s="115"/>
      <c r="N113" s="116"/>
    </row>
    <row r="114" spans="1:14" x14ac:dyDescent="0.25">
      <c r="A114" t="s">
        <v>180</v>
      </c>
      <c r="B114" s="4" t="s">
        <v>213</v>
      </c>
      <c r="C114" s="5"/>
      <c r="D114" s="117">
        <v>610000004841</v>
      </c>
      <c r="E114" s="117">
        <f>VLOOKUP(D114,'[1]Task list &amp; Maintenace plan'!$B:$G,6,FALSE)</f>
        <v>101275</v>
      </c>
      <c r="F114" s="118" t="s">
        <v>215</v>
      </c>
      <c r="G114" s="119" t="s">
        <v>214</v>
      </c>
      <c r="H114" s="120" t="s">
        <v>216</v>
      </c>
      <c r="I114" s="118">
        <v>15</v>
      </c>
      <c r="J114" s="118"/>
      <c r="K114" s="121"/>
      <c r="L114" s="121"/>
      <c r="M114" s="121"/>
      <c r="N114" s="122"/>
    </row>
    <row r="115" spans="1:14" x14ac:dyDescent="0.25">
      <c r="A115" t="s">
        <v>180</v>
      </c>
      <c r="B115" s="4" t="s">
        <v>213</v>
      </c>
      <c r="C115" s="12"/>
      <c r="D115" s="123">
        <v>610000004841</v>
      </c>
      <c r="E115" s="123">
        <f>VLOOKUP(D115,'[1]Task list &amp; Maintenace plan'!$B:$G,6,FALSE)</f>
        <v>101275</v>
      </c>
      <c r="F115" s="124" t="s">
        <v>215</v>
      </c>
      <c r="G115" s="107" t="s">
        <v>217</v>
      </c>
      <c r="H115" s="108" t="s">
        <v>218</v>
      </c>
      <c r="I115" s="124">
        <v>15</v>
      </c>
      <c r="J115" s="124"/>
      <c r="K115" s="109"/>
      <c r="L115" s="109"/>
      <c r="M115" s="109"/>
      <c r="N115" s="110"/>
    </row>
    <row r="116" spans="1:14" x14ac:dyDescent="0.25">
      <c r="A116" t="s">
        <v>180</v>
      </c>
      <c r="B116" s="4" t="s">
        <v>213</v>
      </c>
      <c r="C116" s="12"/>
      <c r="D116" s="100">
        <v>610000004841</v>
      </c>
      <c r="E116" s="100">
        <f>VLOOKUP(D116,'[1]Task list &amp; Maintenace plan'!$B:$G,6,FALSE)</f>
        <v>101275</v>
      </c>
      <c r="F116" s="101" t="s">
        <v>215</v>
      </c>
      <c r="G116" s="107" t="s">
        <v>219</v>
      </c>
      <c r="H116" s="102" t="s">
        <v>220</v>
      </c>
      <c r="I116" s="101">
        <v>15</v>
      </c>
      <c r="J116" s="101"/>
      <c r="K116" s="704">
        <v>10</v>
      </c>
      <c r="L116" s="704">
        <v>1</v>
      </c>
      <c r="M116" s="704">
        <f>L116*K116</f>
        <v>10</v>
      </c>
      <c r="N116" s="707" t="s">
        <v>20</v>
      </c>
    </row>
    <row r="117" spans="1:14" x14ac:dyDescent="0.25">
      <c r="A117" t="s">
        <v>180</v>
      </c>
      <c r="B117" s="4" t="s">
        <v>213</v>
      </c>
      <c r="C117" s="12"/>
      <c r="D117" s="123">
        <v>610000004841</v>
      </c>
      <c r="E117" s="123">
        <f>VLOOKUP(D117,'[1]Task list &amp; Maintenace plan'!$B:$G,6,FALSE)</f>
        <v>101275</v>
      </c>
      <c r="F117" s="124" t="s">
        <v>215</v>
      </c>
      <c r="G117" s="107" t="s">
        <v>221</v>
      </c>
      <c r="H117" s="107" t="s">
        <v>222</v>
      </c>
      <c r="I117" s="124">
        <v>15</v>
      </c>
      <c r="J117" s="124"/>
      <c r="K117" s="705"/>
      <c r="L117" s="705"/>
      <c r="M117" s="705"/>
      <c r="N117" s="708"/>
    </row>
    <row r="118" spans="1:14" x14ac:dyDescent="0.25">
      <c r="A118" t="s">
        <v>180</v>
      </c>
      <c r="B118" s="4" t="s">
        <v>213</v>
      </c>
      <c r="C118" s="12"/>
      <c r="D118" s="103">
        <v>610000004841</v>
      </c>
      <c r="E118" s="103">
        <f>VLOOKUP(D118,'[1]Task list &amp; Maintenace plan'!$B:$G,6,FALSE)</f>
        <v>101275</v>
      </c>
      <c r="F118" s="85" t="s">
        <v>215</v>
      </c>
      <c r="G118" s="84" t="s">
        <v>223</v>
      </c>
      <c r="H118" s="84" t="s">
        <v>224</v>
      </c>
      <c r="I118" s="85">
        <v>15</v>
      </c>
      <c r="J118" s="85"/>
      <c r="K118" s="706"/>
      <c r="L118" s="706"/>
      <c r="M118" s="706"/>
      <c r="N118" s="709"/>
    </row>
    <row r="119" spans="1:14" x14ac:dyDescent="0.25">
      <c r="A119" t="s">
        <v>180</v>
      </c>
      <c r="B119" s="4" t="s">
        <v>213</v>
      </c>
      <c r="C119" s="12"/>
      <c r="D119" s="125"/>
      <c r="E119" s="126" t="e">
        <f>VLOOKUP(D119,'[1]Task list &amp; Maintenace plan'!$B:$G,6,FALSE)</f>
        <v>#N/A</v>
      </c>
      <c r="F119" s="127" t="s">
        <v>215</v>
      </c>
      <c r="G119" s="128" t="s">
        <v>101</v>
      </c>
      <c r="H119" s="128" t="s">
        <v>225</v>
      </c>
      <c r="I119" s="129">
        <v>30</v>
      </c>
      <c r="J119" s="129"/>
      <c r="K119" s="129"/>
      <c r="L119" s="129"/>
      <c r="M119" s="129"/>
      <c r="N119" s="130"/>
    </row>
    <row r="120" spans="1:14" x14ac:dyDescent="0.25">
      <c r="A120" t="s">
        <v>180</v>
      </c>
      <c r="B120" s="4" t="s">
        <v>213</v>
      </c>
      <c r="C120" s="12"/>
      <c r="D120" s="131"/>
      <c r="E120" s="132" t="e">
        <f>VLOOKUP(D120,'[1]Task list &amp; Maintenace plan'!$B:$G,6,FALSE)</f>
        <v>#N/A</v>
      </c>
      <c r="F120" s="133" t="s">
        <v>215</v>
      </c>
      <c r="G120" s="134" t="s">
        <v>101</v>
      </c>
      <c r="H120" s="134" t="s">
        <v>226</v>
      </c>
      <c r="I120" s="135">
        <v>180</v>
      </c>
      <c r="J120" s="135"/>
      <c r="K120" s="135"/>
      <c r="L120" s="135"/>
      <c r="M120" s="135"/>
      <c r="N120" s="136"/>
    </row>
    <row r="121" spans="1:14" x14ac:dyDescent="0.25">
      <c r="A121" t="s">
        <v>180</v>
      </c>
      <c r="B121" s="4" t="s">
        <v>213</v>
      </c>
      <c r="C121" s="12"/>
      <c r="D121" s="100">
        <v>610000004842</v>
      </c>
      <c r="E121" s="100">
        <f>VLOOKUP(D121,'[1]Task list &amp; Maintenace plan'!$B:$G,6,FALSE)</f>
        <v>101276</v>
      </c>
      <c r="F121" s="101" t="s">
        <v>227</v>
      </c>
      <c r="G121" s="102" t="s">
        <v>214</v>
      </c>
      <c r="H121" s="137" t="s">
        <v>228</v>
      </c>
      <c r="I121" s="101">
        <v>30</v>
      </c>
      <c r="J121" s="101"/>
      <c r="K121" s="138"/>
      <c r="L121" s="138"/>
      <c r="M121" s="138"/>
      <c r="N121" s="139"/>
    </row>
    <row r="122" spans="1:14" x14ac:dyDescent="0.25">
      <c r="A122" t="s">
        <v>180</v>
      </c>
      <c r="B122" s="4" t="s">
        <v>213</v>
      </c>
      <c r="C122" s="12"/>
      <c r="D122" s="123">
        <v>610000004842</v>
      </c>
      <c r="E122" s="123">
        <f>VLOOKUP(D122,'[1]Task list &amp; Maintenace plan'!$B:$G,6,FALSE)</f>
        <v>101276</v>
      </c>
      <c r="F122" s="124" t="s">
        <v>227</v>
      </c>
      <c r="G122" s="107" t="s">
        <v>217</v>
      </c>
      <c r="H122" s="108" t="s">
        <v>229</v>
      </c>
      <c r="I122" s="124">
        <v>30</v>
      </c>
      <c r="J122" s="124"/>
      <c r="K122" s="109"/>
      <c r="L122" s="109"/>
      <c r="M122" s="109"/>
      <c r="N122" s="110"/>
    </row>
    <row r="123" spans="1:14" x14ac:dyDescent="0.25">
      <c r="A123" t="s">
        <v>180</v>
      </c>
      <c r="B123" s="4" t="s">
        <v>213</v>
      </c>
      <c r="C123" s="12"/>
      <c r="D123" s="100">
        <v>610000004842</v>
      </c>
      <c r="E123" s="100">
        <f>VLOOKUP(D123,'[1]Task list &amp; Maintenace plan'!$B:$G,6,FALSE)</f>
        <v>101276</v>
      </c>
      <c r="F123" s="101" t="s">
        <v>227</v>
      </c>
      <c r="G123" s="102" t="s">
        <v>219</v>
      </c>
      <c r="H123" s="102" t="s">
        <v>230</v>
      </c>
      <c r="I123" s="101">
        <v>30</v>
      </c>
      <c r="J123" s="101"/>
      <c r="K123" s="704">
        <v>10</v>
      </c>
      <c r="L123" s="704">
        <v>1</v>
      </c>
      <c r="M123" s="704">
        <f>L123*K123</f>
        <v>10</v>
      </c>
      <c r="N123" s="707" t="s">
        <v>20</v>
      </c>
    </row>
    <row r="124" spans="1:14" x14ac:dyDescent="0.25">
      <c r="A124" t="s">
        <v>180</v>
      </c>
      <c r="B124" s="4" t="s">
        <v>213</v>
      </c>
      <c r="C124" s="12"/>
      <c r="D124" s="123">
        <v>610000004842</v>
      </c>
      <c r="E124" s="104">
        <f>VLOOKUP(D124,'[1]Task list &amp; Maintenace plan'!$B:$G,6,FALSE)</f>
        <v>101276</v>
      </c>
      <c r="F124" s="105" t="s">
        <v>227</v>
      </c>
      <c r="G124" s="106" t="s">
        <v>221</v>
      </c>
      <c r="H124" s="106" t="s">
        <v>231</v>
      </c>
      <c r="I124" s="105">
        <v>30</v>
      </c>
      <c r="J124" s="105"/>
      <c r="K124" s="705"/>
      <c r="L124" s="705"/>
      <c r="M124" s="705"/>
      <c r="N124" s="708"/>
    </row>
    <row r="125" spans="1:14" x14ac:dyDescent="0.25">
      <c r="A125" t="s">
        <v>180</v>
      </c>
      <c r="B125" s="4" t="s">
        <v>213</v>
      </c>
      <c r="C125" s="12"/>
      <c r="D125" s="103">
        <v>610000004842</v>
      </c>
      <c r="E125" s="103">
        <f>VLOOKUP(D125,'[1]Task list &amp; Maintenace plan'!$B:$G,6,FALSE)</f>
        <v>101276</v>
      </c>
      <c r="F125" s="85" t="s">
        <v>227</v>
      </c>
      <c r="G125" s="84" t="s">
        <v>223</v>
      </c>
      <c r="H125" s="84" t="s">
        <v>232</v>
      </c>
      <c r="I125" s="85">
        <v>30</v>
      </c>
      <c r="J125" s="85"/>
      <c r="K125" s="706"/>
      <c r="L125" s="706"/>
      <c r="M125" s="706"/>
      <c r="N125" s="709"/>
    </row>
    <row r="126" spans="1:14" x14ac:dyDescent="0.25">
      <c r="A126" t="s">
        <v>180</v>
      </c>
      <c r="B126" s="4" t="s">
        <v>213</v>
      </c>
      <c r="C126" s="12"/>
      <c r="D126" s="100">
        <v>610000004843</v>
      </c>
      <c r="E126" s="140">
        <f>VLOOKUP(D126,'[1]Task list &amp; Maintenace plan'!$B:$G,6,FALSE)</f>
        <v>101277</v>
      </c>
      <c r="F126" s="141" t="s">
        <v>233</v>
      </c>
      <c r="G126" s="142" t="s">
        <v>214</v>
      </c>
      <c r="H126" s="143" t="s">
        <v>234</v>
      </c>
      <c r="I126" s="141">
        <v>60</v>
      </c>
      <c r="J126" s="141">
        <v>1</v>
      </c>
      <c r="K126" s="144"/>
      <c r="L126" s="144"/>
      <c r="M126" s="144"/>
      <c r="N126" s="145"/>
    </row>
    <row r="127" spans="1:14" x14ac:dyDescent="0.25">
      <c r="A127" t="s">
        <v>180</v>
      </c>
      <c r="B127" s="4" t="s">
        <v>213</v>
      </c>
      <c r="C127" s="12"/>
      <c r="D127" s="123">
        <v>610000004843</v>
      </c>
      <c r="E127" s="123">
        <f>VLOOKUP(D127,'[1]Task list &amp; Maintenace plan'!$B:$G,6,FALSE)</f>
        <v>101277</v>
      </c>
      <c r="F127" s="124" t="s">
        <v>233</v>
      </c>
      <c r="G127" s="107" t="s">
        <v>217</v>
      </c>
      <c r="H127" s="108" t="s">
        <v>235</v>
      </c>
      <c r="I127" s="124">
        <v>60</v>
      </c>
      <c r="J127" s="124">
        <v>1</v>
      </c>
      <c r="K127" s="109"/>
      <c r="L127" s="109"/>
      <c r="M127" s="109"/>
      <c r="N127" s="110"/>
    </row>
    <row r="128" spans="1:14" x14ac:dyDescent="0.25">
      <c r="A128" t="s">
        <v>180</v>
      </c>
      <c r="B128" s="4" t="s">
        <v>213</v>
      </c>
      <c r="C128" s="12"/>
      <c r="D128" s="131">
        <v>610000004843</v>
      </c>
      <c r="E128" s="123">
        <f>VLOOKUP(D128,'[1]Task list &amp; Maintenace plan'!$B:$G,6,FALSE)</f>
        <v>101277</v>
      </c>
      <c r="F128" s="124" t="s">
        <v>233</v>
      </c>
      <c r="G128" s="107" t="s">
        <v>219</v>
      </c>
      <c r="H128" s="107" t="s">
        <v>236</v>
      </c>
      <c r="I128" s="124">
        <v>60</v>
      </c>
      <c r="J128" s="124">
        <v>1</v>
      </c>
      <c r="K128" s="704">
        <v>60</v>
      </c>
      <c r="L128" s="704">
        <v>1</v>
      </c>
      <c r="M128" s="704">
        <f>L128*K128</f>
        <v>60</v>
      </c>
      <c r="N128" s="707" t="s">
        <v>34</v>
      </c>
    </row>
    <row r="129" spans="1:14" x14ac:dyDescent="0.25">
      <c r="A129" t="s">
        <v>180</v>
      </c>
      <c r="B129" s="4" t="s">
        <v>213</v>
      </c>
      <c r="C129" s="12"/>
      <c r="D129" s="132">
        <v>610000004843</v>
      </c>
      <c r="E129" s="104">
        <f>VLOOKUP(D129,'[1]Task list &amp; Maintenace plan'!$B:$G,6,FALSE)</f>
        <v>101277</v>
      </c>
      <c r="F129" s="105" t="s">
        <v>233</v>
      </c>
      <c r="G129" s="106" t="s">
        <v>221</v>
      </c>
      <c r="H129" s="106" t="s">
        <v>237</v>
      </c>
      <c r="I129" s="105">
        <v>60</v>
      </c>
      <c r="J129" s="105">
        <v>1</v>
      </c>
      <c r="K129" s="705"/>
      <c r="L129" s="705"/>
      <c r="M129" s="705"/>
      <c r="N129" s="708"/>
    </row>
    <row r="130" spans="1:14" x14ac:dyDescent="0.25">
      <c r="A130" t="s">
        <v>180</v>
      </c>
      <c r="B130" s="4" t="s">
        <v>213</v>
      </c>
      <c r="C130" s="12"/>
      <c r="D130" s="146">
        <v>610000004843</v>
      </c>
      <c r="E130" s="103">
        <f>VLOOKUP(D130,'[1]Task list &amp; Maintenace plan'!$B:$G,6,FALSE)</f>
        <v>101277</v>
      </c>
      <c r="F130" s="85" t="s">
        <v>233</v>
      </c>
      <c r="G130" s="84" t="s">
        <v>223</v>
      </c>
      <c r="H130" s="84" t="s">
        <v>238</v>
      </c>
      <c r="I130" s="85">
        <v>60</v>
      </c>
      <c r="J130" s="85">
        <v>1</v>
      </c>
      <c r="K130" s="706"/>
      <c r="L130" s="706"/>
      <c r="M130" s="706"/>
      <c r="N130" s="709"/>
    </row>
    <row r="131" spans="1:14" x14ac:dyDescent="0.25">
      <c r="A131" t="s">
        <v>180</v>
      </c>
      <c r="B131" s="4" t="s">
        <v>213</v>
      </c>
      <c r="C131" s="12"/>
      <c r="D131" s="100">
        <v>610000004843</v>
      </c>
      <c r="E131" s="100">
        <f>VLOOKUP(D131,'[1]Task list &amp; Maintenace plan'!$B:$G,6,FALSE)</f>
        <v>101277</v>
      </c>
      <c r="F131" s="101" t="s">
        <v>233</v>
      </c>
      <c r="G131" s="102" t="s">
        <v>214</v>
      </c>
      <c r="H131" s="137" t="s">
        <v>239</v>
      </c>
      <c r="I131" s="101">
        <v>60</v>
      </c>
      <c r="J131" s="101">
        <v>1</v>
      </c>
      <c r="K131" s="138"/>
      <c r="L131" s="138"/>
      <c r="M131" s="138"/>
      <c r="N131" s="139"/>
    </row>
    <row r="132" spans="1:14" x14ac:dyDescent="0.25">
      <c r="A132" t="s">
        <v>180</v>
      </c>
      <c r="B132" s="4" t="s">
        <v>213</v>
      </c>
      <c r="C132" s="12"/>
      <c r="D132" s="104">
        <v>610000004843</v>
      </c>
      <c r="E132" s="104">
        <f>VLOOKUP(D132,'[1]Task list &amp; Maintenace plan'!$B:$G,6,FALSE)</f>
        <v>101277</v>
      </c>
      <c r="F132" s="105" t="s">
        <v>233</v>
      </c>
      <c r="G132" s="106" t="s">
        <v>217</v>
      </c>
      <c r="H132" s="114" t="s">
        <v>240</v>
      </c>
      <c r="I132" s="105">
        <v>60</v>
      </c>
      <c r="J132" s="105">
        <v>1</v>
      </c>
      <c r="K132" s="115"/>
      <c r="L132" s="115"/>
      <c r="M132" s="115"/>
      <c r="N132" s="116"/>
    </row>
    <row r="133" spans="1:14" x14ac:dyDescent="0.25">
      <c r="A133" t="s">
        <v>180</v>
      </c>
      <c r="B133" s="4" t="s">
        <v>213</v>
      </c>
      <c r="C133" s="12"/>
      <c r="D133" s="104">
        <v>610000004843</v>
      </c>
      <c r="E133" s="104">
        <f>VLOOKUP(D133,'[1]Task list &amp; Maintenace plan'!$B:$G,6,FALSE)</f>
        <v>101277</v>
      </c>
      <c r="F133" s="105" t="s">
        <v>233</v>
      </c>
      <c r="G133" s="106" t="s">
        <v>219</v>
      </c>
      <c r="H133" s="106" t="s">
        <v>241</v>
      </c>
      <c r="I133" s="105">
        <v>60</v>
      </c>
      <c r="J133" s="105">
        <v>1</v>
      </c>
      <c r="K133" s="704">
        <v>30</v>
      </c>
      <c r="L133" s="704">
        <v>1</v>
      </c>
      <c r="M133" s="704">
        <f>L133*K133</f>
        <v>30</v>
      </c>
      <c r="N133" s="707" t="s">
        <v>34</v>
      </c>
    </row>
    <row r="134" spans="1:14" x14ac:dyDescent="0.25">
      <c r="A134" t="s">
        <v>180</v>
      </c>
      <c r="B134" s="4" t="s">
        <v>213</v>
      </c>
      <c r="C134" s="12"/>
      <c r="D134" s="123">
        <v>610000004843</v>
      </c>
      <c r="E134" s="123">
        <f>VLOOKUP(D134,'[1]Task list &amp; Maintenace plan'!$B:$G,6,FALSE)</f>
        <v>101277</v>
      </c>
      <c r="F134" s="124" t="s">
        <v>233</v>
      </c>
      <c r="G134" s="107" t="s">
        <v>221</v>
      </c>
      <c r="H134" s="107" t="s">
        <v>242</v>
      </c>
      <c r="I134" s="124">
        <v>60</v>
      </c>
      <c r="J134" s="124">
        <v>1</v>
      </c>
      <c r="K134" s="705"/>
      <c r="L134" s="705"/>
      <c r="M134" s="705"/>
      <c r="N134" s="708"/>
    </row>
    <row r="135" spans="1:14" x14ac:dyDescent="0.25">
      <c r="A135" t="s">
        <v>180</v>
      </c>
      <c r="B135" s="4" t="s">
        <v>213</v>
      </c>
      <c r="C135" s="12"/>
      <c r="D135" s="103">
        <v>610000004843</v>
      </c>
      <c r="E135" s="103">
        <f>VLOOKUP(D135,'[1]Task list &amp; Maintenace plan'!$B:$G,6,FALSE)</f>
        <v>101277</v>
      </c>
      <c r="F135" s="85" t="s">
        <v>233</v>
      </c>
      <c r="G135" s="84" t="s">
        <v>223</v>
      </c>
      <c r="H135" s="84" t="s">
        <v>243</v>
      </c>
      <c r="I135" s="85">
        <v>60</v>
      </c>
      <c r="J135" s="85">
        <v>1</v>
      </c>
      <c r="K135" s="706"/>
      <c r="L135" s="706"/>
      <c r="M135" s="706"/>
      <c r="N135" s="709"/>
    </row>
    <row r="136" spans="1:14" x14ac:dyDescent="0.25">
      <c r="A136" t="s">
        <v>180</v>
      </c>
      <c r="B136" s="4" t="s">
        <v>213</v>
      </c>
      <c r="C136" s="12"/>
      <c r="D136" s="100">
        <v>610000004844</v>
      </c>
      <c r="E136" s="100">
        <f>VLOOKUP(D136,'[1]Task list &amp; Maintenace plan'!$B:$G,6,FALSE)</f>
        <v>101278</v>
      </c>
      <c r="F136" s="101" t="s">
        <v>244</v>
      </c>
      <c r="G136" s="102" t="s">
        <v>217</v>
      </c>
      <c r="H136" s="137" t="s">
        <v>245</v>
      </c>
      <c r="I136" s="101">
        <v>60</v>
      </c>
      <c r="J136" s="101">
        <v>1</v>
      </c>
      <c r="K136" s="138"/>
      <c r="L136" s="138"/>
      <c r="M136" s="138"/>
      <c r="N136" s="139"/>
    </row>
    <row r="137" spans="1:14" x14ac:dyDescent="0.25">
      <c r="A137" t="s">
        <v>180</v>
      </c>
      <c r="B137" s="4" t="s">
        <v>213</v>
      </c>
      <c r="C137" s="12"/>
      <c r="D137" s="132">
        <v>610000004844</v>
      </c>
      <c r="E137" s="104">
        <f>VLOOKUP(D137,'[1]Task list &amp; Maintenace plan'!$B:$G,6,FALSE)</f>
        <v>101278</v>
      </c>
      <c r="F137" s="105" t="s">
        <v>244</v>
      </c>
      <c r="G137" s="106" t="s">
        <v>219</v>
      </c>
      <c r="H137" s="106" t="s">
        <v>246</v>
      </c>
      <c r="I137" s="105">
        <v>60</v>
      </c>
      <c r="J137" s="105">
        <v>1</v>
      </c>
      <c r="K137" s="704">
        <v>60</v>
      </c>
      <c r="L137" s="704">
        <v>1</v>
      </c>
      <c r="M137" s="704">
        <f>L137*K137</f>
        <v>60</v>
      </c>
      <c r="N137" s="707" t="s">
        <v>34</v>
      </c>
    </row>
    <row r="138" spans="1:14" x14ac:dyDescent="0.25">
      <c r="A138" t="s">
        <v>180</v>
      </c>
      <c r="B138" s="4" t="s">
        <v>213</v>
      </c>
      <c r="C138" s="12"/>
      <c r="D138" s="132">
        <v>610000004844</v>
      </c>
      <c r="E138" s="104">
        <f>VLOOKUP(D138,'[1]Task list &amp; Maintenace plan'!$B:$G,6,FALSE)</f>
        <v>101278</v>
      </c>
      <c r="F138" s="105" t="s">
        <v>244</v>
      </c>
      <c r="G138" s="106" t="s">
        <v>221</v>
      </c>
      <c r="H138" s="106" t="s">
        <v>247</v>
      </c>
      <c r="I138" s="105">
        <v>60</v>
      </c>
      <c r="J138" s="105">
        <v>1</v>
      </c>
      <c r="K138" s="705"/>
      <c r="L138" s="705"/>
      <c r="M138" s="705"/>
      <c r="N138" s="708"/>
    </row>
    <row r="139" spans="1:14" x14ac:dyDescent="0.25">
      <c r="A139" t="s">
        <v>180</v>
      </c>
      <c r="B139" s="4" t="s">
        <v>213</v>
      </c>
      <c r="C139" s="12"/>
      <c r="D139" s="132">
        <v>610000004844</v>
      </c>
      <c r="E139" s="104">
        <f>VLOOKUP(D139,'[1]Task list &amp; Maintenace plan'!$B:$G,6,FALSE)</f>
        <v>101278</v>
      </c>
      <c r="F139" s="105" t="s">
        <v>244</v>
      </c>
      <c r="G139" s="106" t="s">
        <v>223</v>
      </c>
      <c r="H139" s="106" t="s">
        <v>248</v>
      </c>
      <c r="I139" s="105">
        <v>60</v>
      </c>
      <c r="J139" s="105">
        <v>1</v>
      </c>
      <c r="K139" s="706"/>
      <c r="L139" s="706"/>
      <c r="M139" s="706"/>
      <c r="N139" s="709"/>
    </row>
    <row r="140" spans="1:14" x14ac:dyDescent="0.25">
      <c r="A140" t="s">
        <v>180</v>
      </c>
      <c r="B140" s="4" t="s">
        <v>213</v>
      </c>
      <c r="C140" s="12"/>
      <c r="D140" s="117">
        <v>610000004845</v>
      </c>
      <c r="E140" s="117">
        <f>VLOOKUP(D140,'[1]Task list &amp; Maintenace plan'!$B:$G,6,FALSE)</f>
        <v>101279</v>
      </c>
      <c r="F140" s="118" t="s">
        <v>249</v>
      </c>
      <c r="G140" s="119" t="s">
        <v>214</v>
      </c>
      <c r="H140" s="120" t="s">
        <v>250</v>
      </c>
      <c r="I140" s="118">
        <v>180</v>
      </c>
      <c r="J140" s="118">
        <v>1</v>
      </c>
      <c r="K140" s="121"/>
      <c r="L140" s="121"/>
      <c r="M140" s="121"/>
      <c r="N140" s="122"/>
    </row>
    <row r="141" spans="1:14" ht="15.75" thickBot="1" x14ac:dyDescent="0.3">
      <c r="A141" t="s">
        <v>180</v>
      </c>
      <c r="B141" s="4" t="s">
        <v>213</v>
      </c>
      <c r="C141" s="27"/>
      <c r="D141" s="147">
        <v>610000004845</v>
      </c>
      <c r="E141" s="147">
        <f>VLOOKUP(D141,'[1]Task list &amp; Maintenace plan'!$B:$G,6,FALSE)</f>
        <v>101279</v>
      </c>
      <c r="F141" s="148" t="s">
        <v>249</v>
      </c>
      <c r="G141" s="149" t="s">
        <v>217</v>
      </c>
      <c r="H141" s="150" t="s">
        <v>251</v>
      </c>
      <c r="I141" s="148">
        <v>180</v>
      </c>
      <c r="J141" s="148">
        <v>1</v>
      </c>
      <c r="K141" s="151"/>
      <c r="L141" s="151"/>
      <c r="M141" s="151"/>
      <c r="N141" s="152"/>
    </row>
    <row r="142" spans="1:14" x14ac:dyDescent="0.25">
      <c r="A142" t="s">
        <v>180</v>
      </c>
      <c r="B142" s="11" t="s">
        <v>252</v>
      </c>
      <c r="C142" s="12"/>
      <c r="D142" s="140">
        <v>610000004847</v>
      </c>
      <c r="E142" s="140">
        <f>VLOOKUP(D142,'[1]Task list &amp; Maintenace plan'!$B:$G,6,FALSE)</f>
        <v>101281</v>
      </c>
      <c r="F142" s="141" t="s">
        <v>254</v>
      </c>
      <c r="G142" s="119" t="s">
        <v>253</v>
      </c>
      <c r="H142" s="137" t="s">
        <v>255</v>
      </c>
      <c r="I142" s="141">
        <v>30</v>
      </c>
      <c r="J142" s="141"/>
      <c r="K142" s="144"/>
      <c r="L142" s="144"/>
      <c r="M142" s="144"/>
      <c r="N142" s="145"/>
    </row>
    <row r="143" spans="1:14" x14ac:dyDescent="0.25">
      <c r="A143" t="s">
        <v>180</v>
      </c>
      <c r="B143" s="11" t="s">
        <v>252</v>
      </c>
      <c r="C143" s="12"/>
      <c r="D143" s="104">
        <v>610000004847</v>
      </c>
      <c r="E143" s="140">
        <f>VLOOKUP(D143,'[1]Task list &amp; Maintenace plan'!$B:$G,6,FALSE)</f>
        <v>101281</v>
      </c>
      <c r="F143" s="141" t="s">
        <v>254</v>
      </c>
      <c r="G143" s="142" t="s">
        <v>256</v>
      </c>
      <c r="H143" s="137" t="s">
        <v>257</v>
      </c>
      <c r="I143" s="105">
        <v>30</v>
      </c>
      <c r="J143" s="105"/>
      <c r="K143" s="115"/>
      <c r="L143" s="115"/>
      <c r="M143" s="115"/>
      <c r="N143" s="116"/>
    </row>
    <row r="144" spans="1:14" x14ac:dyDescent="0.25">
      <c r="A144" t="s">
        <v>180</v>
      </c>
      <c r="B144" s="11" t="s">
        <v>252</v>
      </c>
      <c r="C144" s="12"/>
      <c r="D144" s="104">
        <v>610000004847</v>
      </c>
      <c r="E144" s="104">
        <f>VLOOKUP(D144,'[1]Task list &amp; Maintenace plan'!$B:$G,6,FALSE)</f>
        <v>101281</v>
      </c>
      <c r="F144" s="105" t="s">
        <v>254</v>
      </c>
      <c r="G144" s="106" t="s">
        <v>258</v>
      </c>
      <c r="H144" s="102" t="s">
        <v>259</v>
      </c>
      <c r="I144" s="105">
        <v>30</v>
      </c>
      <c r="J144" s="105"/>
      <c r="K144" s="704">
        <v>10</v>
      </c>
      <c r="L144" s="704">
        <v>1</v>
      </c>
      <c r="M144" s="704">
        <f>L144*K144</f>
        <v>10</v>
      </c>
      <c r="N144" s="707" t="s">
        <v>20</v>
      </c>
    </row>
    <row r="145" spans="1:14" x14ac:dyDescent="0.25">
      <c r="A145" t="s">
        <v>180</v>
      </c>
      <c r="B145" s="11" t="s">
        <v>252</v>
      </c>
      <c r="C145" s="12"/>
      <c r="D145" s="104">
        <v>610000004847</v>
      </c>
      <c r="E145" s="104">
        <f>VLOOKUP(D145,'[1]Task list &amp; Maintenace plan'!$B:$G,6,FALSE)</f>
        <v>101281</v>
      </c>
      <c r="F145" s="105" t="s">
        <v>254</v>
      </c>
      <c r="G145" s="106" t="s">
        <v>260</v>
      </c>
      <c r="H145" s="102" t="s">
        <v>261</v>
      </c>
      <c r="I145" s="105">
        <v>30</v>
      </c>
      <c r="J145" s="105"/>
      <c r="K145" s="705"/>
      <c r="L145" s="705"/>
      <c r="M145" s="705"/>
      <c r="N145" s="708"/>
    </row>
    <row r="146" spans="1:14" x14ac:dyDescent="0.25">
      <c r="A146" t="s">
        <v>180</v>
      </c>
      <c r="B146" s="11" t="s">
        <v>252</v>
      </c>
      <c r="C146" s="12"/>
      <c r="D146" s="103">
        <v>610000004847</v>
      </c>
      <c r="E146" s="103">
        <f>VLOOKUP(D146,'[1]Task list &amp; Maintenace plan'!$B:$G,6,FALSE)</f>
        <v>101281</v>
      </c>
      <c r="F146" s="85" t="s">
        <v>254</v>
      </c>
      <c r="G146" s="84" t="s">
        <v>262</v>
      </c>
      <c r="H146" s="84" t="s">
        <v>263</v>
      </c>
      <c r="I146" s="85">
        <v>30</v>
      </c>
      <c r="J146" s="85"/>
      <c r="K146" s="706"/>
      <c r="L146" s="706"/>
      <c r="M146" s="706"/>
      <c r="N146" s="709"/>
    </row>
    <row r="147" spans="1:14" x14ac:dyDescent="0.25">
      <c r="A147" t="s">
        <v>180</v>
      </c>
      <c r="B147" s="11" t="s">
        <v>252</v>
      </c>
      <c r="C147" s="12"/>
      <c r="D147" s="140">
        <v>610000004848</v>
      </c>
      <c r="E147" s="140">
        <f>VLOOKUP(D147,'[1]Task list &amp; Maintenace plan'!$B:$G,6,FALSE)</f>
        <v>101282</v>
      </c>
      <c r="F147" s="141" t="s">
        <v>264</v>
      </c>
      <c r="G147" s="142" t="s">
        <v>253</v>
      </c>
      <c r="H147" s="108" t="s">
        <v>265</v>
      </c>
      <c r="I147" s="141">
        <v>60</v>
      </c>
      <c r="J147" s="141">
        <v>1</v>
      </c>
      <c r="K147" s="144"/>
      <c r="L147" s="144"/>
      <c r="M147" s="144"/>
      <c r="N147" s="145"/>
    </row>
    <row r="148" spans="1:14" x14ac:dyDescent="0.25">
      <c r="A148" t="s">
        <v>180</v>
      </c>
      <c r="B148" s="11" t="s">
        <v>252</v>
      </c>
      <c r="C148" s="12"/>
      <c r="D148" s="104">
        <v>610000004848</v>
      </c>
      <c r="E148" s="104">
        <f>VLOOKUP(D148,'[1]Task list &amp; Maintenace plan'!$B:$G,6,FALSE)</f>
        <v>101282</v>
      </c>
      <c r="F148" s="105" t="s">
        <v>264</v>
      </c>
      <c r="G148" s="106" t="s">
        <v>256</v>
      </c>
      <c r="H148" s="108" t="s">
        <v>266</v>
      </c>
      <c r="I148" s="105">
        <v>60</v>
      </c>
      <c r="J148" s="105">
        <v>1</v>
      </c>
      <c r="K148" s="115"/>
      <c r="L148" s="115"/>
      <c r="M148" s="115"/>
      <c r="N148" s="116"/>
    </row>
    <row r="149" spans="1:14" x14ac:dyDescent="0.25">
      <c r="A149" t="s">
        <v>180</v>
      </c>
      <c r="B149" s="11" t="s">
        <v>252</v>
      </c>
      <c r="C149" s="12"/>
      <c r="D149" s="104">
        <v>610000004848</v>
      </c>
      <c r="E149" s="104">
        <f>VLOOKUP(D149,'[1]Task list &amp; Maintenace plan'!$B:$G,6,FALSE)</f>
        <v>101282</v>
      </c>
      <c r="F149" s="105" t="s">
        <v>264</v>
      </c>
      <c r="G149" s="106" t="s">
        <v>258</v>
      </c>
      <c r="H149" s="107" t="s">
        <v>267</v>
      </c>
      <c r="I149" s="105">
        <v>60</v>
      </c>
      <c r="J149" s="105">
        <v>1</v>
      </c>
      <c r="K149" s="704">
        <v>30</v>
      </c>
      <c r="L149" s="704">
        <v>1</v>
      </c>
      <c r="M149" s="704">
        <f>L149*K149</f>
        <v>30</v>
      </c>
      <c r="N149" s="707" t="s">
        <v>34</v>
      </c>
    </row>
    <row r="150" spans="1:14" x14ac:dyDescent="0.25">
      <c r="A150" t="s">
        <v>180</v>
      </c>
      <c r="B150" s="11" t="s">
        <v>252</v>
      </c>
      <c r="C150" s="12"/>
      <c r="D150" s="104">
        <v>610000004848</v>
      </c>
      <c r="E150" s="104">
        <f>VLOOKUP(D150,'[1]Task list &amp; Maintenace plan'!$B:$G,6,FALSE)</f>
        <v>101282</v>
      </c>
      <c r="F150" s="105" t="s">
        <v>264</v>
      </c>
      <c r="G150" s="106" t="s">
        <v>260</v>
      </c>
      <c r="H150" s="107" t="s">
        <v>268</v>
      </c>
      <c r="I150" s="105">
        <v>60</v>
      </c>
      <c r="J150" s="105">
        <v>1</v>
      </c>
      <c r="K150" s="705"/>
      <c r="L150" s="705"/>
      <c r="M150" s="705"/>
      <c r="N150" s="708"/>
    </row>
    <row r="151" spans="1:14" ht="15.75" thickBot="1" x14ac:dyDescent="0.3">
      <c r="A151" t="s">
        <v>180</v>
      </c>
      <c r="B151" s="11" t="s">
        <v>252</v>
      </c>
      <c r="C151" s="12"/>
      <c r="D151" s="147">
        <v>610000004848</v>
      </c>
      <c r="E151" s="147">
        <f>VLOOKUP(D151,'[1]Task list &amp; Maintenace plan'!$B:$G,6,FALSE)</f>
        <v>101282</v>
      </c>
      <c r="F151" s="148" t="s">
        <v>264</v>
      </c>
      <c r="G151" s="149" t="s">
        <v>262</v>
      </c>
      <c r="H151" s="149" t="s">
        <v>269</v>
      </c>
      <c r="I151" s="148">
        <v>60</v>
      </c>
      <c r="J151" s="148">
        <v>1</v>
      </c>
      <c r="K151" s="714"/>
      <c r="L151" s="714"/>
      <c r="M151" s="714"/>
      <c r="N151" s="715"/>
    </row>
    <row r="152" spans="1:14" ht="15.75" thickBot="1" x14ac:dyDescent="0.3">
      <c r="A152" t="s">
        <v>180</v>
      </c>
      <c r="B152" s="153" t="s">
        <v>270</v>
      </c>
      <c r="C152" s="154"/>
      <c r="D152" s="57">
        <v>342281</v>
      </c>
      <c r="E152" s="57">
        <f>VLOOKUP(D152,'[1]Task list &amp; Maintenace plan'!$B:$G,6,FALSE)</f>
        <v>458</v>
      </c>
      <c r="F152" s="58" t="s">
        <v>272</v>
      </c>
      <c r="G152" s="59" t="s">
        <v>273</v>
      </c>
      <c r="H152" s="59" t="s">
        <v>274</v>
      </c>
      <c r="I152" s="58">
        <v>15</v>
      </c>
      <c r="J152" s="58">
        <v>1</v>
      </c>
      <c r="K152" s="58">
        <v>60</v>
      </c>
      <c r="L152" s="58">
        <v>1</v>
      </c>
      <c r="M152" s="58">
        <f>L152*K152</f>
        <v>60</v>
      </c>
      <c r="N152" s="155" t="s">
        <v>34</v>
      </c>
    </row>
    <row r="153" spans="1:14" ht="15.75" thickBot="1" x14ac:dyDescent="0.3">
      <c r="A153" t="s">
        <v>180</v>
      </c>
      <c r="B153" s="153" t="s">
        <v>270</v>
      </c>
      <c r="C153" s="12"/>
      <c r="D153" s="156">
        <v>610000004851</v>
      </c>
      <c r="E153" s="156">
        <f>VLOOKUP(D153,'[1]Task list &amp; Maintenace plan'!$B:$G,6,FALSE)</f>
        <v>101285</v>
      </c>
      <c r="F153" s="157" t="s">
        <v>276</v>
      </c>
      <c r="G153" s="158" t="s">
        <v>277</v>
      </c>
      <c r="H153" s="158" t="s">
        <v>278</v>
      </c>
      <c r="I153" s="157">
        <v>30</v>
      </c>
      <c r="J153" s="157">
        <v>1</v>
      </c>
      <c r="K153" s="157">
        <v>30</v>
      </c>
      <c r="L153" s="157">
        <v>1</v>
      </c>
      <c r="M153" s="157">
        <f>L153*K153</f>
        <v>30</v>
      </c>
      <c r="N153" s="159" t="s">
        <v>34</v>
      </c>
    </row>
    <row r="154" spans="1:14" ht="15.75" thickBot="1" x14ac:dyDescent="0.3">
      <c r="A154" t="s">
        <v>180</v>
      </c>
      <c r="B154" s="153" t="s">
        <v>270</v>
      </c>
      <c r="C154" s="12"/>
      <c r="D154" s="100">
        <v>610000004852</v>
      </c>
      <c r="E154" s="100">
        <f>VLOOKUP(D154,'[1]Task list &amp; Maintenace plan'!$B:$G,6,FALSE)</f>
        <v>101286</v>
      </c>
      <c r="F154" s="101" t="s">
        <v>280</v>
      </c>
      <c r="G154" s="102" t="s">
        <v>271</v>
      </c>
      <c r="H154" s="102" t="s">
        <v>281</v>
      </c>
      <c r="I154" s="101">
        <v>30</v>
      </c>
      <c r="J154" s="101"/>
      <c r="K154" s="710">
        <v>10</v>
      </c>
      <c r="L154" s="710">
        <v>1</v>
      </c>
      <c r="M154" s="710">
        <f>L154*K154</f>
        <v>10</v>
      </c>
      <c r="N154" s="712" t="s">
        <v>20</v>
      </c>
    </row>
    <row r="155" spans="1:14" ht="15.75" thickBot="1" x14ac:dyDescent="0.3">
      <c r="A155" t="s">
        <v>180</v>
      </c>
      <c r="B155" s="153" t="s">
        <v>270</v>
      </c>
      <c r="C155" s="12"/>
      <c r="D155" s="123">
        <v>610000004852</v>
      </c>
      <c r="E155" s="123">
        <f>VLOOKUP(D155,'[1]Task list &amp; Maintenace plan'!$B:$G,6,FALSE)</f>
        <v>101286</v>
      </c>
      <c r="F155" s="124" t="s">
        <v>280</v>
      </c>
      <c r="G155" s="107" t="s">
        <v>275</v>
      </c>
      <c r="H155" s="107" t="s">
        <v>282</v>
      </c>
      <c r="I155" s="124">
        <v>30</v>
      </c>
      <c r="J155" s="124"/>
      <c r="K155" s="705"/>
      <c r="L155" s="705"/>
      <c r="M155" s="705"/>
      <c r="N155" s="708"/>
    </row>
    <row r="156" spans="1:14" ht="15.75" thickBot="1" x14ac:dyDescent="0.3">
      <c r="A156" t="s">
        <v>180</v>
      </c>
      <c r="B156" s="153" t="s">
        <v>270</v>
      </c>
      <c r="C156" s="12"/>
      <c r="D156" s="123">
        <v>610000004852</v>
      </c>
      <c r="E156" s="123">
        <f>VLOOKUP(D156,'[1]Task list &amp; Maintenace plan'!$B:$G,6,FALSE)</f>
        <v>101286</v>
      </c>
      <c r="F156" s="124" t="s">
        <v>280</v>
      </c>
      <c r="G156" s="107" t="s">
        <v>279</v>
      </c>
      <c r="H156" s="107" t="s">
        <v>283</v>
      </c>
      <c r="I156" s="124">
        <v>30</v>
      </c>
      <c r="J156" s="124"/>
      <c r="K156" s="705"/>
      <c r="L156" s="705"/>
      <c r="M156" s="705"/>
      <c r="N156" s="708"/>
    </row>
    <row r="157" spans="1:14" ht="15.75" thickBot="1" x14ac:dyDescent="0.3">
      <c r="A157" t="s">
        <v>180</v>
      </c>
      <c r="B157" s="153" t="s">
        <v>270</v>
      </c>
      <c r="C157" s="12"/>
      <c r="D157" s="123">
        <v>610000004852</v>
      </c>
      <c r="E157" s="123">
        <f>VLOOKUP(D157,'[1]Task list &amp; Maintenace plan'!$B:$G,6,FALSE)</f>
        <v>101286</v>
      </c>
      <c r="F157" s="124" t="s">
        <v>280</v>
      </c>
      <c r="G157" s="107" t="s">
        <v>273</v>
      </c>
      <c r="H157" s="107" t="s">
        <v>284</v>
      </c>
      <c r="I157" s="124">
        <v>30</v>
      </c>
      <c r="J157" s="124"/>
      <c r="K157" s="705"/>
      <c r="L157" s="705"/>
      <c r="M157" s="705"/>
      <c r="N157" s="708"/>
    </row>
    <row r="158" spans="1:14" ht="15.75" thickBot="1" x14ac:dyDescent="0.3">
      <c r="A158" t="s">
        <v>180</v>
      </c>
      <c r="B158" s="153" t="s">
        <v>270</v>
      </c>
      <c r="C158" s="12"/>
      <c r="D158" s="103">
        <v>610000004852</v>
      </c>
      <c r="E158" s="103">
        <f>VLOOKUP(D158,'[1]Task list &amp; Maintenace plan'!$B:$G,6,FALSE)</f>
        <v>101286</v>
      </c>
      <c r="F158" s="85" t="s">
        <v>280</v>
      </c>
      <c r="G158" s="84" t="s">
        <v>277</v>
      </c>
      <c r="H158" s="84" t="s">
        <v>285</v>
      </c>
      <c r="I158" s="85">
        <v>30</v>
      </c>
      <c r="J158" s="85"/>
      <c r="K158" s="706"/>
      <c r="L158" s="706"/>
      <c r="M158" s="706"/>
      <c r="N158" s="709"/>
    </row>
    <row r="159" spans="1:14" ht="15.75" thickBot="1" x14ac:dyDescent="0.3">
      <c r="A159" t="s">
        <v>180</v>
      </c>
      <c r="B159" s="153" t="s">
        <v>270</v>
      </c>
      <c r="C159" s="12"/>
      <c r="D159" s="156">
        <v>610000004853</v>
      </c>
      <c r="E159" s="156">
        <f>VLOOKUP(D159,'[1]Task list &amp; Maintenace plan'!$B:$G,6,FALSE)</f>
        <v>101287</v>
      </c>
      <c r="F159" s="157" t="s">
        <v>286</v>
      </c>
      <c r="G159" s="158" t="s">
        <v>273</v>
      </c>
      <c r="H159" s="158" t="s">
        <v>287</v>
      </c>
      <c r="I159" s="157">
        <v>30</v>
      </c>
      <c r="J159" s="157"/>
      <c r="K159" s="157">
        <v>30</v>
      </c>
      <c r="L159" s="157">
        <v>1</v>
      </c>
      <c r="M159" s="157">
        <f>L159*K159</f>
        <v>30</v>
      </c>
      <c r="N159" s="159" t="s">
        <v>20</v>
      </c>
    </row>
    <row r="160" spans="1:14" ht="15.75" thickBot="1" x14ac:dyDescent="0.3">
      <c r="A160" t="s">
        <v>180</v>
      </c>
      <c r="B160" s="153" t="s">
        <v>270</v>
      </c>
      <c r="C160" s="12"/>
      <c r="D160" s="100">
        <v>610000004854</v>
      </c>
      <c r="E160" s="100">
        <f>VLOOKUP(D160,'[1]Task list &amp; Maintenace plan'!$B:$G,6,FALSE)</f>
        <v>101288</v>
      </c>
      <c r="F160" s="101" t="s">
        <v>288</v>
      </c>
      <c r="G160" s="102" t="s">
        <v>271</v>
      </c>
      <c r="H160" s="102" t="s">
        <v>289</v>
      </c>
      <c r="I160" s="101">
        <v>60</v>
      </c>
      <c r="J160" s="101">
        <v>1</v>
      </c>
      <c r="K160" s="710">
        <v>60</v>
      </c>
      <c r="L160" s="710">
        <v>1</v>
      </c>
      <c r="M160" s="710">
        <f>L160*K160</f>
        <v>60</v>
      </c>
      <c r="N160" s="712" t="s">
        <v>34</v>
      </c>
    </row>
    <row r="161" spans="1:14" ht="15.75" thickBot="1" x14ac:dyDescent="0.3">
      <c r="A161" t="s">
        <v>180</v>
      </c>
      <c r="B161" s="153" t="s">
        <v>270</v>
      </c>
      <c r="C161" s="12"/>
      <c r="D161" s="123">
        <v>610000004854</v>
      </c>
      <c r="E161" s="123">
        <f>VLOOKUP(D161,'[1]Task list &amp; Maintenace plan'!$B:$G,6,FALSE)</f>
        <v>101288</v>
      </c>
      <c r="F161" s="124" t="s">
        <v>288</v>
      </c>
      <c r="G161" s="107" t="s">
        <v>271</v>
      </c>
      <c r="H161" s="107" t="s">
        <v>290</v>
      </c>
      <c r="I161" s="124">
        <v>60</v>
      </c>
      <c r="J161" s="124">
        <v>1</v>
      </c>
      <c r="K161" s="705"/>
      <c r="L161" s="705"/>
      <c r="M161" s="705"/>
      <c r="N161" s="708"/>
    </row>
    <row r="162" spans="1:14" ht="15.75" thickBot="1" x14ac:dyDescent="0.3">
      <c r="A162" t="s">
        <v>180</v>
      </c>
      <c r="B162" s="153" t="s">
        <v>270</v>
      </c>
      <c r="C162" s="12"/>
      <c r="D162" s="123">
        <v>610000004854</v>
      </c>
      <c r="E162" s="123">
        <f>VLOOKUP(D162,'[1]Task list &amp; Maintenace plan'!$B:$G,6,FALSE)</f>
        <v>101288</v>
      </c>
      <c r="F162" s="124" t="s">
        <v>288</v>
      </c>
      <c r="G162" s="107" t="s">
        <v>275</v>
      </c>
      <c r="H162" s="107" t="s">
        <v>291</v>
      </c>
      <c r="I162" s="124">
        <v>60</v>
      </c>
      <c r="J162" s="124">
        <v>1</v>
      </c>
      <c r="K162" s="705"/>
      <c r="L162" s="705"/>
      <c r="M162" s="705"/>
      <c r="N162" s="708"/>
    </row>
    <row r="163" spans="1:14" ht="15.75" thickBot="1" x14ac:dyDescent="0.3">
      <c r="A163" t="s">
        <v>180</v>
      </c>
      <c r="B163" s="153" t="s">
        <v>270</v>
      </c>
      <c r="C163" s="12"/>
      <c r="D163" s="123">
        <v>610000004854</v>
      </c>
      <c r="E163" s="123">
        <f>VLOOKUP(D163,'[1]Task list &amp; Maintenace plan'!$B:$G,6,FALSE)</f>
        <v>101288</v>
      </c>
      <c r="F163" s="124" t="s">
        <v>288</v>
      </c>
      <c r="G163" s="107" t="s">
        <v>279</v>
      </c>
      <c r="H163" s="107" t="s">
        <v>292</v>
      </c>
      <c r="I163" s="124">
        <v>60</v>
      </c>
      <c r="J163" s="124">
        <v>1</v>
      </c>
      <c r="K163" s="705"/>
      <c r="L163" s="705"/>
      <c r="M163" s="705"/>
      <c r="N163" s="708"/>
    </row>
    <row r="164" spans="1:14" ht="15.75" thickBot="1" x14ac:dyDescent="0.3">
      <c r="A164" t="s">
        <v>180</v>
      </c>
      <c r="B164" s="153" t="s">
        <v>270</v>
      </c>
      <c r="C164" s="12"/>
      <c r="D164" s="123">
        <v>610000004854</v>
      </c>
      <c r="E164" s="123">
        <f>VLOOKUP(D164,'[1]Task list &amp; Maintenace plan'!$B:$G,6,FALSE)</f>
        <v>101288</v>
      </c>
      <c r="F164" s="124" t="s">
        <v>288</v>
      </c>
      <c r="G164" s="107" t="s">
        <v>273</v>
      </c>
      <c r="H164" s="107" t="s">
        <v>293</v>
      </c>
      <c r="I164" s="124">
        <v>60</v>
      </c>
      <c r="J164" s="124">
        <v>1</v>
      </c>
      <c r="K164" s="705"/>
      <c r="L164" s="705"/>
      <c r="M164" s="705"/>
      <c r="N164" s="708"/>
    </row>
    <row r="165" spans="1:14" ht="15.75" thickBot="1" x14ac:dyDescent="0.3">
      <c r="A165" t="s">
        <v>180</v>
      </c>
      <c r="B165" s="153" t="s">
        <v>270</v>
      </c>
      <c r="C165" s="12"/>
      <c r="D165" s="103">
        <v>610000004854</v>
      </c>
      <c r="E165" s="103">
        <f>VLOOKUP(D165,'[1]Task list &amp; Maintenace plan'!$B:$G,6,FALSE)</f>
        <v>101288</v>
      </c>
      <c r="F165" s="85" t="s">
        <v>288</v>
      </c>
      <c r="G165" s="84" t="s">
        <v>277</v>
      </c>
      <c r="H165" s="84" t="s">
        <v>294</v>
      </c>
      <c r="I165" s="85">
        <v>60</v>
      </c>
      <c r="J165" s="85">
        <v>1</v>
      </c>
      <c r="K165" s="706"/>
      <c r="L165" s="706"/>
      <c r="M165" s="706"/>
      <c r="N165" s="709"/>
    </row>
    <row r="166" spans="1:14" ht="15.75" thickBot="1" x14ac:dyDescent="0.3">
      <c r="A166" t="s">
        <v>180</v>
      </c>
      <c r="B166" s="153" t="s">
        <v>270</v>
      </c>
      <c r="C166" s="12"/>
      <c r="D166" s="160">
        <v>610000004855</v>
      </c>
      <c r="E166" s="160">
        <f>VLOOKUP(D166,'[1]Task list &amp; Maintenace plan'!$B:$G,6,FALSE)</f>
        <v>101289</v>
      </c>
      <c r="F166" s="82" t="s">
        <v>295</v>
      </c>
      <c r="G166" s="81" t="s">
        <v>271</v>
      </c>
      <c r="H166" s="81" t="s">
        <v>296</v>
      </c>
      <c r="I166" s="82">
        <v>60</v>
      </c>
      <c r="J166" s="82">
        <v>1</v>
      </c>
      <c r="K166" s="82">
        <v>30</v>
      </c>
      <c r="L166" s="82">
        <v>1</v>
      </c>
      <c r="M166" s="82">
        <f>L166*K166</f>
        <v>30</v>
      </c>
      <c r="N166" s="161" t="s">
        <v>34</v>
      </c>
    </row>
    <row r="167" spans="1:14" ht="15.75" thickBot="1" x14ac:dyDescent="0.3">
      <c r="A167" t="s">
        <v>180</v>
      </c>
      <c r="B167" s="153" t="s">
        <v>270</v>
      </c>
      <c r="C167" s="12"/>
      <c r="D167" s="162"/>
      <c r="E167" s="162" t="e">
        <f>VLOOKUP(D167,'[1]Task list &amp; Maintenace plan'!$B:$G,6,FALSE)</f>
        <v>#N/A</v>
      </c>
      <c r="F167" s="163" t="s">
        <v>297</v>
      </c>
      <c r="G167" s="164" t="s">
        <v>273</v>
      </c>
      <c r="H167" s="164" t="s">
        <v>298</v>
      </c>
      <c r="I167" s="165">
        <v>180</v>
      </c>
      <c r="J167" s="165"/>
      <c r="K167" s="165"/>
      <c r="L167" s="165"/>
      <c r="M167" s="165"/>
      <c r="N167" s="166"/>
    </row>
    <row r="168" spans="1:14" ht="15.75" thickBot="1" x14ac:dyDescent="0.3">
      <c r="A168" t="s">
        <v>180</v>
      </c>
      <c r="B168" s="153" t="s">
        <v>270</v>
      </c>
      <c r="C168" s="27"/>
      <c r="D168" s="167">
        <v>342852</v>
      </c>
      <c r="E168" s="167">
        <f>VLOOKUP(D168,'[1]Task list &amp; Maintenace plan'!$B:$G,6,FALSE)</f>
        <v>101290</v>
      </c>
      <c r="F168" s="168" t="s">
        <v>299</v>
      </c>
      <c r="G168" s="169" t="s">
        <v>273</v>
      </c>
      <c r="H168" s="169" t="s">
        <v>300</v>
      </c>
      <c r="I168" s="168">
        <v>180</v>
      </c>
      <c r="J168" s="168">
        <v>1</v>
      </c>
      <c r="K168" s="168">
        <v>60</v>
      </c>
      <c r="L168" s="168">
        <v>1</v>
      </c>
      <c r="M168" s="168">
        <f>L168*K168</f>
        <v>60</v>
      </c>
      <c r="N168" s="170" t="s">
        <v>117</v>
      </c>
    </row>
    <row r="169" spans="1:14" x14ac:dyDescent="0.25">
      <c r="A169" t="s">
        <v>180</v>
      </c>
      <c r="B169" s="11" t="s">
        <v>301</v>
      </c>
      <c r="C169" s="12"/>
      <c r="D169" s="160">
        <v>610000004858</v>
      </c>
      <c r="E169" s="160">
        <f>VLOOKUP(D169,'[1]Task list &amp; Maintenace plan'!$B:$G,6,FALSE)</f>
        <v>101292</v>
      </c>
      <c r="F169" s="82" t="s">
        <v>303</v>
      </c>
      <c r="G169" s="81" t="s">
        <v>302</v>
      </c>
      <c r="H169" s="81" t="s">
        <v>304</v>
      </c>
      <c r="I169" s="82">
        <v>30</v>
      </c>
      <c r="J169" s="82">
        <v>1</v>
      </c>
      <c r="K169" s="82">
        <v>30</v>
      </c>
      <c r="L169" s="82">
        <v>1</v>
      </c>
      <c r="M169" s="82">
        <f>L169*K169</f>
        <v>30</v>
      </c>
      <c r="N169" s="161" t="s">
        <v>20</v>
      </c>
    </row>
    <row r="170" spans="1:14" x14ac:dyDescent="0.25">
      <c r="A170" t="s">
        <v>180</v>
      </c>
      <c r="B170" s="11" t="s">
        <v>301</v>
      </c>
      <c r="C170" s="12"/>
      <c r="D170" s="100">
        <v>610000004859</v>
      </c>
      <c r="E170" s="100">
        <f>VLOOKUP(D170,'[1]Task list &amp; Maintenace plan'!$B:$G,6,FALSE)</f>
        <v>101293</v>
      </c>
      <c r="F170" s="101" t="s">
        <v>306</v>
      </c>
      <c r="G170" s="102" t="s">
        <v>302</v>
      </c>
      <c r="H170" s="102" t="s">
        <v>307</v>
      </c>
      <c r="I170" s="101">
        <v>30</v>
      </c>
      <c r="J170" s="101"/>
      <c r="K170" s="710">
        <v>10</v>
      </c>
      <c r="L170" s="710">
        <v>1</v>
      </c>
      <c r="M170" s="710">
        <f>L170*K170</f>
        <v>10</v>
      </c>
      <c r="N170" s="712" t="s">
        <v>20</v>
      </c>
    </row>
    <row r="171" spans="1:14" x14ac:dyDescent="0.25">
      <c r="A171" t="s">
        <v>180</v>
      </c>
      <c r="B171" s="11" t="s">
        <v>301</v>
      </c>
      <c r="C171" s="12"/>
      <c r="D171" s="100">
        <v>610000004859</v>
      </c>
      <c r="E171" s="100">
        <f>VLOOKUP(D171,'[1]Task list &amp; Maintenace plan'!$B:$G,6,FALSE)</f>
        <v>101293</v>
      </c>
      <c r="F171" s="101" t="s">
        <v>306</v>
      </c>
      <c r="G171" s="102" t="s">
        <v>305</v>
      </c>
      <c r="H171" s="102" t="s">
        <v>309</v>
      </c>
      <c r="I171" s="101">
        <v>30</v>
      </c>
      <c r="J171" s="101"/>
      <c r="K171" s="705"/>
      <c r="L171" s="705"/>
      <c r="M171" s="705"/>
      <c r="N171" s="708"/>
    </row>
    <row r="172" spans="1:14" x14ac:dyDescent="0.25">
      <c r="A172" t="s">
        <v>180</v>
      </c>
      <c r="B172" s="11" t="s">
        <v>301</v>
      </c>
      <c r="C172" s="12"/>
      <c r="D172" s="100">
        <v>610000004859</v>
      </c>
      <c r="E172" s="100">
        <f>VLOOKUP(D172,'[1]Task list &amp; Maintenace plan'!$B:$G,6,FALSE)</f>
        <v>101293</v>
      </c>
      <c r="F172" s="101" t="s">
        <v>306</v>
      </c>
      <c r="G172" s="102" t="s">
        <v>308</v>
      </c>
      <c r="H172" s="102" t="s">
        <v>311</v>
      </c>
      <c r="I172" s="101">
        <v>30</v>
      </c>
      <c r="J172" s="101"/>
      <c r="K172" s="705"/>
      <c r="L172" s="705"/>
      <c r="M172" s="705"/>
      <c r="N172" s="708"/>
    </row>
    <row r="173" spans="1:14" x14ac:dyDescent="0.25">
      <c r="A173" t="s">
        <v>180</v>
      </c>
      <c r="B173" s="11" t="s">
        <v>301</v>
      </c>
      <c r="C173" s="12"/>
      <c r="D173" s="100">
        <v>610000004859</v>
      </c>
      <c r="E173" s="100">
        <f>VLOOKUP(D173,'[1]Task list &amp; Maintenace plan'!$B:$G,6,FALSE)</f>
        <v>101293</v>
      </c>
      <c r="F173" s="101" t="s">
        <v>306</v>
      </c>
      <c r="G173" s="102" t="s">
        <v>310</v>
      </c>
      <c r="H173" s="102" t="s">
        <v>313</v>
      </c>
      <c r="I173" s="101">
        <v>30</v>
      </c>
      <c r="J173" s="101"/>
      <c r="K173" s="705"/>
      <c r="L173" s="705"/>
      <c r="M173" s="705"/>
      <c r="N173" s="708"/>
    </row>
    <row r="174" spans="1:14" x14ac:dyDescent="0.25">
      <c r="A174" t="s">
        <v>180</v>
      </c>
      <c r="B174" s="11" t="s">
        <v>301</v>
      </c>
      <c r="C174" s="12"/>
      <c r="D174" s="140">
        <v>610000004859</v>
      </c>
      <c r="E174" s="140">
        <f>VLOOKUP(D174,'[1]Task list &amp; Maintenace plan'!$B:$G,6,FALSE)</f>
        <v>101293</v>
      </c>
      <c r="F174" s="141" t="s">
        <v>306</v>
      </c>
      <c r="G174" s="142" t="s">
        <v>312</v>
      </c>
      <c r="H174" s="142" t="s">
        <v>314</v>
      </c>
      <c r="I174" s="141">
        <v>30</v>
      </c>
      <c r="J174" s="141"/>
      <c r="K174" s="706"/>
      <c r="L174" s="706"/>
      <c r="M174" s="706"/>
      <c r="N174" s="709"/>
    </row>
    <row r="175" spans="1:14" x14ac:dyDescent="0.25">
      <c r="A175" t="s">
        <v>180</v>
      </c>
      <c r="B175" s="11" t="s">
        <v>301</v>
      </c>
      <c r="C175" s="12"/>
      <c r="D175" s="117">
        <v>610000004860</v>
      </c>
      <c r="E175" s="117">
        <f>VLOOKUP(D175,'[1]Task list &amp; Maintenace plan'!$B:$G,6,FALSE)</f>
        <v>101294</v>
      </c>
      <c r="F175" s="118" t="s">
        <v>315</v>
      </c>
      <c r="G175" s="119" t="s">
        <v>312</v>
      </c>
      <c r="H175" s="119" t="s">
        <v>316</v>
      </c>
      <c r="I175" s="118">
        <v>60</v>
      </c>
      <c r="J175" s="118">
        <v>1</v>
      </c>
      <c r="K175" s="710">
        <v>30</v>
      </c>
      <c r="L175" s="710">
        <v>1</v>
      </c>
      <c r="M175" s="710">
        <f>L175*K175</f>
        <v>30</v>
      </c>
      <c r="N175" s="712" t="s">
        <v>34</v>
      </c>
    </row>
    <row r="176" spans="1:14" x14ac:dyDescent="0.25">
      <c r="A176" t="s">
        <v>180</v>
      </c>
      <c r="B176" s="11" t="s">
        <v>301</v>
      </c>
      <c r="C176" s="12"/>
      <c r="D176" s="100">
        <v>610000004860</v>
      </c>
      <c r="E176" s="100">
        <f>VLOOKUP(D176,'[1]Task list &amp; Maintenace plan'!$B:$G,6,FALSE)</f>
        <v>101294</v>
      </c>
      <c r="F176" s="101" t="s">
        <v>315</v>
      </c>
      <c r="G176" s="102" t="s">
        <v>302</v>
      </c>
      <c r="H176" s="107" t="s">
        <v>317</v>
      </c>
      <c r="I176" s="101">
        <v>60</v>
      </c>
      <c r="J176" s="101">
        <v>1</v>
      </c>
      <c r="K176" s="705"/>
      <c r="L176" s="705"/>
      <c r="M176" s="705"/>
      <c r="N176" s="708"/>
    </row>
    <row r="177" spans="1:14" x14ac:dyDescent="0.25">
      <c r="A177" t="s">
        <v>180</v>
      </c>
      <c r="B177" s="11" t="s">
        <v>301</v>
      </c>
      <c r="C177" s="12"/>
      <c r="D177" s="100">
        <v>610000004860</v>
      </c>
      <c r="E177" s="100">
        <f>VLOOKUP(D177,'[1]Task list &amp; Maintenace plan'!$B:$G,6,FALSE)</f>
        <v>101294</v>
      </c>
      <c r="F177" s="101" t="s">
        <v>315</v>
      </c>
      <c r="G177" s="102" t="s">
        <v>305</v>
      </c>
      <c r="H177" s="102" t="s">
        <v>318</v>
      </c>
      <c r="I177" s="101">
        <v>60</v>
      </c>
      <c r="J177" s="101">
        <v>1</v>
      </c>
      <c r="K177" s="705"/>
      <c r="L177" s="705"/>
      <c r="M177" s="705"/>
      <c r="N177" s="708"/>
    </row>
    <row r="178" spans="1:14" x14ac:dyDescent="0.25">
      <c r="A178" t="s">
        <v>180</v>
      </c>
      <c r="B178" s="11" t="s">
        <v>301</v>
      </c>
      <c r="C178" s="12"/>
      <c r="D178" s="100">
        <v>610000004860</v>
      </c>
      <c r="E178" s="100">
        <f>VLOOKUP(D178,'[1]Task list &amp; Maintenace plan'!$B:$G,6,FALSE)</f>
        <v>101294</v>
      </c>
      <c r="F178" s="101" t="s">
        <v>315</v>
      </c>
      <c r="G178" s="102" t="s">
        <v>308</v>
      </c>
      <c r="H178" s="102" t="s">
        <v>319</v>
      </c>
      <c r="I178" s="101">
        <v>60</v>
      </c>
      <c r="J178" s="101">
        <v>1</v>
      </c>
      <c r="K178" s="705"/>
      <c r="L178" s="705"/>
      <c r="M178" s="705"/>
      <c r="N178" s="708"/>
    </row>
    <row r="179" spans="1:14" x14ac:dyDescent="0.25">
      <c r="A179" t="s">
        <v>180</v>
      </c>
      <c r="B179" s="11" t="s">
        <v>301</v>
      </c>
      <c r="C179" s="12"/>
      <c r="D179" s="140">
        <v>610000004860</v>
      </c>
      <c r="E179" s="140">
        <f>VLOOKUP(D179,'[1]Task list &amp; Maintenace plan'!$B:$G,6,FALSE)</f>
        <v>101294</v>
      </c>
      <c r="F179" s="141" t="s">
        <v>315</v>
      </c>
      <c r="G179" s="142" t="s">
        <v>310</v>
      </c>
      <c r="H179" s="142" t="s">
        <v>320</v>
      </c>
      <c r="I179" s="141">
        <v>60</v>
      </c>
      <c r="J179" s="141">
        <v>1</v>
      </c>
      <c r="K179" s="705"/>
      <c r="L179" s="705"/>
      <c r="M179" s="705"/>
      <c r="N179" s="708"/>
    </row>
    <row r="180" spans="1:14" x14ac:dyDescent="0.25">
      <c r="A180" t="s">
        <v>180</v>
      </c>
      <c r="B180" s="11" t="s">
        <v>301</v>
      </c>
      <c r="C180" s="12"/>
      <c r="D180" s="123">
        <v>610000004860</v>
      </c>
      <c r="E180" s="123">
        <f>VLOOKUP(D180,'[1]Task list &amp; Maintenace plan'!$B:$G,6,FALSE)</f>
        <v>101294</v>
      </c>
      <c r="F180" s="124" t="s">
        <v>315</v>
      </c>
      <c r="G180" s="107" t="s">
        <v>312</v>
      </c>
      <c r="H180" s="107" t="s">
        <v>321</v>
      </c>
      <c r="I180" s="124">
        <v>60</v>
      </c>
      <c r="J180" s="124">
        <v>1</v>
      </c>
      <c r="K180" s="705"/>
      <c r="L180" s="705"/>
      <c r="M180" s="705"/>
      <c r="N180" s="708"/>
    </row>
    <row r="181" spans="1:14" x14ac:dyDescent="0.25">
      <c r="A181" t="s">
        <v>180</v>
      </c>
      <c r="B181" s="11" t="s">
        <v>301</v>
      </c>
      <c r="C181" s="12"/>
      <c r="D181" s="103">
        <v>610000004860</v>
      </c>
      <c r="E181" s="103">
        <f>VLOOKUP(D181,'[1]Task list &amp; Maintenace plan'!$B:$G,6,FALSE)</f>
        <v>101294</v>
      </c>
      <c r="F181" s="85" t="s">
        <v>315</v>
      </c>
      <c r="G181" s="84" t="s">
        <v>312</v>
      </c>
      <c r="H181" s="84" t="s">
        <v>322</v>
      </c>
      <c r="I181" s="85">
        <v>60</v>
      </c>
      <c r="J181" s="85">
        <v>1</v>
      </c>
      <c r="K181" s="706"/>
      <c r="L181" s="706"/>
      <c r="M181" s="706"/>
      <c r="N181" s="709"/>
    </row>
    <row r="182" spans="1:14" x14ac:dyDescent="0.25">
      <c r="A182" t="s">
        <v>180</v>
      </c>
      <c r="B182" s="11" t="s">
        <v>301</v>
      </c>
      <c r="C182" s="12"/>
      <c r="D182" s="100">
        <v>610000004861</v>
      </c>
      <c r="E182" s="100">
        <f>VLOOKUP(D182,'[1]Task list &amp; Maintenace plan'!$B:$G,6,FALSE)</f>
        <v>101295</v>
      </c>
      <c r="F182" s="101" t="s">
        <v>323</v>
      </c>
      <c r="G182" s="102" t="s">
        <v>305</v>
      </c>
      <c r="H182" s="102" t="s">
        <v>324</v>
      </c>
      <c r="I182" s="101">
        <v>365</v>
      </c>
      <c r="J182" s="101"/>
      <c r="K182" s="101">
        <v>30</v>
      </c>
      <c r="L182" s="101">
        <v>1</v>
      </c>
      <c r="M182" s="101">
        <f>L182*K182</f>
        <v>30</v>
      </c>
      <c r="N182" s="171" t="s">
        <v>117</v>
      </c>
    </row>
    <row r="183" spans="1:14" ht="15.75" thickBot="1" x14ac:dyDescent="0.3">
      <c r="A183" t="s">
        <v>180</v>
      </c>
      <c r="B183" s="11" t="s">
        <v>301</v>
      </c>
      <c r="C183" s="27"/>
      <c r="D183" s="147">
        <v>610000004861</v>
      </c>
      <c r="E183" s="147">
        <f>VLOOKUP(D183,'[1]Task list &amp; Maintenace plan'!$B:$G,6,FALSE)</f>
        <v>101295</v>
      </c>
      <c r="F183" s="148" t="s">
        <v>323</v>
      </c>
      <c r="G183" s="149" t="s">
        <v>308</v>
      </c>
      <c r="H183" s="149" t="s">
        <v>324</v>
      </c>
      <c r="I183" s="148">
        <v>365</v>
      </c>
      <c r="J183" s="148"/>
      <c r="K183" s="148">
        <v>30</v>
      </c>
      <c r="L183" s="148">
        <v>1</v>
      </c>
      <c r="M183" s="148">
        <f>L183*K183</f>
        <v>30</v>
      </c>
      <c r="N183" s="172" t="s">
        <v>117</v>
      </c>
    </row>
    <row r="184" spans="1:14" x14ac:dyDescent="0.25">
      <c r="A184" t="s">
        <v>180</v>
      </c>
      <c r="B184" s="11" t="s">
        <v>325</v>
      </c>
      <c r="C184" s="12"/>
      <c r="D184" s="173">
        <v>610000004863</v>
      </c>
      <c r="E184" s="173">
        <f>VLOOKUP(D184,'[1]Task list &amp; Maintenace plan'!$B:$G,6,FALSE)</f>
        <v>101297</v>
      </c>
      <c r="F184" s="174" t="s">
        <v>327</v>
      </c>
      <c r="G184" s="175" t="s">
        <v>328</v>
      </c>
      <c r="H184" s="175" t="s">
        <v>329</v>
      </c>
      <c r="I184" s="174">
        <v>30</v>
      </c>
      <c r="J184" s="174">
        <v>1</v>
      </c>
      <c r="K184" s="174">
        <v>30</v>
      </c>
      <c r="L184" s="174">
        <v>1</v>
      </c>
      <c r="M184" s="174">
        <f>L184*K184</f>
        <v>30</v>
      </c>
      <c r="N184" s="176" t="s">
        <v>34</v>
      </c>
    </row>
    <row r="185" spans="1:14" x14ac:dyDescent="0.25">
      <c r="A185" t="s">
        <v>180</v>
      </c>
      <c r="B185" s="11" t="s">
        <v>325</v>
      </c>
      <c r="C185" s="12"/>
      <c r="D185" s="140">
        <v>610000004864</v>
      </c>
      <c r="E185" s="140">
        <f>VLOOKUP(D185,'[1]Task list &amp; Maintenace plan'!$B:$G,6,FALSE)</f>
        <v>101298</v>
      </c>
      <c r="F185" s="141" t="s">
        <v>331</v>
      </c>
      <c r="G185" s="142" t="s">
        <v>326</v>
      </c>
      <c r="H185" s="102" t="s">
        <v>332</v>
      </c>
      <c r="I185" s="141">
        <v>30</v>
      </c>
      <c r="J185" s="141"/>
      <c r="K185" s="710">
        <v>10</v>
      </c>
      <c r="L185" s="710">
        <v>1</v>
      </c>
      <c r="M185" s="710">
        <f>L185*K185</f>
        <v>10</v>
      </c>
      <c r="N185" s="712" t="s">
        <v>20</v>
      </c>
    </row>
    <row r="186" spans="1:14" x14ac:dyDescent="0.25">
      <c r="A186" t="s">
        <v>180</v>
      </c>
      <c r="B186" s="11" t="s">
        <v>325</v>
      </c>
      <c r="C186" s="12"/>
      <c r="D186" s="104">
        <v>610000004864</v>
      </c>
      <c r="E186" s="104">
        <f>VLOOKUP(D186,'[1]Task list &amp; Maintenace plan'!$B:$G,6,FALSE)</f>
        <v>101298</v>
      </c>
      <c r="F186" s="105" t="s">
        <v>331</v>
      </c>
      <c r="G186" s="107" t="s">
        <v>330</v>
      </c>
      <c r="H186" s="106" t="s">
        <v>334</v>
      </c>
      <c r="I186" s="105">
        <v>30</v>
      </c>
      <c r="J186" s="105"/>
      <c r="K186" s="705"/>
      <c r="L186" s="705"/>
      <c r="M186" s="705"/>
      <c r="N186" s="708"/>
    </row>
    <row r="187" spans="1:14" x14ac:dyDescent="0.25">
      <c r="A187" t="s">
        <v>180</v>
      </c>
      <c r="B187" s="11" t="s">
        <v>325</v>
      </c>
      <c r="C187" s="12"/>
      <c r="D187" s="104">
        <v>610000004864</v>
      </c>
      <c r="E187" s="104">
        <f>VLOOKUP(D187,'[1]Task list &amp; Maintenace plan'!$B:$G,6,FALSE)</f>
        <v>101298</v>
      </c>
      <c r="F187" s="105" t="s">
        <v>331</v>
      </c>
      <c r="G187" s="106" t="s">
        <v>333</v>
      </c>
      <c r="H187" s="106" t="s">
        <v>335</v>
      </c>
      <c r="I187" s="105">
        <v>30</v>
      </c>
      <c r="J187" s="105"/>
      <c r="K187" s="705"/>
      <c r="L187" s="705"/>
      <c r="M187" s="705"/>
      <c r="N187" s="708"/>
    </row>
    <row r="188" spans="1:14" x14ac:dyDescent="0.25">
      <c r="A188" t="s">
        <v>180</v>
      </c>
      <c r="B188" s="11" t="s">
        <v>325</v>
      </c>
      <c r="C188" s="177"/>
      <c r="D188" s="103">
        <v>610000004864</v>
      </c>
      <c r="E188" s="103">
        <f>VLOOKUP(D188,'[1]Task list &amp; Maintenace plan'!$B:$G,6,FALSE)</f>
        <v>101298</v>
      </c>
      <c r="F188" s="85" t="s">
        <v>331</v>
      </c>
      <c r="G188" s="84" t="s">
        <v>328</v>
      </c>
      <c r="H188" s="84" t="s">
        <v>336</v>
      </c>
      <c r="I188" s="85">
        <v>30</v>
      </c>
      <c r="J188" s="85"/>
      <c r="K188" s="706"/>
      <c r="L188" s="706"/>
      <c r="M188" s="706"/>
      <c r="N188" s="709"/>
    </row>
    <row r="189" spans="1:14" x14ac:dyDescent="0.25">
      <c r="A189" t="s">
        <v>180</v>
      </c>
      <c r="B189" s="11" t="s">
        <v>325</v>
      </c>
      <c r="C189" s="12"/>
      <c r="D189" s="140">
        <v>610000004865</v>
      </c>
      <c r="E189" s="140">
        <f>VLOOKUP(D189,'[1]Task list &amp; Maintenace plan'!$B:$G,6,FALSE)</f>
        <v>101299</v>
      </c>
      <c r="F189" s="141" t="s">
        <v>337</v>
      </c>
      <c r="G189" s="142" t="s">
        <v>326</v>
      </c>
      <c r="H189" s="107" t="s">
        <v>338</v>
      </c>
      <c r="I189" s="141">
        <v>60</v>
      </c>
      <c r="J189" s="141">
        <v>1</v>
      </c>
      <c r="K189" s="710">
        <v>30</v>
      </c>
      <c r="L189" s="710">
        <v>1</v>
      </c>
      <c r="M189" s="710">
        <f>L189*K189</f>
        <v>30</v>
      </c>
      <c r="N189" s="712" t="s">
        <v>34</v>
      </c>
    </row>
    <row r="190" spans="1:14" x14ac:dyDescent="0.25">
      <c r="A190" t="s">
        <v>180</v>
      </c>
      <c r="B190" s="11" t="s">
        <v>325</v>
      </c>
      <c r="C190" s="12"/>
      <c r="D190" s="104">
        <v>610000004865</v>
      </c>
      <c r="E190" s="104">
        <f>VLOOKUP(D190,'[1]Task list &amp; Maintenace plan'!$B:$G,6,FALSE)</f>
        <v>101299</v>
      </c>
      <c r="F190" s="105" t="s">
        <v>337</v>
      </c>
      <c r="G190" s="107" t="s">
        <v>330</v>
      </c>
      <c r="H190" s="106" t="s">
        <v>339</v>
      </c>
      <c r="I190" s="105">
        <v>60</v>
      </c>
      <c r="J190" s="105">
        <v>1</v>
      </c>
      <c r="K190" s="705"/>
      <c r="L190" s="705"/>
      <c r="M190" s="705"/>
      <c r="N190" s="708"/>
    </row>
    <row r="191" spans="1:14" ht="15.75" thickBot="1" x14ac:dyDescent="0.3">
      <c r="A191" t="s">
        <v>180</v>
      </c>
      <c r="B191" s="11" t="s">
        <v>325</v>
      </c>
      <c r="C191" s="27"/>
      <c r="D191" s="147">
        <v>610000004865</v>
      </c>
      <c r="E191" s="147">
        <f>VLOOKUP(D191,'[1]Task list &amp; Maintenace plan'!$B:$G,6,FALSE)</f>
        <v>101299</v>
      </c>
      <c r="F191" s="148" t="s">
        <v>337</v>
      </c>
      <c r="G191" s="149" t="s">
        <v>333</v>
      </c>
      <c r="H191" s="149" t="s">
        <v>340</v>
      </c>
      <c r="I191" s="148">
        <v>60</v>
      </c>
      <c r="J191" s="148">
        <v>1</v>
      </c>
      <c r="K191" s="714"/>
      <c r="L191" s="714"/>
      <c r="M191" s="714"/>
      <c r="N191" s="715"/>
    </row>
    <row r="192" spans="1:14" x14ac:dyDescent="0.25">
      <c r="A192" t="s">
        <v>180</v>
      </c>
      <c r="B192" s="4" t="s">
        <v>341</v>
      </c>
      <c r="C192" s="5"/>
      <c r="D192" s="6">
        <v>610000004685</v>
      </c>
      <c r="E192" s="6">
        <f>VLOOKUP(D192,'[1]Task list &amp; Maintenace plan'!$B:$G,6,FALSE)</f>
        <v>101119</v>
      </c>
      <c r="F192" s="157" t="s">
        <v>343</v>
      </c>
      <c r="G192" s="158" t="s">
        <v>344</v>
      </c>
      <c r="H192" s="158" t="s">
        <v>345</v>
      </c>
      <c r="I192" s="157">
        <v>15</v>
      </c>
      <c r="J192" s="157">
        <v>1</v>
      </c>
      <c r="K192" s="157">
        <v>10</v>
      </c>
      <c r="L192" s="157">
        <v>1</v>
      </c>
      <c r="M192" s="157">
        <f>L192*K192</f>
        <v>10</v>
      </c>
      <c r="N192" s="159" t="s">
        <v>117</v>
      </c>
    </row>
    <row r="193" spans="1:14" x14ac:dyDescent="0.25">
      <c r="A193" t="s">
        <v>180</v>
      </c>
      <c r="B193" s="4" t="s">
        <v>341</v>
      </c>
      <c r="C193" s="12"/>
      <c r="D193" s="6">
        <v>610000004686</v>
      </c>
      <c r="E193" s="6">
        <f>VLOOKUP(D193,'[1]Task list &amp; Maintenace plan'!$B:$G,6,FALSE)</f>
        <v>101120</v>
      </c>
      <c r="F193" s="157" t="s">
        <v>347</v>
      </c>
      <c r="G193" s="158" t="s">
        <v>344</v>
      </c>
      <c r="H193" s="158" t="s">
        <v>348</v>
      </c>
      <c r="I193" s="157">
        <v>30</v>
      </c>
      <c r="J193" s="157">
        <v>1</v>
      </c>
      <c r="K193" s="157">
        <v>45</v>
      </c>
      <c r="L193" s="157">
        <v>1</v>
      </c>
      <c r="M193" s="157">
        <f>L193*K193</f>
        <v>45</v>
      </c>
      <c r="N193" s="159" t="s">
        <v>117</v>
      </c>
    </row>
    <row r="194" spans="1:14" x14ac:dyDescent="0.25">
      <c r="A194" t="s">
        <v>180</v>
      </c>
      <c r="B194" s="4" t="s">
        <v>341</v>
      </c>
      <c r="C194" s="12"/>
      <c r="D194" s="13">
        <v>610000004687</v>
      </c>
      <c r="E194" s="13">
        <f>VLOOKUP(D194,'[1]Task list &amp; Maintenace plan'!$B:$G,6,FALSE)</f>
        <v>101121</v>
      </c>
      <c r="F194" s="101" t="s">
        <v>350</v>
      </c>
      <c r="G194" s="178" t="s">
        <v>342</v>
      </c>
      <c r="H194" s="178" t="s">
        <v>351</v>
      </c>
      <c r="I194" s="179">
        <v>60</v>
      </c>
      <c r="J194" s="179">
        <v>1</v>
      </c>
      <c r="K194" s="716">
        <v>60</v>
      </c>
      <c r="L194" s="716">
        <v>1</v>
      </c>
      <c r="M194" s="716">
        <f>L194*K194</f>
        <v>60</v>
      </c>
      <c r="N194" s="719" t="s">
        <v>20</v>
      </c>
    </row>
    <row r="195" spans="1:14" x14ac:dyDescent="0.25">
      <c r="A195" t="s">
        <v>180</v>
      </c>
      <c r="B195" s="4" t="s">
        <v>341</v>
      </c>
      <c r="C195" s="12"/>
      <c r="D195" s="17">
        <v>610000004687</v>
      </c>
      <c r="E195" s="17">
        <f>VLOOKUP(D195,'[1]Task list &amp; Maintenace plan'!$B:$G,6,FALSE)</f>
        <v>101121</v>
      </c>
      <c r="F195" s="124" t="s">
        <v>350</v>
      </c>
      <c r="G195" s="180" t="s">
        <v>346</v>
      </c>
      <c r="H195" s="180" t="s">
        <v>353</v>
      </c>
      <c r="I195" s="181">
        <v>60</v>
      </c>
      <c r="J195" s="181">
        <v>1</v>
      </c>
      <c r="K195" s="717"/>
      <c r="L195" s="717"/>
      <c r="M195" s="717"/>
      <c r="N195" s="720"/>
    </row>
    <row r="196" spans="1:14" x14ac:dyDescent="0.25">
      <c r="A196" t="s">
        <v>180</v>
      </c>
      <c r="B196" s="4" t="s">
        <v>341</v>
      </c>
      <c r="C196" s="12"/>
      <c r="D196" s="17">
        <v>610000004687</v>
      </c>
      <c r="E196" s="17">
        <f>VLOOKUP(D196,'[1]Task list &amp; Maintenace plan'!$B:$G,6,FALSE)</f>
        <v>101121</v>
      </c>
      <c r="F196" s="124" t="s">
        <v>350</v>
      </c>
      <c r="G196" s="180" t="s">
        <v>349</v>
      </c>
      <c r="H196" s="180" t="s">
        <v>355</v>
      </c>
      <c r="I196" s="181">
        <v>60</v>
      </c>
      <c r="J196" s="181">
        <v>1</v>
      </c>
      <c r="K196" s="717"/>
      <c r="L196" s="717"/>
      <c r="M196" s="717"/>
      <c r="N196" s="720"/>
    </row>
    <row r="197" spans="1:14" x14ac:dyDescent="0.25">
      <c r="A197" t="s">
        <v>180</v>
      </c>
      <c r="B197" s="4" t="s">
        <v>341</v>
      </c>
      <c r="C197" s="12"/>
      <c r="D197" s="17">
        <v>610000004687</v>
      </c>
      <c r="E197" s="17">
        <f>VLOOKUP(D197,'[1]Task list &amp; Maintenace plan'!$B:$G,6,FALSE)</f>
        <v>101121</v>
      </c>
      <c r="F197" s="18" t="s">
        <v>350</v>
      </c>
      <c r="G197" s="19" t="s">
        <v>352</v>
      </c>
      <c r="H197" s="19" t="s">
        <v>356</v>
      </c>
      <c r="I197" s="18">
        <v>60</v>
      </c>
      <c r="J197" s="18">
        <v>1</v>
      </c>
      <c r="K197" s="717"/>
      <c r="L197" s="717"/>
      <c r="M197" s="717"/>
      <c r="N197" s="720"/>
    </row>
    <row r="198" spans="1:14" x14ac:dyDescent="0.25">
      <c r="A198" t="s">
        <v>180</v>
      </c>
      <c r="B198" s="4" t="s">
        <v>341</v>
      </c>
      <c r="C198" s="12"/>
      <c r="D198" s="17">
        <v>610000004687</v>
      </c>
      <c r="E198" s="17">
        <f>VLOOKUP(D198,'[1]Task list &amp; Maintenace plan'!$B:$G,6,FALSE)</f>
        <v>101121</v>
      </c>
      <c r="F198" s="18" t="s">
        <v>350</v>
      </c>
      <c r="G198" s="19" t="s">
        <v>354</v>
      </c>
      <c r="H198" s="19" t="s">
        <v>357</v>
      </c>
      <c r="I198" s="18">
        <v>60</v>
      </c>
      <c r="J198" s="18">
        <v>1</v>
      </c>
      <c r="K198" s="717"/>
      <c r="L198" s="717"/>
      <c r="M198" s="717"/>
      <c r="N198" s="720"/>
    </row>
    <row r="199" spans="1:14" x14ac:dyDescent="0.25">
      <c r="A199" t="s">
        <v>180</v>
      </c>
      <c r="B199" s="4" t="s">
        <v>341</v>
      </c>
      <c r="C199" s="12"/>
      <c r="D199" s="17">
        <v>610000004687</v>
      </c>
      <c r="E199" s="17">
        <f>VLOOKUP(D199,'[1]Task list &amp; Maintenace plan'!$B:$G,6,FALSE)</f>
        <v>101121</v>
      </c>
      <c r="F199" s="18" t="s">
        <v>350</v>
      </c>
      <c r="G199" s="19" t="s">
        <v>344</v>
      </c>
      <c r="H199" s="19" t="s">
        <v>358</v>
      </c>
      <c r="I199" s="18">
        <v>60</v>
      </c>
      <c r="J199" s="18">
        <v>1</v>
      </c>
      <c r="K199" s="717"/>
      <c r="L199" s="717"/>
      <c r="M199" s="717"/>
      <c r="N199" s="720"/>
    </row>
    <row r="200" spans="1:14" x14ac:dyDescent="0.25">
      <c r="A200" t="s">
        <v>180</v>
      </c>
      <c r="B200" s="4" t="s">
        <v>341</v>
      </c>
      <c r="C200" s="12"/>
      <c r="D200" s="17">
        <v>610000004687</v>
      </c>
      <c r="E200" s="17">
        <f>VLOOKUP(D200,'[1]Task list &amp; Maintenace plan'!$B:$G,6,FALSE)</f>
        <v>101121</v>
      </c>
      <c r="F200" s="124" t="s">
        <v>350</v>
      </c>
      <c r="G200" s="180" t="s">
        <v>342</v>
      </c>
      <c r="H200" s="180" t="s">
        <v>359</v>
      </c>
      <c r="I200" s="181">
        <v>60</v>
      </c>
      <c r="J200" s="181">
        <v>1</v>
      </c>
      <c r="K200" s="717"/>
      <c r="L200" s="717"/>
      <c r="M200" s="717"/>
      <c r="N200" s="720"/>
    </row>
    <row r="201" spans="1:14" x14ac:dyDescent="0.25">
      <c r="A201" t="s">
        <v>180</v>
      </c>
      <c r="B201" s="4" t="s">
        <v>341</v>
      </c>
      <c r="C201" s="12"/>
      <c r="D201" s="17">
        <v>610000004687</v>
      </c>
      <c r="E201" s="17">
        <f>VLOOKUP(D201,'[1]Task list &amp; Maintenace plan'!$B:$G,6,FALSE)</f>
        <v>101121</v>
      </c>
      <c r="F201" s="124" t="s">
        <v>350</v>
      </c>
      <c r="G201" s="180" t="s">
        <v>346</v>
      </c>
      <c r="H201" s="180" t="s">
        <v>360</v>
      </c>
      <c r="I201" s="181">
        <v>60</v>
      </c>
      <c r="J201" s="181">
        <v>1</v>
      </c>
      <c r="K201" s="717"/>
      <c r="L201" s="717"/>
      <c r="M201" s="717"/>
      <c r="N201" s="720"/>
    </row>
    <row r="202" spans="1:14" x14ac:dyDescent="0.25">
      <c r="A202" t="s">
        <v>180</v>
      </c>
      <c r="B202" s="4" t="s">
        <v>341</v>
      </c>
      <c r="C202" s="12"/>
      <c r="D202" s="17">
        <v>610000004687</v>
      </c>
      <c r="E202" s="17">
        <f>VLOOKUP(D202,'[1]Task list &amp; Maintenace plan'!$B:$G,6,FALSE)</f>
        <v>101121</v>
      </c>
      <c r="F202" s="124" t="s">
        <v>350</v>
      </c>
      <c r="G202" s="180" t="s">
        <v>349</v>
      </c>
      <c r="H202" s="180" t="s">
        <v>361</v>
      </c>
      <c r="I202" s="181">
        <v>60</v>
      </c>
      <c r="J202" s="181">
        <v>1</v>
      </c>
      <c r="K202" s="717"/>
      <c r="L202" s="717"/>
      <c r="M202" s="717"/>
      <c r="N202" s="720"/>
    </row>
    <row r="203" spans="1:14" x14ac:dyDescent="0.25">
      <c r="A203" t="s">
        <v>180</v>
      </c>
      <c r="B203" s="4" t="s">
        <v>341</v>
      </c>
      <c r="C203" s="12"/>
      <c r="D203" s="17">
        <v>610000004687</v>
      </c>
      <c r="E203" s="17">
        <f>VLOOKUP(D203,'[1]Task list &amp; Maintenace plan'!$B:$G,6,FALSE)</f>
        <v>101121</v>
      </c>
      <c r="F203" s="124" t="s">
        <v>350</v>
      </c>
      <c r="G203" s="180" t="s">
        <v>352</v>
      </c>
      <c r="H203" s="180" t="s">
        <v>362</v>
      </c>
      <c r="I203" s="181">
        <v>60</v>
      </c>
      <c r="J203" s="181">
        <v>1</v>
      </c>
      <c r="K203" s="717"/>
      <c r="L203" s="717"/>
      <c r="M203" s="717"/>
      <c r="N203" s="720"/>
    </row>
    <row r="204" spans="1:14" x14ac:dyDescent="0.25">
      <c r="A204" t="s">
        <v>180</v>
      </c>
      <c r="B204" s="4" t="s">
        <v>341</v>
      </c>
      <c r="C204" s="12"/>
      <c r="D204" s="17">
        <v>610000004687</v>
      </c>
      <c r="E204" s="17">
        <f>VLOOKUP(D204,'[1]Task list &amp; Maintenace plan'!$B:$G,6,FALSE)</f>
        <v>101121</v>
      </c>
      <c r="F204" s="124" t="s">
        <v>350</v>
      </c>
      <c r="G204" s="180" t="s">
        <v>354</v>
      </c>
      <c r="H204" s="180" t="s">
        <v>363</v>
      </c>
      <c r="I204" s="181">
        <v>60</v>
      </c>
      <c r="J204" s="181">
        <v>1</v>
      </c>
      <c r="K204" s="717"/>
      <c r="L204" s="717"/>
      <c r="M204" s="717"/>
      <c r="N204" s="720"/>
    </row>
    <row r="205" spans="1:14" x14ac:dyDescent="0.25">
      <c r="A205" t="s">
        <v>180</v>
      </c>
      <c r="B205" s="4" t="s">
        <v>341</v>
      </c>
      <c r="C205" s="12"/>
      <c r="D205" s="22">
        <v>610000004687</v>
      </c>
      <c r="E205" s="22">
        <f>VLOOKUP(D205,'[1]Task list &amp; Maintenace plan'!$B:$G,6,FALSE)</f>
        <v>101121</v>
      </c>
      <c r="F205" s="85" t="s">
        <v>350</v>
      </c>
      <c r="G205" s="182" t="s">
        <v>344</v>
      </c>
      <c r="H205" s="182" t="s">
        <v>364</v>
      </c>
      <c r="I205" s="183">
        <v>60</v>
      </c>
      <c r="J205" s="183">
        <v>1</v>
      </c>
      <c r="K205" s="718"/>
      <c r="L205" s="718"/>
      <c r="M205" s="718"/>
      <c r="N205" s="721"/>
    </row>
    <row r="206" spans="1:14" x14ac:dyDescent="0.25">
      <c r="A206" t="s">
        <v>180</v>
      </c>
      <c r="B206" s="4" t="s">
        <v>341</v>
      </c>
      <c r="C206" s="12"/>
      <c r="D206" s="13">
        <v>610000004689</v>
      </c>
      <c r="E206" s="13">
        <f>VLOOKUP(D206,'[1]Task list &amp; Maintenace plan'!$B:$G,6,FALSE)</f>
        <v>101123</v>
      </c>
      <c r="F206" s="14" t="s">
        <v>365</v>
      </c>
      <c r="G206" s="15" t="s">
        <v>342</v>
      </c>
      <c r="H206" s="15" t="s">
        <v>366</v>
      </c>
      <c r="I206" s="14">
        <v>60</v>
      </c>
      <c r="J206" s="14">
        <v>1</v>
      </c>
      <c r="K206" s="686">
        <v>60</v>
      </c>
      <c r="L206" s="686">
        <v>1</v>
      </c>
      <c r="M206" s="686">
        <f>L206*K206</f>
        <v>60</v>
      </c>
      <c r="N206" s="689" t="s">
        <v>34</v>
      </c>
    </row>
    <row r="207" spans="1:14" x14ac:dyDescent="0.25">
      <c r="A207" t="s">
        <v>180</v>
      </c>
      <c r="B207" s="4" t="s">
        <v>341</v>
      </c>
      <c r="C207" s="12"/>
      <c r="D207" s="17">
        <v>610000004689</v>
      </c>
      <c r="E207" s="17">
        <f>VLOOKUP(D207,'[1]Task list &amp; Maintenace plan'!$B:$G,6,FALSE)</f>
        <v>101123</v>
      </c>
      <c r="F207" s="124" t="s">
        <v>365</v>
      </c>
      <c r="G207" s="180" t="s">
        <v>346</v>
      </c>
      <c r="H207" s="180" t="s">
        <v>367</v>
      </c>
      <c r="I207" s="181">
        <v>60</v>
      </c>
      <c r="J207" s="181">
        <v>1</v>
      </c>
      <c r="K207" s="687"/>
      <c r="L207" s="687"/>
      <c r="M207" s="687"/>
      <c r="N207" s="690"/>
    </row>
    <row r="208" spans="1:14" x14ac:dyDescent="0.25">
      <c r="A208" t="s">
        <v>180</v>
      </c>
      <c r="B208" s="4" t="s">
        <v>341</v>
      </c>
      <c r="C208" s="12"/>
      <c r="D208" s="17">
        <v>610000004689</v>
      </c>
      <c r="E208" s="17">
        <f>VLOOKUP(D208,'[1]Task list &amp; Maintenace plan'!$B:$G,6,FALSE)</f>
        <v>101123</v>
      </c>
      <c r="F208" s="124" t="s">
        <v>365</v>
      </c>
      <c r="G208" s="180" t="s">
        <v>349</v>
      </c>
      <c r="H208" s="180" t="s">
        <v>368</v>
      </c>
      <c r="I208" s="181">
        <v>60</v>
      </c>
      <c r="J208" s="181">
        <v>1</v>
      </c>
      <c r="K208" s="687"/>
      <c r="L208" s="687"/>
      <c r="M208" s="687"/>
      <c r="N208" s="690"/>
    </row>
    <row r="209" spans="1:14" x14ac:dyDescent="0.25">
      <c r="A209" t="s">
        <v>180</v>
      </c>
      <c r="B209" s="4" t="s">
        <v>341</v>
      </c>
      <c r="C209" s="12"/>
      <c r="D209" s="17">
        <v>610000004689</v>
      </c>
      <c r="E209" s="17">
        <f>VLOOKUP(D209,'[1]Task list &amp; Maintenace plan'!$B:$G,6,FALSE)</f>
        <v>101123</v>
      </c>
      <c r="F209" s="124" t="s">
        <v>365</v>
      </c>
      <c r="G209" s="180" t="s">
        <v>352</v>
      </c>
      <c r="H209" s="180" t="s">
        <v>369</v>
      </c>
      <c r="I209" s="181">
        <v>60</v>
      </c>
      <c r="J209" s="181">
        <v>1</v>
      </c>
      <c r="K209" s="687"/>
      <c r="L209" s="687"/>
      <c r="M209" s="687"/>
      <c r="N209" s="690"/>
    </row>
    <row r="210" spans="1:14" x14ac:dyDescent="0.25">
      <c r="A210" t="s">
        <v>180</v>
      </c>
      <c r="B210" s="4" t="s">
        <v>341</v>
      </c>
      <c r="C210" s="12"/>
      <c r="D210" s="17">
        <v>610000004689</v>
      </c>
      <c r="E210" s="17">
        <f>VLOOKUP(D210,'[1]Task list &amp; Maintenace plan'!$B:$G,6,FALSE)</f>
        <v>101123</v>
      </c>
      <c r="F210" s="124" t="s">
        <v>365</v>
      </c>
      <c r="G210" s="180" t="s">
        <v>354</v>
      </c>
      <c r="H210" s="180" t="s">
        <v>370</v>
      </c>
      <c r="I210" s="181">
        <v>60</v>
      </c>
      <c r="J210" s="181">
        <v>1</v>
      </c>
      <c r="K210" s="687"/>
      <c r="L210" s="687"/>
      <c r="M210" s="687"/>
      <c r="N210" s="690"/>
    </row>
    <row r="211" spans="1:14" ht="15.75" thickBot="1" x14ac:dyDescent="0.3">
      <c r="A211" t="s">
        <v>180</v>
      </c>
      <c r="B211" s="4" t="s">
        <v>341</v>
      </c>
      <c r="C211" s="27"/>
      <c r="D211" s="22">
        <v>610000004689</v>
      </c>
      <c r="E211" s="22">
        <f>VLOOKUP(D211,'[1]Task list &amp; Maintenace plan'!$B:$G,6,FALSE)</f>
        <v>101123</v>
      </c>
      <c r="F211" s="85" t="s">
        <v>365</v>
      </c>
      <c r="G211" s="182" t="s">
        <v>344</v>
      </c>
      <c r="H211" s="182" t="s">
        <v>371</v>
      </c>
      <c r="I211" s="183">
        <v>60</v>
      </c>
      <c r="J211" s="183">
        <v>1</v>
      </c>
      <c r="K211" s="692"/>
      <c r="L211" s="692"/>
      <c r="M211" s="692"/>
      <c r="N211" s="693"/>
    </row>
    <row r="212" spans="1:14" x14ac:dyDescent="0.25">
      <c r="A212" t="s">
        <v>180</v>
      </c>
      <c r="B212" s="11" t="s">
        <v>372</v>
      </c>
      <c r="C212" s="12"/>
      <c r="D212" s="52">
        <v>610000004691</v>
      </c>
      <c r="E212" s="52">
        <f>VLOOKUP(D212,'[1]Task list &amp; Maintenace plan'!$B:$G,6,FALSE)</f>
        <v>101125</v>
      </c>
      <c r="F212" s="53" t="s">
        <v>373</v>
      </c>
      <c r="G212" s="54" t="s">
        <v>273</v>
      </c>
      <c r="H212" s="175" t="s">
        <v>274</v>
      </c>
      <c r="I212" s="53">
        <v>30</v>
      </c>
      <c r="J212" s="53">
        <v>1</v>
      </c>
      <c r="K212" s="53">
        <v>60</v>
      </c>
      <c r="L212" s="53">
        <v>1</v>
      </c>
      <c r="M212" s="53">
        <f>L212*K212</f>
        <v>60</v>
      </c>
      <c r="N212" s="56" t="s">
        <v>34</v>
      </c>
    </row>
    <row r="213" spans="1:14" x14ac:dyDescent="0.25">
      <c r="A213" t="s">
        <v>180</v>
      </c>
      <c r="B213" s="11" t="s">
        <v>385</v>
      </c>
      <c r="C213" s="12"/>
      <c r="D213" s="57">
        <v>610000004693</v>
      </c>
      <c r="E213" s="57">
        <f>VLOOKUP(D213,'[1]Task list &amp; Maintenace plan'!$B:$G,6,FALSE)</f>
        <v>101127</v>
      </c>
      <c r="F213" s="141" t="s">
        <v>374</v>
      </c>
      <c r="G213" s="142" t="s">
        <v>273</v>
      </c>
      <c r="H213" s="142" t="s">
        <v>287</v>
      </c>
      <c r="I213" s="141">
        <v>90</v>
      </c>
      <c r="J213" s="141"/>
      <c r="K213" s="141">
        <v>60</v>
      </c>
      <c r="L213" s="141">
        <v>1</v>
      </c>
      <c r="M213" s="141">
        <f>L213*K213</f>
        <v>60</v>
      </c>
      <c r="N213" s="184" t="s">
        <v>20</v>
      </c>
    </row>
    <row r="214" spans="1:14" x14ac:dyDescent="0.25">
      <c r="A214" t="s">
        <v>180</v>
      </c>
      <c r="B214" s="11" t="s">
        <v>413</v>
      </c>
      <c r="C214" s="12"/>
      <c r="D214" s="33">
        <v>610000004694</v>
      </c>
      <c r="E214" s="33">
        <f>VLOOKUP(D214,'[1]Task list &amp; Maintenace plan'!$B:$G,6,FALSE)</f>
        <v>101128</v>
      </c>
      <c r="F214" s="34" t="s">
        <v>375</v>
      </c>
      <c r="G214" s="26" t="s">
        <v>271</v>
      </c>
      <c r="H214" s="26" t="s">
        <v>281</v>
      </c>
      <c r="I214" s="34">
        <v>60</v>
      </c>
      <c r="J214" s="34">
        <v>1</v>
      </c>
      <c r="K214" s="686">
        <v>60</v>
      </c>
      <c r="L214" s="686">
        <v>1</v>
      </c>
      <c r="M214" s="686">
        <f>L214*K214</f>
        <v>60</v>
      </c>
      <c r="N214" s="689" t="s">
        <v>20</v>
      </c>
    </row>
    <row r="215" spans="1:14" x14ac:dyDescent="0.25">
      <c r="A215" t="s">
        <v>180</v>
      </c>
      <c r="B215" s="11" t="s">
        <v>453</v>
      </c>
      <c r="C215" s="12"/>
      <c r="D215" s="17">
        <v>610000004694</v>
      </c>
      <c r="E215" s="17">
        <f>VLOOKUP(D215,'[1]Task list &amp; Maintenace plan'!$B:$G,6,FALSE)</f>
        <v>101128</v>
      </c>
      <c r="F215" s="18" t="s">
        <v>375</v>
      </c>
      <c r="G215" s="19" t="s">
        <v>376</v>
      </c>
      <c r="H215" s="19" t="s">
        <v>377</v>
      </c>
      <c r="I215" s="18">
        <v>60</v>
      </c>
      <c r="J215" s="18">
        <v>1</v>
      </c>
      <c r="K215" s="687"/>
      <c r="L215" s="687"/>
      <c r="M215" s="687"/>
      <c r="N215" s="690"/>
    </row>
    <row r="216" spans="1:14" x14ac:dyDescent="0.25">
      <c r="A216" t="s">
        <v>180</v>
      </c>
      <c r="B216" s="11" t="s">
        <v>469</v>
      </c>
      <c r="C216" s="12"/>
      <c r="D216" s="17">
        <v>610000004694</v>
      </c>
      <c r="E216" s="17">
        <f>VLOOKUP(D216,'[1]Task list &amp; Maintenace plan'!$B:$G,6,FALSE)</f>
        <v>101128</v>
      </c>
      <c r="F216" s="18" t="s">
        <v>375</v>
      </c>
      <c r="G216" s="19" t="s">
        <v>279</v>
      </c>
      <c r="H216" s="19" t="s">
        <v>283</v>
      </c>
      <c r="I216" s="18">
        <v>60</v>
      </c>
      <c r="J216" s="18">
        <v>1</v>
      </c>
      <c r="K216" s="687"/>
      <c r="L216" s="687"/>
      <c r="M216" s="687"/>
      <c r="N216" s="690"/>
    </row>
    <row r="217" spans="1:14" x14ac:dyDescent="0.25">
      <c r="A217" t="s">
        <v>180</v>
      </c>
      <c r="B217" s="11" t="s">
        <v>489</v>
      </c>
      <c r="C217" s="12"/>
      <c r="D217" s="17">
        <v>610000004694</v>
      </c>
      <c r="E217" s="17">
        <f>VLOOKUP(D217,'[1]Task list &amp; Maintenace plan'!$B:$G,6,FALSE)</f>
        <v>101128</v>
      </c>
      <c r="F217" s="18" t="s">
        <v>375</v>
      </c>
      <c r="G217" s="19" t="s">
        <v>271</v>
      </c>
      <c r="H217" s="19" t="s">
        <v>379</v>
      </c>
      <c r="I217" s="18">
        <v>60</v>
      </c>
      <c r="J217" s="18">
        <v>1</v>
      </c>
      <c r="K217" s="687"/>
      <c r="L217" s="687"/>
      <c r="M217" s="687"/>
      <c r="N217" s="690"/>
    </row>
    <row r="218" spans="1:14" x14ac:dyDescent="0.25">
      <c r="A218" t="s">
        <v>180</v>
      </c>
      <c r="B218" s="11" t="s">
        <v>498</v>
      </c>
      <c r="C218" s="177"/>
      <c r="D218" s="17">
        <v>610000004694</v>
      </c>
      <c r="E218" s="17">
        <f>VLOOKUP(D218,'[1]Task list &amp; Maintenace plan'!$B:$G,6,FALSE)</f>
        <v>101128</v>
      </c>
      <c r="F218" s="18" t="s">
        <v>375</v>
      </c>
      <c r="G218" s="19" t="s">
        <v>376</v>
      </c>
      <c r="H218" s="19" t="s">
        <v>380</v>
      </c>
      <c r="I218" s="18">
        <v>60</v>
      </c>
      <c r="J218" s="18">
        <v>1</v>
      </c>
      <c r="K218" s="687"/>
      <c r="L218" s="687"/>
      <c r="M218" s="687"/>
      <c r="N218" s="690"/>
    </row>
    <row r="219" spans="1:14" x14ac:dyDescent="0.25">
      <c r="A219" t="s">
        <v>180</v>
      </c>
      <c r="B219" s="11" t="s">
        <v>499</v>
      </c>
      <c r="C219" s="12"/>
      <c r="D219" s="22">
        <v>610000004694</v>
      </c>
      <c r="E219" s="22">
        <f>VLOOKUP(D219,'[1]Task list &amp; Maintenace plan'!$B:$G,6,FALSE)</f>
        <v>101128</v>
      </c>
      <c r="F219" s="23" t="s">
        <v>375</v>
      </c>
      <c r="G219" s="24" t="s">
        <v>279</v>
      </c>
      <c r="H219" s="24" t="s">
        <v>381</v>
      </c>
      <c r="I219" s="23">
        <v>60</v>
      </c>
      <c r="J219" s="23">
        <v>1</v>
      </c>
      <c r="K219" s="688"/>
      <c r="L219" s="688"/>
      <c r="M219" s="688"/>
      <c r="N219" s="691"/>
    </row>
    <row r="220" spans="1:14" x14ac:dyDescent="0.25">
      <c r="A220" t="s">
        <v>180</v>
      </c>
      <c r="B220" s="11" t="s">
        <v>500</v>
      </c>
      <c r="C220" s="12"/>
      <c r="D220" s="13">
        <v>610000004696</v>
      </c>
      <c r="E220" s="13">
        <f>VLOOKUP(D220,'[1]Task list &amp; Maintenace plan'!$B:$G,6,FALSE)</f>
        <v>101130</v>
      </c>
      <c r="F220" s="14" t="s">
        <v>382</v>
      </c>
      <c r="G220" s="15" t="s">
        <v>271</v>
      </c>
      <c r="H220" s="15" t="s">
        <v>290</v>
      </c>
      <c r="I220" s="14">
        <v>60</v>
      </c>
      <c r="J220" s="14">
        <v>1</v>
      </c>
      <c r="K220" s="686">
        <v>60</v>
      </c>
      <c r="L220" s="686">
        <v>1</v>
      </c>
      <c r="M220" s="686">
        <f>L220*K220</f>
        <v>60</v>
      </c>
      <c r="N220" s="689" t="s">
        <v>34</v>
      </c>
    </row>
    <row r="221" spans="1:14" x14ac:dyDescent="0.25">
      <c r="A221" t="s">
        <v>180</v>
      </c>
      <c r="B221" s="11" t="s">
        <v>501</v>
      </c>
      <c r="C221" s="12"/>
      <c r="D221" s="17">
        <v>610000004696</v>
      </c>
      <c r="E221" s="17">
        <f>VLOOKUP(D221,'[1]Task list &amp; Maintenace plan'!$B:$G,6,FALSE)</f>
        <v>101130</v>
      </c>
      <c r="F221" s="18" t="s">
        <v>382</v>
      </c>
      <c r="G221" s="19" t="s">
        <v>376</v>
      </c>
      <c r="H221" s="19" t="s">
        <v>383</v>
      </c>
      <c r="I221" s="18">
        <v>60</v>
      </c>
      <c r="J221" s="18">
        <v>1</v>
      </c>
      <c r="K221" s="687"/>
      <c r="L221" s="687"/>
      <c r="M221" s="687"/>
      <c r="N221" s="690"/>
    </row>
    <row r="222" spans="1:14" x14ac:dyDescent="0.25">
      <c r="A222" t="s">
        <v>180</v>
      </c>
      <c r="B222" s="11" t="s">
        <v>502</v>
      </c>
      <c r="C222" s="12"/>
      <c r="D222" s="22">
        <v>610000004696</v>
      </c>
      <c r="E222" s="22">
        <f>VLOOKUP(D222,'[1]Task list &amp; Maintenace plan'!$B:$G,6,FALSE)</f>
        <v>101130</v>
      </c>
      <c r="F222" s="23" t="s">
        <v>382</v>
      </c>
      <c r="G222" s="24" t="s">
        <v>279</v>
      </c>
      <c r="H222" s="24" t="s">
        <v>292</v>
      </c>
      <c r="I222" s="23">
        <v>60</v>
      </c>
      <c r="J222" s="23">
        <v>1</v>
      </c>
      <c r="K222" s="688"/>
      <c r="L222" s="688"/>
      <c r="M222" s="688"/>
      <c r="N222" s="691"/>
    </row>
    <row r="223" spans="1:14" ht="15.75" thickBot="1" x14ac:dyDescent="0.3">
      <c r="A223" t="s">
        <v>180</v>
      </c>
      <c r="B223" s="11" t="s">
        <v>503</v>
      </c>
      <c r="C223" s="27"/>
      <c r="D223" s="185">
        <v>610000004698</v>
      </c>
      <c r="E223" s="185">
        <f>VLOOKUP(D223,'[1]Task list &amp; Maintenace plan'!$B:$G,6,FALSE)</f>
        <v>101132</v>
      </c>
      <c r="F223" s="186" t="s">
        <v>384</v>
      </c>
      <c r="G223" s="187" t="s">
        <v>273</v>
      </c>
      <c r="H223" s="187" t="s">
        <v>300</v>
      </c>
      <c r="I223" s="186">
        <v>365</v>
      </c>
      <c r="J223" s="186">
        <v>1</v>
      </c>
      <c r="K223" s="186">
        <v>60</v>
      </c>
      <c r="L223" s="186">
        <v>1</v>
      </c>
      <c r="M223" s="186">
        <f>L223*K223</f>
        <v>60</v>
      </c>
      <c r="N223" s="188" t="s">
        <v>117</v>
      </c>
    </row>
    <row r="224" spans="1:14" x14ac:dyDescent="0.25">
      <c r="A224" t="s">
        <v>180</v>
      </c>
      <c r="B224" s="11" t="s">
        <v>385</v>
      </c>
      <c r="C224" s="12"/>
      <c r="D224" s="17">
        <v>610000004700</v>
      </c>
      <c r="E224" s="17">
        <f>VLOOKUP(D224,'[1]Task list &amp; Maintenace plan'!$B:$G,6,FALSE)</f>
        <v>101134</v>
      </c>
      <c r="F224" s="124" t="s">
        <v>387</v>
      </c>
      <c r="G224" s="180" t="s">
        <v>386</v>
      </c>
      <c r="H224" s="180" t="s">
        <v>388</v>
      </c>
      <c r="I224" s="181">
        <v>60</v>
      </c>
      <c r="J224" s="181">
        <v>1</v>
      </c>
      <c r="K224" s="722">
        <v>60</v>
      </c>
      <c r="L224" s="722">
        <v>1</v>
      </c>
      <c r="M224" s="722">
        <f>L224*K224</f>
        <v>60</v>
      </c>
      <c r="N224" s="723" t="s">
        <v>20</v>
      </c>
    </row>
    <row r="225" spans="1:14" x14ac:dyDescent="0.25">
      <c r="A225" t="s">
        <v>180</v>
      </c>
      <c r="B225" s="11" t="s">
        <v>385</v>
      </c>
      <c r="C225" s="12"/>
      <c r="D225" s="17">
        <v>610000004700</v>
      </c>
      <c r="E225" s="17">
        <f>VLOOKUP(D225,'[1]Task list &amp; Maintenace plan'!$B:$G,6,FALSE)</f>
        <v>101134</v>
      </c>
      <c r="F225" s="124" t="s">
        <v>387</v>
      </c>
      <c r="G225" s="180" t="s">
        <v>389</v>
      </c>
      <c r="H225" s="180" t="s">
        <v>390</v>
      </c>
      <c r="I225" s="181">
        <v>60</v>
      </c>
      <c r="J225" s="181">
        <v>1</v>
      </c>
      <c r="K225" s="717"/>
      <c r="L225" s="717"/>
      <c r="M225" s="717"/>
      <c r="N225" s="720"/>
    </row>
    <row r="226" spans="1:14" x14ac:dyDescent="0.25">
      <c r="A226" t="s">
        <v>180</v>
      </c>
      <c r="B226" s="11" t="s">
        <v>385</v>
      </c>
      <c r="C226" s="12"/>
      <c r="D226" s="17">
        <v>610000004700</v>
      </c>
      <c r="E226" s="17">
        <f>VLOOKUP(D226,'[1]Task list &amp; Maintenace plan'!$B:$G,6,FALSE)</f>
        <v>101134</v>
      </c>
      <c r="F226" s="124" t="s">
        <v>387</v>
      </c>
      <c r="G226" s="180" t="s">
        <v>391</v>
      </c>
      <c r="H226" s="180" t="s">
        <v>392</v>
      </c>
      <c r="I226" s="181">
        <v>60</v>
      </c>
      <c r="J226" s="181">
        <v>1</v>
      </c>
      <c r="K226" s="717"/>
      <c r="L226" s="717"/>
      <c r="M226" s="717"/>
      <c r="N226" s="720"/>
    </row>
    <row r="227" spans="1:14" x14ac:dyDescent="0.25">
      <c r="A227" t="s">
        <v>180</v>
      </c>
      <c r="B227" s="11" t="s">
        <v>385</v>
      </c>
      <c r="C227" s="12"/>
      <c r="D227" s="17">
        <v>610000004700</v>
      </c>
      <c r="E227" s="17">
        <f>VLOOKUP(D227,'[1]Task list &amp; Maintenace plan'!$B:$G,6,FALSE)</f>
        <v>101134</v>
      </c>
      <c r="F227" s="124" t="s">
        <v>387</v>
      </c>
      <c r="G227" s="180" t="s">
        <v>393</v>
      </c>
      <c r="H227" s="180" t="s">
        <v>394</v>
      </c>
      <c r="I227" s="181">
        <v>60</v>
      </c>
      <c r="J227" s="181">
        <v>1</v>
      </c>
      <c r="K227" s="717"/>
      <c r="L227" s="717"/>
      <c r="M227" s="717"/>
      <c r="N227" s="720"/>
    </row>
    <row r="228" spans="1:14" x14ac:dyDescent="0.25">
      <c r="A228" t="s">
        <v>180</v>
      </c>
      <c r="B228" s="11" t="s">
        <v>385</v>
      </c>
      <c r="C228" s="12"/>
      <c r="D228" s="17">
        <v>610000004700</v>
      </c>
      <c r="E228" s="17">
        <f>VLOOKUP(D228,'[1]Task list &amp; Maintenace plan'!$B:$G,6,FALSE)</f>
        <v>101134</v>
      </c>
      <c r="F228" s="124" t="s">
        <v>387</v>
      </c>
      <c r="G228" s="180" t="s">
        <v>395</v>
      </c>
      <c r="H228" s="180" t="s">
        <v>396</v>
      </c>
      <c r="I228" s="181">
        <v>60</v>
      </c>
      <c r="J228" s="181">
        <v>1</v>
      </c>
      <c r="K228" s="717"/>
      <c r="L228" s="717"/>
      <c r="M228" s="717"/>
      <c r="N228" s="720"/>
    </row>
    <row r="229" spans="1:14" x14ac:dyDescent="0.25">
      <c r="A229" t="s">
        <v>180</v>
      </c>
      <c r="B229" s="11" t="s">
        <v>385</v>
      </c>
      <c r="C229" s="12"/>
      <c r="D229" s="17">
        <v>610000004700</v>
      </c>
      <c r="E229" s="17">
        <f>VLOOKUP(D229,'[1]Task list &amp; Maintenace plan'!$B:$G,6,FALSE)</f>
        <v>101134</v>
      </c>
      <c r="F229" s="124" t="s">
        <v>387</v>
      </c>
      <c r="G229" s="180" t="s">
        <v>397</v>
      </c>
      <c r="H229" s="180" t="s">
        <v>398</v>
      </c>
      <c r="I229" s="181">
        <v>60</v>
      </c>
      <c r="J229" s="181">
        <v>1</v>
      </c>
      <c r="K229" s="717"/>
      <c r="L229" s="717"/>
      <c r="M229" s="717"/>
      <c r="N229" s="720"/>
    </row>
    <row r="230" spans="1:14" x14ac:dyDescent="0.25">
      <c r="A230" t="s">
        <v>180</v>
      </c>
      <c r="B230" s="11" t="s">
        <v>385</v>
      </c>
      <c r="C230" s="12"/>
      <c r="D230" s="17">
        <v>610000004700</v>
      </c>
      <c r="E230" s="17">
        <f>VLOOKUP(D230,'[1]Task list &amp; Maintenace plan'!$B:$G,6,FALSE)</f>
        <v>101134</v>
      </c>
      <c r="F230" s="124" t="s">
        <v>387</v>
      </c>
      <c r="G230" s="180" t="s">
        <v>386</v>
      </c>
      <c r="H230" s="180" t="s">
        <v>400</v>
      </c>
      <c r="I230" s="181">
        <v>60</v>
      </c>
      <c r="J230" s="181">
        <v>1</v>
      </c>
      <c r="K230" s="717"/>
      <c r="L230" s="717"/>
      <c r="M230" s="717"/>
      <c r="N230" s="720"/>
    </row>
    <row r="231" spans="1:14" x14ac:dyDescent="0.25">
      <c r="A231" t="s">
        <v>180</v>
      </c>
      <c r="B231" s="11" t="s">
        <v>385</v>
      </c>
      <c r="C231" s="12"/>
      <c r="D231" s="17">
        <v>610000004700</v>
      </c>
      <c r="E231" s="17">
        <f>VLOOKUP(D231,'[1]Task list &amp; Maintenace plan'!$B:$G,6,FALSE)</f>
        <v>101134</v>
      </c>
      <c r="F231" s="124" t="s">
        <v>387</v>
      </c>
      <c r="G231" s="180" t="s">
        <v>389</v>
      </c>
      <c r="H231" s="180" t="s">
        <v>401</v>
      </c>
      <c r="I231" s="181">
        <v>60</v>
      </c>
      <c r="J231" s="181">
        <v>1</v>
      </c>
      <c r="K231" s="717"/>
      <c r="L231" s="717"/>
      <c r="M231" s="717"/>
      <c r="N231" s="720"/>
    </row>
    <row r="232" spans="1:14" x14ac:dyDescent="0.25">
      <c r="A232" t="s">
        <v>180</v>
      </c>
      <c r="B232" s="11" t="s">
        <v>385</v>
      </c>
      <c r="C232" s="12"/>
      <c r="D232" s="17">
        <v>610000004700</v>
      </c>
      <c r="E232" s="17">
        <f>VLOOKUP(D232,'[1]Task list &amp; Maintenace plan'!$B:$G,6,FALSE)</f>
        <v>101134</v>
      </c>
      <c r="F232" s="124" t="s">
        <v>387</v>
      </c>
      <c r="G232" s="180" t="s">
        <v>391</v>
      </c>
      <c r="H232" s="180" t="s">
        <v>402</v>
      </c>
      <c r="I232" s="181">
        <v>60</v>
      </c>
      <c r="J232" s="181">
        <v>1</v>
      </c>
      <c r="K232" s="717"/>
      <c r="L232" s="717"/>
      <c r="M232" s="717"/>
      <c r="N232" s="720"/>
    </row>
    <row r="233" spans="1:14" x14ac:dyDescent="0.25">
      <c r="A233" t="s">
        <v>180</v>
      </c>
      <c r="B233" s="11" t="s">
        <v>385</v>
      </c>
      <c r="C233" s="12"/>
      <c r="D233" s="17">
        <v>610000004700</v>
      </c>
      <c r="E233" s="17">
        <f>VLOOKUP(D233,'[1]Task list &amp; Maintenace plan'!$B:$G,6,FALSE)</f>
        <v>101134</v>
      </c>
      <c r="F233" s="124" t="s">
        <v>387</v>
      </c>
      <c r="G233" s="180" t="s">
        <v>393</v>
      </c>
      <c r="H233" s="180" t="s">
        <v>403</v>
      </c>
      <c r="I233" s="181">
        <v>60</v>
      </c>
      <c r="J233" s="181">
        <v>1</v>
      </c>
      <c r="K233" s="717"/>
      <c r="L233" s="717"/>
      <c r="M233" s="717"/>
      <c r="N233" s="720"/>
    </row>
    <row r="234" spans="1:14" x14ac:dyDescent="0.25">
      <c r="A234" t="s">
        <v>180</v>
      </c>
      <c r="B234" s="11" t="s">
        <v>385</v>
      </c>
      <c r="C234" s="12"/>
      <c r="D234" s="17">
        <v>610000004700</v>
      </c>
      <c r="E234" s="17">
        <f>VLOOKUP(D234,'[1]Task list &amp; Maintenace plan'!$B:$G,6,FALSE)</f>
        <v>101134</v>
      </c>
      <c r="F234" s="124" t="s">
        <v>387</v>
      </c>
      <c r="G234" s="180" t="s">
        <v>395</v>
      </c>
      <c r="H234" s="180" t="s">
        <v>404</v>
      </c>
      <c r="I234" s="181">
        <v>60</v>
      </c>
      <c r="J234" s="181">
        <v>1</v>
      </c>
      <c r="K234" s="717"/>
      <c r="L234" s="717"/>
      <c r="M234" s="717"/>
      <c r="N234" s="720"/>
    </row>
    <row r="235" spans="1:14" x14ac:dyDescent="0.25">
      <c r="A235" t="s">
        <v>180</v>
      </c>
      <c r="B235" s="11" t="s">
        <v>385</v>
      </c>
      <c r="C235" s="12"/>
      <c r="D235" s="22">
        <v>610000004700</v>
      </c>
      <c r="E235" s="22">
        <f>VLOOKUP(D235,'[1]Task list &amp; Maintenace plan'!$B:$G,6,FALSE)</f>
        <v>101134</v>
      </c>
      <c r="F235" s="85" t="s">
        <v>387</v>
      </c>
      <c r="G235" s="182" t="s">
        <v>397</v>
      </c>
      <c r="H235" s="182" t="s">
        <v>405</v>
      </c>
      <c r="I235" s="183">
        <v>60</v>
      </c>
      <c r="J235" s="183">
        <v>1</v>
      </c>
      <c r="K235" s="718"/>
      <c r="L235" s="718"/>
      <c r="M235" s="718"/>
      <c r="N235" s="721"/>
    </row>
    <row r="236" spans="1:14" x14ac:dyDescent="0.25">
      <c r="A236" t="s">
        <v>180</v>
      </c>
      <c r="B236" s="11" t="s">
        <v>385</v>
      </c>
      <c r="C236" s="12"/>
      <c r="D236" s="13">
        <v>610000004702</v>
      </c>
      <c r="E236" s="13">
        <f>VLOOKUP(D236,'[1]Task list &amp; Maintenace plan'!$B:$G,6,FALSE)</f>
        <v>101136</v>
      </c>
      <c r="F236" s="14" t="s">
        <v>406</v>
      </c>
      <c r="G236" s="15" t="s">
        <v>386</v>
      </c>
      <c r="H236" s="15" t="s">
        <v>407</v>
      </c>
      <c r="I236" s="14">
        <v>60</v>
      </c>
      <c r="J236" s="14">
        <v>1</v>
      </c>
      <c r="K236" s="686">
        <v>60</v>
      </c>
      <c r="L236" s="686">
        <v>1</v>
      </c>
      <c r="M236" s="686">
        <f>L236*K236</f>
        <v>60</v>
      </c>
      <c r="N236" s="689" t="s">
        <v>34</v>
      </c>
    </row>
    <row r="237" spans="1:14" x14ac:dyDescent="0.25">
      <c r="A237" t="s">
        <v>180</v>
      </c>
      <c r="B237" s="11" t="s">
        <v>385</v>
      </c>
      <c r="C237" s="12"/>
      <c r="D237" s="17">
        <v>610000004702</v>
      </c>
      <c r="E237" s="17">
        <f>VLOOKUP(D237,'[1]Task list &amp; Maintenace plan'!$B:$G,6,FALSE)</f>
        <v>101136</v>
      </c>
      <c r="F237" s="124" t="s">
        <v>406</v>
      </c>
      <c r="G237" s="180" t="s">
        <v>389</v>
      </c>
      <c r="H237" s="180" t="s">
        <v>408</v>
      </c>
      <c r="I237" s="181">
        <v>60</v>
      </c>
      <c r="J237" s="181">
        <v>1</v>
      </c>
      <c r="K237" s="687"/>
      <c r="L237" s="687"/>
      <c r="M237" s="687"/>
      <c r="N237" s="690"/>
    </row>
    <row r="238" spans="1:14" x14ac:dyDescent="0.25">
      <c r="A238" t="s">
        <v>180</v>
      </c>
      <c r="B238" s="11" t="s">
        <v>385</v>
      </c>
      <c r="C238" s="12"/>
      <c r="D238" s="17">
        <v>610000004702</v>
      </c>
      <c r="E238" s="17">
        <f>VLOOKUP(D238,'[1]Task list &amp; Maintenace plan'!$B:$G,6,FALSE)</f>
        <v>101136</v>
      </c>
      <c r="F238" s="124" t="s">
        <v>406</v>
      </c>
      <c r="G238" s="180" t="s">
        <v>391</v>
      </c>
      <c r="H238" s="180" t="s">
        <v>409</v>
      </c>
      <c r="I238" s="181">
        <v>60</v>
      </c>
      <c r="J238" s="181">
        <v>1</v>
      </c>
      <c r="K238" s="687"/>
      <c r="L238" s="687"/>
      <c r="M238" s="687"/>
      <c r="N238" s="690"/>
    </row>
    <row r="239" spans="1:14" x14ac:dyDescent="0.25">
      <c r="A239" t="s">
        <v>180</v>
      </c>
      <c r="B239" s="11" t="s">
        <v>385</v>
      </c>
      <c r="C239" s="12"/>
      <c r="D239" s="17">
        <v>610000004702</v>
      </c>
      <c r="E239" s="17">
        <f>VLOOKUP(D239,'[1]Task list &amp; Maintenace plan'!$B:$G,6,FALSE)</f>
        <v>101136</v>
      </c>
      <c r="F239" s="124" t="s">
        <v>406</v>
      </c>
      <c r="G239" s="180" t="s">
        <v>393</v>
      </c>
      <c r="H239" s="180" t="s">
        <v>410</v>
      </c>
      <c r="I239" s="181">
        <v>60</v>
      </c>
      <c r="J239" s="181">
        <v>1</v>
      </c>
      <c r="K239" s="687"/>
      <c r="L239" s="687"/>
      <c r="M239" s="687"/>
      <c r="N239" s="690"/>
    </row>
    <row r="240" spans="1:14" x14ac:dyDescent="0.25">
      <c r="A240" t="s">
        <v>180</v>
      </c>
      <c r="B240" s="11" t="s">
        <v>385</v>
      </c>
      <c r="C240" s="12"/>
      <c r="D240" s="17">
        <v>610000004702</v>
      </c>
      <c r="E240" s="17">
        <f>VLOOKUP(D240,'[1]Task list &amp; Maintenace plan'!$B:$G,6,FALSE)</f>
        <v>101136</v>
      </c>
      <c r="F240" s="124" t="s">
        <v>406</v>
      </c>
      <c r="G240" s="180" t="s">
        <v>395</v>
      </c>
      <c r="H240" s="180" t="s">
        <v>411</v>
      </c>
      <c r="I240" s="181">
        <v>60</v>
      </c>
      <c r="J240" s="181">
        <v>1</v>
      </c>
      <c r="K240" s="687"/>
      <c r="L240" s="687"/>
      <c r="M240" s="687"/>
      <c r="N240" s="690"/>
    </row>
    <row r="241" spans="1:14" ht="15.75" thickBot="1" x14ac:dyDescent="0.3">
      <c r="A241" t="s">
        <v>180</v>
      </c>
      <c r="B241" s="11" t="s">
        <v>385</v>
      </c>
      <c r="C241" s="27"/>
      <c r="D241" s="28">
        <v>610000004702</v>
      </c>
      <c r="E241" s="28">
        <f>VLOOKUP(D241,'[1]Task list &amp; Maintenace plan'!$B:$G,6,FALSE)</f>
        <v>101136</v>
      </c>
      <c r="F241" s="148" t="s">
        <v>406</v>
      </c>
      <c r="G241" s="189" t="s">
        <v>397</v>
      </c>
      <c r="H241" s="189" t="s">
        <v>412</v>
      </c>
      <c r="I241" s="190">
        <v>60</v>
      </c>
      <c r="J241" s="190">
        <v>1</v>
      </c>
      <c r="K241" s="692"/>
      <c r="L241" s="692"/>
      <c r="M241" s="692"/>
      <c r="N241" s="693"/>
    </row>
    <row r="242" spans="1:14" x14ac:dyDescent="0.25">
      <c r="A242" t="s">
        <v>180</v>
      </c>
      <c r="B242" s="11" t="s">
        <v>413</v>
      </c>
      <c r="C242" s="12"/>
      <c r="D242" s="36">
        <v>610000004704</v>
      </c>
      <c r="E242" s="36">
        <f>VLOOKUP(D242,'[1]Task list &amp; Maintenace plan'!$B:$G,6,FALSE)</f>
        <v>101138</v>
      </c>
      <c r="F242" s="82" t="s">
        <v>415</v>
      </c>
      <c r="G242" s="191" t="s">
        <v>416</v>
      </c>
      <c r="H242" s="191" t="s">
        <v>274</v>
      </c>
      <c r="I242" s="192">
        <v>15</v>
      </c>
      <c r="J242" s="192">
        <v>1</v>
      </c>
      <c r="K242" s="192">
        <v>60</v>
      </c>
      <c r="L242" s="192">
        <v>1</v>
      </c>
      <c r="M242" s="192">
        <f>L242*K242</f>
        <v>60</v>
      </c>
      <c r="N242" s="193" t="s">
        <v>34</v>
      </c>
    </row>
    <row r="243" spans="1:14" x14ac:dyDescent="0.25">
      <c r="A243" t="s">
        <v>180</v>
      </c>
      <c r="B243" s="11" t="s">
        <v>413</v>
      </c>
      <c r="C243" s="12"/>
      <c r="D243" s="17">
        <v>610000004705</v>
      </c>
      <c r="E243" s="17">
        <f>VLOOKUP(D243,'[1]Task list &amp; Maintenace plan'!$B:$G,6,FALSE)</f>
        <v>101139</v>
      </c>
      <c r="F243" s="124" t="s">
        <v>418</v>
      </c>
      <c r="G243" s="180" t="s">
        <v>419</v>
      </c>
      <c r="H243" s="180" t="s">
        <v>420</v>
      </c>
      <c r="I243" s="181">
        <v>60</v>
      </c>
      <c r="J243" s="181"/>
      <c r="K243" s="181">
        <v>5</v>
      </c>
      <c r="L243" s="181">
        <v>1</v>
      </c>
      <c r="M243" s="181">
        <f>L243*K243</f>
        <v>5</v>
      </c>
      <c r="N243" s="194" t="s">
        <v>20</v>
      </c>
    </row>
    <row r="244" spans="1:14" x14ac:dyDescent="0.25">
      <c r="A244" t="s">
        <v>180</v>
      </c>
      <c r="B244" s="11" t="s">
        <v>413</v>
      </c>
      <c r="C244" s="12"/>
      <c r="D244" s="6">
        <v>610000004706</v>
      </c>
      <c r="E244" s="6">
        <f>VLOOKUP(D244,'[1]Task list &amp; Maintenace plan'!$B:$G,6,FALSE)</f>
        <v>101140</v>
      </c>
      <c r="F244" s="157" t="s">
        <v>421</v>
      </c>
      <c r="G244" s="62" t="s">
        <v>422</v>
      </c>
      <c r="H244" s="62" t="s">
        <v>423</v>
      </c>
      <c r="I244" s="195">
        <v>60</v>
      </c>
      <c r="J244" s="195"/>
      <c r="K244" s="195">
        <v>60</v>
      </c>
      <c r="L244" s="195">
        <v>1</v>
      </c>
      <c r="M244" s="195">
        <f>L244*K244</f>
        <v>60</v>
      </c>
      <c r="N244" s="196" t="s">
        <v>20</v>
      </c>
    </row>
    <row r="245" spans="1:14" x14ac:dyDescent="0.25">
      <c r="A245" t="s">
        <v>180</v>
      </c>
      <c r="B245" s="11" t="s">
        <v>413</v>
      </c>
      <c r="C245" s="12"/>
      <c r="D245" s="13">
        <v>610000004707</v>
      </c>
      <c r="E245" s="13">
        <f>VLOOKUP(D245,'[1]Task list &amp; Maintenace plan'!$B:$G,6,FALSE)</f>
        <v>101141</v>
      </c>
      <c r="F245" s="101" t="s">
        <v>424</v>
      </c>
      <c r="G245" s="178" t="s">
        <v>414</v>
      </c>
      <c r="H245" s="178" t="s">
        <v>425</v>
      </c>
      <c r="I245" s="179">
        <v>60</v>
      </c>
      <c r="J245" s="179">
        <v>1</v>
      </c>
      <c r="K245" s="716">
        <v>45</v>
      </c>
      <c r="L245" s="716">
        <v>1</v>
      </c>
      <c r="M245" s="716">
        <f>L245*K245</f>
        <v>45</v>
      </c>
      <c r="N245" s="719" t="s">
        <v>20</v>
      </c>
    </row>
    <row r="246" spans="1:14" x14ac:dyDescent="0.25">
      <c r="A246" t="s">
        <v>180</v>
      </c>
      <c r="B246" s="11" t="s">
        <v>413</v>
      </c>
      <c r="C246" s="12"/>
      <c r="D246" s="17">
        <v>610000004707</v>
      </c>
      <c r="E246" s="17">
        <f>VLOOKUP(D246,'[1]Task list &amp; Maintenace plan'!$B:$G,6,FALSE)</f>
        <v>101141</v>
      </c>
      <c r="F246" s="124" t="s">
        <v>424</v>
      </c>
      <c r="G246" s="180" t="s">
        <v>417</v>
      </c>
      <c r="H246" s="180" t="s">
        <v>427</v>
      </c>
      <c r="I246" s="181">
        <v>60</v>
      </c>
      <c r="J246" s="181">
        <v>1</v>
      </c>
      <c r="K246" s="717"/>
      <c r="L246" s="717"/>
      <c r="M246" s="717"/>
      <c r="N246" s="720"/>
    </row>
    <row r="247" spans="1:14" x14ac:dyDescent="0.25">
      <c r="A247" t="s">
        <v>180</v>
      </c>
      <c r="B247" s="11" t="s">
        <v>413</v>
      </c>
      <c r="C247" s="12"/>
      <c r="D247" s="17">
        <v>610000004707</v>
      </c>
      <c r="E247" s="17">
        <f>VLOOKUP(D247,'[1]Task list &amp; Maintenace plan'!$B:$G,6,FALSE)</f>
        <v>101141</v>
      </c>
      <c r="F247" s="18" t="s">
        <v>424</v>
      </c>
      <c r="G247" s="19" t="s">
        <v>419</v>
      </c>
      <c r="H247" s="19" t="s">
        <v>428</v>
      </c>
      <c r="I247" s="18">
        <v>60</v>
      </c>
      <c r="J247" s="18">
        <v>1</v>
      </c>
      <c r="K247" s="717"/>
      <c r="L247" s="717"/>
      <c r="M247" s="717"/>
      <c r="N247" s="720"/>
    </row>
    <row r="248" spans="1:14" x14ac:dyDescent="0.25">
      <c r="A248" t="s">
        <v>180</v>
      </c>
      <c r="B248" s="11" t="s">
        <v>413</v>
      </c>
      <c r="C248" s="12"/>
      <c r="D248" s="17">
        <v>610000004707</v>
      </c>
      <c r="E248" s="17">
        <f>VLOOKUP(D248,'[1]Task list &amp; Maintenace plan'!$B:$G,6,FALSE)</f>
        <v>101141</v>
      </c>
      <c r="F248" s="18" t="s">
        <v>424</v>
      </c>
      <c r="G248" s="19" t="s">
        <v>426</v>
      </c>
      <c r="H248" s="19" t="s">
        <v>430</v>
      </c>
      <c r="I248" s="18">
        <v>60</v>
      </c>
      <c r="J248" s="18">
        <v>1</v>
      </c>
      <c r="K248" s="717"/>
      <c r="L248" s="717"/>
      <c r="M248" s="717"/>
      <c r="N248" s="720"/>
    </row>
    <row r="249" spans="1:14" x14ac:dyDescent="0.25">
      <c r="A249" t="s">
        <v>180</v>
      </c>
      <c r="B249" s="11" t="s">
        <v>413</v>
      </c>
      <c r="C249" s="12"/>
      <c r="D249" s="17">
        <v>610000004707</v>
      </c>
      <c r="E249" s="17">
        <f>VLOOKUP(D249,'[1]Task list &amp; Maintenace plan'!$B:$G,6,FALSE)</f>
        <v>101141</v>
      </c>
      <c r="F249" s="18" t="s">
        <v>424</v>
      </c>
      <c r="G249" s="19" t="s">
        <v>416</v>
      </c>
      <c r="H249" s="19" t="s">
        <v>431</v>
      </c>
      <c r="I249" s="18">
        <v>60</v>
      </c>
      <c r="J249" s="18">
        <v>1</v>
      </c>
      <c r="K249" s="717"/>
      <c r="L249" s="717"/>
      <c r="M249" s="717"/>
      <c r="N249" s="720"/>
    </row>
    <row r="250" spans="1:14" x14ac:dyDescent="0.25">
      <c r="A250" t="s">
        <v>180</v>
      </c>
      <c r="B250" s="11" t="s">
        <v>413</v>
      </c>
      <c r="C250" s="12"/>
      <c r="D250" s="17">
        <v>610000004707</v>
      </c>
      <c r="E250" s="17">
        <f>VLOOKUP(D250,'[1]Task list &amp; Maintenace plan'!$B:$G,6,FALSE)</f>
        <v>101141</v>
      </c>
      <c r="F250" s="18" t="s">
        <v>424</v>
      </c>
      <c r="G250" s="19" t="s">
        <v>414</v>
      </c>
      <c r="H250" s="19" t="s">
        <v>432</v>
      </c>
      <c r="I250" s="18">
        <v>60</v>
      </c>
      <c r="J250" s="18">
        <v>1</v>
      </c>
      <c r="K250" s="717"/>
      <c r="L250" s="717"/>
      <c r="M250" s="717"/>
      <c r="N250" s="720"/>
    </row>
    <row r="251" spans="1:14" x14ac:dyDescent="0.25">
      <c r="A251" t="s">
        <v>180</v>
      </c>
      <c r="B251" s="11" t="s">
        <v>413</v>
      </c>
      <c r="C251" s="12"/>
      <c r="D251" s="17">
        <v>610000004707</v>
      </c>
      <c r="E251" s="17">
        <f>VLOOKUP(D251,'[1]Task list &amp; Maintenace plan'!$B:$G,6,FALSE)</f>
        <v>101141</v>
      </c>
      <c r="F251" s="124" t="s">
        <v>424</v>
      </c>
      <c r="G251" s="180" t="s">
        <v>417</v>
      </c>
      <c r="H251" s="180" t="s">
        <v>433</v>
      </c>
      <c r="I251" s="181">
        <v>60</v>
      </c>
      <c r="J251" s="181">
        <v>1</v>
      </c>
      <c r="K251" s="717"/>
      <c r="L251" s="717"/>
      <c r="M251" s="717"/>
      <c r="N251" s="720"/>
    </row>
    <row r="252" spans="1:14" x14ac:dyDescent="0.25">
      <c r="A252" t="s">
        <v>180</v>
      </c>
      <c r="B252" s="11" t="s">
        <v>413</v>
      </c>
      <c r="C252" s="12"/>
      <c r="D252" s="17">
        <v>610000004707</v>
      </c>
      <c r="E252" s="17">
        <f>VLOOKUP(D252,'[1]Task list &amp; Maintenace plan'!$B:$G,6,FALSE)</f>
        <v>101141</v>
      </c>
      <c r="F252" s="124" t="s">
        <v>424</v>
      </c>
      <c r="G252" s="180" t="s">
        <v>419</v>
      </c>
      <c r="H252" s="180" t="s">
        <v>434</v>
      </c>
      <c r="I252" s="181">
        <v>60</v>
      </c>
      <c r="J252" s="181">
        <v>1</v>
      </c>
      <c r="K252" s="717"/>
      <c r="L252" s="717"/>
      <c r="M252" s="717"/>
      <c r="N252" s="720"/>
    </row>
    <row r="253" spans="1:14" x14ac:dyDescent="0.25">
      <c r="A253" t="s">
        <v>180</v>
      </c>
      <c r="B253" s="11" t="s">
        <v>413</v>
      </c>
      <c r="C253" s="12"/>
      <c r="D253" s="17">
        <v>610000004707</v>
      </c>
      <c r="E253" s="17">
        <f>VLOOKUP(D253,'[1]Task list &amp; Maintenace plan'!$B:$G,6,FALSE)</f>
        <v>101141</v>
      </c>
      <c r="F253" s="124" t="s">
        <v>424</v>
      </c>
      <c r="G253" s="180" t="s">
        <v>426</v>
      </c>
      <c r="H253" s="180" t="s">
        <v>435</v>
      </c>
      <c r="I253" s="181">
        <v>60</v>
      </c>
      <c r="J253" s="181">
        <v>1</v>
      </c>
      <c r="K253" s="717"/>
      <c r="L253" s="717"/>
      <c r="M253" s="717"/>
      <c r="N253" s="720"/>
    </row>
    <row r="254" spans="1:14" x14ac:dyDescent="0.25">
      <c r="A254" t="s">
        <v>180</v>
      </c>
      <c r="B254" s="11" t="s">
        <v>413</v>
      </c>
      <c r="C254" s="12"/>
      <c r="D254" s="22">
        <v>610000004707</v>
      </c>
      <c r="E254" s="22">
        <f>VLOOKUP(D254,'[1]Task list &amp; Maintenace plan'!$B:$G,6,FALSE)</f>
        <v>101141</v>
      </c>
      <c r="F254" s="85" t="s">
        <v>424</v>
      </c>
      <c r="G254" s="182" t="s">
        <v>416</v>
      </c>
      <c r="H254" s="182" t="s">
        <v>436</v>
      </c>
      <c r="I254" s="183">
        <v>60</v>
      </c>
      <c r="J254" s="183">
        <v>1</v>
      </c>
      <c r="K254" s="718"/>
      <c r="L254" s="718"/>
      <c r="M254" s="718"/>
      <c r="N254" s="721"/>
    </row>
    <row r="255" spans="1:14" x14ac:dyDescent="0.25">
      <c r="A255" t="s">
        <v>180</v>
      </c>
      <c r="B255" s="11" t="s">
        <v>413</v>
      </c>
      <c r="C255" s="12"/>
      <c r="D255" s="13">
        <v>610000004709</v>
      </c>
      <c r="E255" s="13">
        <f>VLOOKUP(D255,'[1]Task list &amp; Maintenace plan'!$B:$G,6,FALSE)</f>
        <v>101143</v>
      </c>
      <c r="F255" s="14" t="s">
        <v>437</v>
      </c>
      <c r="G255" s="15" t="s">
        <v>414</v>
      </c>
      <c r="H255" s="15" t="s">
        <v>438</v>
      </c>
      <c r="I255" s="14">
        <v>60</v>
      </c>
      <c r="J255" s="14">
        <v>1</v>
      </c>
      <c r="K255" s="686">
        <v>60</v>
      </c>
      <c r="L255" s="686">
        <v>1</v>
      </c>
      <c r="M255" s="686">
        <f>L255*K255</f>
        <v>60</v>
      </c>
      <c r="N255" s="689" t="s">
        <v>34</v>
      </c>
    </row>
    <row r="256" spans="1:14" x14ac:dyDescent="0.25">
      <c r="A256" t="s">
        <v>180</v>
      </c>
      <c r="B256" s="11" t="s">
        <v>413</v>
      </c>
      <c r="C256" s="12"/>
      <c r="D256" s="17">
        <v>610000004709</v>
      </c>
      <c r="E256" s="17">
        <f>VLOOKUP(D256,'[1]Task list &amp; Maintenace plan'!$B:$G,6,FALSE)</f>
        <v>101143</v>
      </c>
      <c r="F256" s="18" t="s">
        <v>437</v>
      </c>
      <c r="G256" s="19" t="s">
        <v>417</v>
      </c>
      <c r="H256" s="19" t="s">
        <v>439</v>
      </c>
      <c r="I256" s="18">
        <v>60</v>
      </c>
      <c r="J256" s="18">
        <v>1</v>
      </c>
      <c r="K256" s="687"/>
      <c r="L256" s="687"/>
      <c r="M256" s="687"/>
      <c r="N256" s="690"/>
    </row>
    <row r="257" spans="1:14" x14ac:dyDescent="0.25">
      <c r="A257" t="s">
        <v>180</v>
      </c>
      <c r="B257" s="11" t="s">
        <v>413</v>
      </c>
      <c r="C257" s="12"/>
      <c r="D257" s="17">
        <v>610000004709</v>
      </c>
      <c r="E257" s="17">
        <f>VLOOKUP(D257,'[1]Task list &amp; Maintenace plan'!$B:$G,6,FALSE)</f>
        <v>101143</v>
      </c>
      <c r="F257" s="18" t="s">
        <v>437</v>
      </c>
      <c r="G257" s="19" t="s">
        <v>419</v>
      </c>
      <c r="H257" s="19" t="s">
        <v>440</v>
      </c>
      <c r="I257" s="18">
        <v>60</v>
      </c>
      <c r="J257" s="18">
        <v>1</v>
      </c>
      <c r="K257" s="687"/>
      <c r="L257" s="687"/>
      <c r="M257" s="687"/>
      <c r="N257" s="690"/>
    </row>
    <row r="258" spans="1:14" x14ac:dyDescent="0.25">
      <c r="A258" t="s">
        <v>180</v>
      </c>
      <c r="B258" s="11" t="s">
        <v>413</v>
      </c>
      <c r="C258" s="12"/>
      <c r="D258" s="17">
        <v>610000004709</v>
      </c>
      <c r="E258" s="17">
        <f>VLOOKUP(D258,'[1]Task list &amp; Maintenace plan'!$B:$G,6,FALSE)</f>
        <v>101143</v>
      </c>
      <c r="F258" s="124" t="s">
        <v>437</v>
      </c>
      <c r="G258" s="180" t="s">
        <v>426</v>
      </c>
      <c r="H258" s="180" t="s">
        <v>441</v>
      </c>
      <c r="I258" s="181">
        <v>60</v>
      </c>
      <c r="J258" s="181">
        <v>1</v>
      </c>
      <c r="K258" s="687"/>
      <c r="L258" s="687"/>
      <c r="M258" s="687"/>
      <c r="N258" s="690"/>
    </row>
    <row r="259" spans="1:14" x14ac:dyDescent="0.25">
      <c r="A259" t="s">
        <v>180</v>
      </c>
      <c r="B259" s="11" t="s">
        <v>413</v>
      </c>
      <c r="C259" s="12"/>
      <c r="D259" s="22">
        <v>610000004709</v>
      </c>
      <c r="E259" s="22">
        <f>VLOOKUP(D259,'[1]Task list &amp; Maintenace plan'!$B:$G,6,FALSE)</f>
        <v>101143</v>
      </c>
      <c r="F259" s="85" t="s">
        <v>437</v>
      </c>
      <c r="G259" s="182" t="s">
        <v>416</v>
      </c>
      <c r="H259" s="182" t="s">
        <v>442</v>
      </c>
      <c r="I259" s="183">
        <v>60</v>
      </c>
      <c r="J259" s="183">
        <v>1</v>
      </c>
      <c r="K259" s="688"/>
      <c r="L259" s="688"/>
      <c r="M259" s="688"/>
      <c r="N259" s="691"/>
    </row>
    <row r="260" spans="1:14" x14ac:dyDescent="0.25">
      <c r="A260" t="s">
        <v>180</v>
      </c>
      <c r="B260" s="11" t="s">
        <v>413</v>
      </c>
      <c r="C260" s="12"/>
      <c r="D260" s="33"/>
      <c r="E260" s="33" t="e">
        <f>VLOOKUP(D260,'[1]Task list &amp; Maintenace plan'!$B:$G,6,FALSE)</f>
        <v>#N/A</v>
      </c>
      <c r="F260" s="71" t="s">
        <v>443</v>
      </c>
      <c r="G260" s="197" t="s">
        <v>273</v>
      </c>
      <c r="H260" s="197" t="s">
        <v>298</v>
      </c>
      <c r="I260" s="71">
        <v>180</v>
      </c>
      <c r="J260" s="71">
        <v>1</v>
      </c>
      <c r="K260" s="71"/>
      <c r="L260" s="71"/>
      <c r="M260" s="71"/>
      <c r="N260" s="198"/>
    </row>
    <row r="261" spans="1:14" x14ac:dyDescent="0.25">
      <c r="A261" t="s">
        <v>180</v>
      </c>
      <c r="B261" s="11" t="s">
        <v>413</v>
      </c>
      <c r="C261" s="12"/>
      <c r="D261" s="36"/>
      <c r="E261" s="36" t="e">
        <f>VLOOKUP(D261,'[1]Task list &amp; Maintenace plan'!$B:$G,6,FALSE)</f>
        <v>#N/A</v>
      </c>
      <c r="F261" s="73" t="s">
        <v>443</v>
      </c>
      <c r="G261" s="199" t="s">
        <v>422</v>
      </c>
      <c r="H261" s="199" t="s">
        <v>444</v>
      </c>
      <c r="I261" s="73">
        <v>180</v>
      </c>
      <c r="J261" s="73">
        <v>1</v>
      </c>
      <c r="K261" s="73"/>
      <c r="L261" s="73"/>
      <c r="M261" s="73"/>
      <c r="N261" s="200"/>
    </row>
    <row r="262" spans="1:14" x14ac:dyDescent="0.25">
      <c r="A262" t="s">
        <v>180</v>
      </c>
      <c r="B262" s="11" t="s">
        <v>413</v>
      </c>
      <c r="C262" s="12"/>
      <c r="D262" s="6">
        <v>342285</v>
      </c>
      <c r="E262" s="6">
        <f>VLOOKUP(D262,'[1]Task list &amp; Maintenace plan'!$B:$G,6,FALSE)</f>
        <v>470</v>
      </c>
      <c r="F262" s="157" t="s">
        <v>445</v>
      </c>
      <c r="G262" s="158" t="s">
        <v>416</v>
      </c>
      <c r="H262" s="158" t="s">
        <v>446</v>
      </c>
      <c r="I262" s="157">
        <v>180</v>
      </c>
      <c r="J262" s="157">
        <v>1</v>
      </c>
      <c r="K262" s="157">
        <v>30</v>
      </c>
      <c r="L262" s="157">
        <v>1</v>
      </c>
      <c r="M262" s="157">
        <f>L262*K262</f>
        <v>30</v>
      </c>
      <c r="N262" s="159" t="s">
        <v>34</v>
      </c>
    </row>
    <row r="263" spans="1:14" x14ac:dyDescent="0.25">
      <c r="A263" t="s">
        <v>180</v>
      </c>
      <c r="B263" s="11" t="s">
        <v>413</v>
      </c>
      <c r="C263" s="12"/>
      <c r="D263" s="6">
        <v>610000004711</v>
      </c>
      <c r="E263" s="6">
        <v>101145</v>
      </c>
      <c r="F263" s="157" t="s">
        <v>447</v>
      </c>
      <c r="G263" s="158" t="s">
        <v>429</v>
      </c>
      <c r="H263" s="158" t="s">
        <v>448</v>
      </c>
      <c r="I263" s="157">
        <v>365</v>
      </c>
      <c r="J263" s="157">
        <v>1</v>
      </c>
      <c r="K263" s="157">
        <v>90</v>
      </c>
      <c r="L263" s="157">
        <v>1</v>
      </c>
      <c r="M263" s="157">
        <v>90</v>
      </c>
      <c r="N263" s="159" t="s">
        <v>117</v>
      </c>
    </row>
    <row r="264" spans="1:14" ht="15.75" thickBot="1" x14ac:dyDescent="0.3">
      <c r="A264" t="s">
        <v>180</v>
      </c>
      <c r="B264" s="11" t="s">
        <v>413</v>
      </c>
      <c r="C264" s="27"/>
      <c r="D264" s="65">
        <v>351959</v>
      </c>
      <c r="E264" s="65">
        <v>1432</v>
      </c>
      <c r="F264" s="201" t="s">
        <v>449</v>
      </c>
      <c r="G264" s="202" t="s">
        <v>450</v>
      </c>
      <c r="H264" s="202" t="s">
        <v>451</v>
      </c>
      <c r="I264" s="201">
        <v>365</v>
      </c>
      <c r="J264" s="201">
        <v>1</v>
      </c>
      <c r="K264" s="201">
        <v>60</v>
      </c>
      <c r="L264" s="201">
        <v>1</v>
      </c>
      <c r="M264" s="201">
        <v>60</v>
      </c>
      <c r="N264" s="203" t="s">
        <v>452</v>
      </c>
    </row>
    <row r="265" spans="1:14" x14ac:dyDescent="0.25">
      <c r="A265" t="s">
        <v>180</v>
      </c>
      <c r="B265" s="11" t="s">
        <v>453</v>
      </c>
      <c r="C265" s="12"/>
      <c r="D265" s="17">
        <v>610000004713</v>
      </c>
      <c r="E265" s="17">
        <f>VLOOKUP(D265,'[1]Task list &amp; Maintenace plan'!$B:$G,6,FALSE)</f>
        <v>101147</v>
      </c>
      <c r="F265" s="124" t="s">
        <v>455</v>
      </c>
      <c r="G265" s="180" t="s">
        <v>399</v>
      </c>
      <c r="H265" s="180" t="s">
        <v>456</v>
      </c>
      <c r="I265" s="181">
        <v>60</v>
      </c>
      <c r="J265" s="181">
        <v>1</v>
      </c>
      <c r="K265" s="722">
        <v>30</v>
      </c>
      <c r="L265" s="722">
        <v>1</v>
      </c>
      <c r="M265" s="722">
        <f>L265*K265</f>
        <v>30</v>
      </c>
      <c r="N265" s="723" t="s">
        <v>20</v>
      </c>
    </row>
    <row r="266" spans="1:14" x14ac:dyDescent="0.25">
      <c r="A266" t="s">
        <v>180</v>
      </c>
      <c r="B266" s="11" t="s">
        <v>453</v>
      </c>
      <c r="C266" s="12"/>
      <c r="D266" s="17">
        <v>610000004713</v>
      </c>
      <c r="E266" s="17">
        <f>VLOOKUP(D266,'[1]Task list &amp; Maintenace plan'!$B:$G,6,FALSE)</f>
        <v>101147</v>
      </c>
      <c r="F266" s="18" t="s">
        <v>455</v>
      </c>
      <c r="G266" s="19" t="s">
        <v>457</v>
      </c>
      <c r="H266" s="19" t="s">
        <v>458</v>
      </c>
      <c r="I266" s="18">
        <v>60</v>
      </c>
      <c r="J266" s="18">
        <v>1</v>
      </c>
      <c r="K266" s="717"/>
      <c r="L266" s="717"/>
      <c r="M266" s="717"/>
      <c r="N266" s="720"/>
    </row>
    <row r="267" spans="1:14" x14ac:dyDescent="0.25">
      <c r="A267" t="s">
        <v>180</v>
      </c>
      <c r="B267" s="11" t="s">
        <v>453</v>
      </c>
      <c r="C267" s="12"/>
      <c r="D267" s="17">
        <v>610000004713</v>
      </c>
      <c r="E267" s="17">
        <f>VLOOKUP(D267,'[1]Task list &amp; Maintenace plan'!$B:$G,6,FALSE)</f>
        <v>101147</v>
      </c>
      <c r="F267" s="124" t="s">
        <v>455</v>
      </c>
      <c r="G267" s="180" t="s">
        <v>399</v>
      </c>
      <c r="H267" s="180" t="s">
        <v>459</v>
      </c>
      <c r="I267" s="181">
        <v>60</v>
      </c>
      <c r="J267" s="181">
        <v>1</v>
      </c>
      <c r="K267" s="717"/>
      <c r="L267" s="717"/>
      <c r="M267" s="717"/>
      <c r="N267" s="720"/>
    </row>
    <row r="268" spans="1:14" x14ac:dyDescent="0.25">
      <c r="A268" t="s">
        <v>180</v>
      </c>
      <c r="B268" s="11" t="s">
        <v>453</v>
      </c>
      <c r="C268" s="12"/>
      <c r="D268" s="22">
        <v>610000004713</v>
      </c>
      <c r="E268" s="22">
        <f>VLOOKUP(D268,'[1]Task list &amp; Maintenace plan'!$B:$G,6,FALSE)</f>
        <v>101147</v>
      </c>
      <c r="F268" s="23" t="s">
        <v>455</v>
      </c>
      <c r="G268" s="24" t="s">
        <v>457</v>
      </c>
      <c r="H268" s="24" t="s">
        <v>460</v>
      </c>
      <c r="I268" s="23">
        <v>60</v>
      </c>
      <c r="J268" s="23">
        <v>1</v>
      </c>
      <c r="K268" s="718"/>
      <c r="L268" s="718"/>
      <c r="M268" s="718"/>
      <c r="N268" s="721"/>
    </row>
    <row r="269" spans="1:14" x14ac:dyDescent="0.25">
      <c r="A269" t="s">
        <v>180</v>
      </c>
      <c r="B269" s="11" t="s">
        <v>453</v>
      </c>
      <c r="C269" s="12"/>
      <c r="D269" s="13">
        <v>610000004715</v>
      </c>
      <c r="E269" s="13">
        <f>VLOOKUP(D269,'[1]Task list &amp; Maintenace plan'!$B:$G,6,FALSE)</f>
        <v>101149</v>
      </c>
      <c r="F269" s="14" t="s">
        <v>461</v>
      </c>
      <c r="G269" s="15" t="s">
        <v>399</v>
      </c>
      <c r="H269" s="15" t="s">
        <v>462</v>
      </c>
      <c r="I269" s="14">
        <v>60</v>
      </c>
      <c r="J269" s="14">
        <v>1</v>
      </c>
      <c r="K269" s="686">
        <v>30</v>
      </c>
      <c r="L269" s="686">
        <v>1</v>
      </c>
      <c r="M269" s="686">
        <f>L269*K269</f>
        <v>30</v>
      </c>
      <c r="N269" s="689" t="s">
        <v>34</v>
      </c>
    </row>
    <row r="270" spans="1:14" x14ac:dyDescent="0.25">
      <c r="A270" t="s">
        <v>180</v>
      </c>
      <c r="B270" s="11" t="s">
        <v>453</v>
      </c>
      <c r="C270" s="12"/>
      <c r="D270" s="22">
        <v>610000004715</v>
      </c>
      <c r="E270" s="22">
        <f>VLOOKUP(D270,'[1]Task list &amp; Maintenace plan'!$B:$G,6,FALSE)</f>
        <v>101149</v>
      </c>
      <c r="F270" s="85" t="s">
        <v>461</v>
      </c>
      <c r="G270" s="182" t="s">
        <v>457</v>
      </c>
      <c r="H270" s="182" t="s">
        <v>463</v>
      </c>
      <c r="I270" s="183">
        <v>60</v>
      </c>
      <c r="J270" s="183">
        <v>1</v>
      </c>
      <c r="K270" s="688"/>
      <c r="L270" s="688"/>
      <c r="M270" s="688"/>
      <c r="N270" s="691"/>
    </row>
    <row r="271" spans="1:14" x14ac:dyDescent="0.25">
      <c r="A271" t="s">
        <v>180</v>
      </c>
      <c r="B271" s="11" t="s">
        <v>453</v>
      </c>
      <c r="C271" s="12"/>
      <c r="D271" s="6">
        <v>342728</v>
      </c>
      <c r="E271" s="6">
        <f>VLOOKUP(D271,'[1]Task list &amp; Maintenace plan'!$B:$G,6,FALSE)</f>
        <v>636</v>
      </c>
      <c r="F271" s="157" t="s">
        <v>464</v>
      </c>
      <c r="G271" s="62" t="s">
        <v>454</v>
      </c>
      <c r="H271" s="62" t="s">
        <v>465</v>
      </c>
      <c r="I271" s="195">
        <v>180</v>
      </c>
      <c r="J271" s="195">
        <v>1</v>
      </c>
      <c r="K271" s="195">
        <v>45</v>
      </c>
      <c r="L271" s="195">
        <v>1</v>
      </c>
      <c r="M271" s="195">
        <f>L271*K271</f>
        <v>45</v>
      </c>
      <c r="N271" s="196" t="s">
        <v>20</v>
      </c>
    </row>
    <row r="272" spans="1:14" ht="15.75" thickBot="1" x14ac:dyDescent="0.3">
      <c r="A272" t="s">
        <v>180</v>
      </c>
      <c r="B272" s="11" t="s">
        <v>453</v>
      </c>
      <c r="C272" s="27"/>
      <c r="D272" s="65">
        <v>342729</v>
      </c>
      <c r="E272" s="65">
        <f>VLOOKUP(D272,'[1]Task list &amp; Maintenace plan'!$B:$G,6,FALSE)</f>
        <v>637</v>
      </c>
      <c r="F272" s="201" t="s">
        <v>466</v>
      </c>
      <c r="G272" s="204" t="s">
        <v>454</v>
      </c>
      <c r="H272" s="204" t="s">
        <v>467</v>
      </c>
      <c r="I272" s="205">
        <v>365</v>
      </c>
      <c r="J272" s="205">
        <v>1</v>
      </c>
      <c r="K272" s="205">
        <v>60</v>
      </c>
      <c r="L272" s="205">
        <v>1</v>
      </c>
      <c r="M272" s="205">
        <f>L272*K272</f>
        <v>60</v>
      </c>
      <c r="N272" s="206" t="s">
        <v>468</v>
      </c>
    </row>
    <row r="273" spans="1:14" x14ac:dyDescent="0.25">
      <c r="A273" t="s">
        <v>180</v>
      </c>
      <c r="B273" s="11" t="s">
        <v>469</v>
      </c>
      <c r="C273" s="12"/>
      <c r="D273" s="17">
        <v>610000004718</v>
      </c>
      <c r="E273" s="17">
        <f>VLOOKUP(D273,'[1]Task list &amp; Maintenace plan'!$B:$G,6,FALSE)</f>
        <v>101152</v>
      </c>
      <c r="F273" s="124" t="s">
        <v>470</v>
      </c>
      <c r="G273" s="180" t="s">
        <v>312</v>
      </c>
      <c r="H273" s="180" t="s">
        <v>314</v>
      </c>
      <c r="I273" s="181">
        <v>60</v>
      </c>
      <c r="J273" s="181">
        <v>1</v>
      </c>
      <c r="K273" s="722">
        <v>60</v>
      </c>
      <c r="L273" s="722">
        <v>1</v>
      </c>
      <c r="M273" s="722">
        <f>L273*K273</f>
        <v>60</v>
      </c>
      <c r="N273" s="723" t="s">
        <v>20</v>
      </c>
    </row>
    <row r="274" spans="1:14" x14ac:dyDescent="0.25">
      <c r="A274" t="s">
        <v>180</v>
      </c>
      <c r="B274" s="11" t="s">
        <v>469</v>
      </c>
      <c r="C274" s="12"/>
      <c r="D274" s="17">
        <v>610000004718</v>
      </c>
      <c r="E274" s="17">
        <f>VLOOKUP(D274,'[1]Task list &amp; Maintenace plan'!$B:$G,6,FALSE)</f>
        <v>101152</v>
      </c>
      <c r="F274" s="124" t="s">
        <v>470</v>
      </c>
      <c r="G274" s="180" t="s">
        <v>472</v>
      </c>
      <c r="H274" s="180" t="s">
        <v>473</v>
      </c>
      <c r="I274" s="181">
        <v>60</v>
      </c>
      <c r="J274" s="181">
        <v>1</v>
      </c>
      <c r="K274" s="717"/>
      <c r="L274" s="717"/>
      <c r="M274" s="717"/>
      <c r="N274" s="720"/>
    </row>
    <row r="275" spans="1:14" x14ac:dyDescent="0.25">
      <c r="A275" t="s">
        <v>180</v>
      </c>
      <c r="B275" s="11" t="s">
        <v>469</v>
      </c>
      <c r="C275" s="12"/>
      <c r="D275" s="17">
        <v>610000004718</v>
      </c>
      <c r="E275" s="17">
        <f>VLOOKUP(D275,'[1]Task list &amp; Maintenace plan'!$B:$G,6,FALSE)</f>
        <v>101152</v>
      </c>
      <c r="F275" s="124" t="s">
        <v>470</v>
      </c>
      <c r="G275" s="180" t="s">
        <v>474</v>
      </c>
      <c r="H275" s="180" t="s">
        <v>475</v>
      </c>
      <c r="I275" s="181">
        <v>60</v>
      </c>
      <c r="J275" s="181">
        <v>1</v>
      </c>
      <c r="K275" s="717"/>
      <c r="L275" s="717"/>
      <c r="M275" s="717"/>
      <c r="N275" s="720"/>
    </row>
    <row r="276" spans="1:14" x14ac:dyDescent="0.25">
      <c r="A276" t="s">
        <v>180</v>
      </c>
      <c r="B276" s="11" t="s">
        <v>469</v>
      </c>
      <c r="C276" s="12"/>
      <c r="D276" s="17">
        <v>610000004718</v>
      </c>
      <c r="E276" s="17">
        <f>VLOOKUP(D276,'[1]Task list &amp; Maintenace plan'!$B:$G,6,FALSE)</f>
        <v>101152</v>
      </c>
      <c r="F276" s="124" t="s">
        <v>470</v>
      </c>
      <c r="G276" s="180" t="s">
        <v>476</v>
      </c>
      <c r="H276" s="180" t="s">
        <v>477</v>
      </c>
      <c r="I276" s="181">
        <v>60</v>
      </c>
      <c r="J276" s="181">
        <v>1</v>
      </c>
      <c r="K276" s="717"/>
      <c r="L276" s="717"/>
      <c r="M276" s="717"/>
      <c r="N276" s="720"/>
    </row>
    <row r="277" spans="1:14" x14ac:dyDescent="0.25">
      <c r="A277" t="s">
        <v>180</v>
      </c>
      <c r="B277" s="11" t="s">
        <v>469</v>
      </c>
      <c r="C277" s="12"/>
      <c r="D277" s="17">
        <v>610000004718</v>
      </c>
      <c r="E277" s="17">
        <f>VLOOKUP(D277,'[1]Task list &amp; Maintenace plan'!$B:$G,6,FALSE)</f>
        <v>101152</v>
      </c>
      <c r="F277" s="124" t="s">
        <v>470</v>
      </c>
      <c r="G277" s="180" t="s">
        <v>312</v>
      </c>
      <c r="H277" s="180" t="s">
        <v>478</v>
      </c>
      <c r="I277" s="181">
        <v>60</v>
      </c>
      <c r="J277" s="181">
        <v>1</v>
      </c>
      <c r="K277" s="717"/>
      <c r="L277" s="717"/>
      <c r="M277" s="717"/>
      <c r="N277" s="720"/>
    </row>
    <row r="278" spans="1:14" x14ac:dyDescent="0.25">
      <c r="A278" t="s">
        <v>180</v>
      </c>
      <c r="B278" s="11" t="s">
        <v>469</v>
      </c>
      <c r="C278" s="12"/>
      <c r="D278" s="17">
        <v>610000004718</v>
      </c>
      <c r="E278" s="17">
        <f>VLOOKUP(D278,'[1]Task list &amp; Maintenace plan'!$B:$G,6,FALSE)</f>
        <v>101152</v>
      </c>
      <c r="F278" s="124" t="s">
        <v>470</v>
      </c>
      <c r="G278" s="180" t="s">
        <v>472</v>
      </c>
      <c r="H278" s="180" t="s">
        <v>479</v>
      </c>
      <c r="I278" s="181">
        <v>60</v>
      </c>
      <c r="J278" s="181">
        <v>1</v>
      </c>
      <c r="K278" s="717"/>
      <c r="L278" s="717"/>
      <c r="M278" s="717"/>
      <c r="N278" s="720"/>
    </row>
    <row r="279" spans="1:14" x14ac:dyDescent="0.25">
      <c r="A279" t="s">
        <v>180</v>
      </c>
      <c r="B279" s="11" t="s">
        <v>469</v>
      </c>
      <c r="C279" s="12"/>
      <c r="D279" s="17">
        <v>610000004718</v>
      </c>
      <c r="E279" s="17">
        <f>VLOOKUP(D279,'[1]Task list &amp; Maintenace plan'!$B:$G,6,FALSE)</f>
        <v>101152</v>
      </c>
      <c r="F279" s="124" t="s">
        <v>470</v>
      </c>
      <c r="G279" s="180" t="s">
        <v>474</v>
      </c>
      <c r="H279" s="180" t="s">
        <v>480</v>
      </c>
      <c r="I279" s="181">
        <v>60</v>
      </c>
      <c r="J279" s="181">
        <v>1</v>
      </c>
      <c r="K279" s="717"/>
      <c r="L279" s="717"/>
      <c r="M279" s="717"/>
      <c r="N279" s="720"/>
    </row>
    <row r="280" spans="1:14" x14ac:dyDescent="0.25">
      <c r="A280" t="s">
        <v>180</v>
      </c>
      <c r="B280" s="11" t="s">
        <v>469</v>
      </c>
      <c r="C280" s="12"/>
      <c r="D280" s="22">
        <v>610000004718</v>
      </c>
      <c r="E280" s="22">
        <f>VLOOKUP(D280,'[1]Task list &amp; Maintenace plan'!$B:$G,6,FALSE)</f>
        <v>101152</v>
      </c>
      <c r="F280" s="85" t="s">
        <v>470</v>
      </c>
      <c r="G280" s="182" t="s">
        <v>476</v>
      </c>
      <c r="H280" s="182" t="s">
        <v>481</v>
      </c>
      <c r="I280" s="183">
        <v>60</v>
      </c>
      <c r="J280" s="183">
        <v>1</v>
      </c>
      <c r="K280" s="718"/>
      <c r="L280" s="718"/>
      <c r="M280" s="718"/>
      <c r="N280" s="721"/>
    </row>
    <row r="281" spans="1:14" x14ac:dyDescent="0.25">
      <c r="A281" t="s">
        <v>180</v>
      </c>
      <c r="B281" s="11" t="s">
        <v>469</v>
      </c>
      <c r="C281" s="12"/>
      <c r="D281" s="13">
        <v>610000004720</v>
      </c>
      <c r="E281" s="13">
        <f>VLOOKUP(D281,'[1]Task list &amp; Maintenace plan'!$B:$G,6,FALSE)</f>
        <v>101154</v>
      </c>
      <c r="F281" s="101" t="s">
        <v>482</v>
      </c>
      <c r="G281" s="178" t="s">
        <v>312</v>
      </c>
      <c r="H281" s="178" t="s">
        <v>321</v>
      </c>
      <c r="I281" s="179">
        <v>60</v>
      </c>
      <c r="J281" s="179">
        <v>1</v>
      </c>
      <c r="K281" s="716">
        <v>60</v>
      </c>
      <c r="L281" s="716">
        <v>1</v>
      </c>
      <c r="M281" s="716">
        <f>L281*K281</f>
        <v>60</v>
      </c>
      <c r="N281" s="719" t="s">
        <v>34</v>
      </c>
    </row>
    <row r="282" spans="1:14" x14ac:dyDescent="0.25">
      <c r="A282" t="s">
        <v>180</v>
      </c>
      <c r="B282" s="11" t="s">
        <v>469</v>
      </c>
      <c r="C282" s="12"/>
      <c r="D282" s="17">
        <v>610000004720</v>
      </c>
      <c r="E282" s="17">
        <f>VLOOKUP(D282,'[1]Task list &amp; Maintenace plan'!$B:$G,6,FALSE)</f>
        <v>101154</v>
      </c>
      <c r="F282" s="124" t="s">
        <v>482</v>
      </c>
      <c r="G282" s="180" t="s">
        <v>472</v>
      </c>
      <c r="H282" s="180" t="s">
        <v>483</v>
      </c>
      <c r="I282" s="181">
        <v>60</v>
      </c>
      <c r="J282" s="181">
        <v>1</v>
      </c>
      <c r="K282" s="717"/>
      <c r="L282" s="717"/>
      <c r="M282" s="717"/>
      <c r="N282" s="720"/>
    </row>
    <row r="283" spans="1:14" x14ac:dyDescent="0.25">
      <c r="A283" t="s">
        <v>180</v>
      </c>
      <c r="B283" s="11" t="s">
        <v>469</v>
      </c>
      <c r="C283" s="12"/>
      <c r="D283" s="17">
        <v>610000004720</v>
      </c>
      <c r="E283" s="17">
        <f>VLOOKUP(D283,'[1]Task list &amp; Maintenace plan'!$B:$G,6,FALSE)</f>
        <v>101154</v>
      </c>
      <c r="F283" s="124" t="s">
        <v>482</v>
      </c>
      <c r="G283" s="180" t="s">
        <v>474</v>
      </c>
      <c r="H283" s="180" t="s">
        <v>484</v>
      </c>
      <c r="I283" s="181">
        <v>60</v>
      </c>
      <c r="J283" s="181">
        <v>1</v>
      </c>
      <c r="K283" s="717"/>
      <c r="L283" s="717"/>
      <c r="M283" s="717"/>
      <c r="N283" s="720"/>
    </row>
    <row r="284" spans="1:14" x14ac:dyDescent="0.25">
      <c r="A284" t="s">
        <v>180</v>
      </c>
      <c r="B284" s="11" t="s">
        <v>469</v>
      </c>
      <c r="C284" s="12"/>
      <c r="D284" s="22">
        <v>610000004720</v>
      </c>
      <c r="E284" s="22">
        <f>VLOOKUP(D284,'[1]Task list &amp; Maintenace plan'!$B:$G,6,FALSE)</f>
        <v>101154</v>
      </c>
      <c r="F284" s="85" t="s">
        <v>482</v>
      </c>
      <c r="G284" s="182" t="s">
        <v>476</v>
      </c>
      <c r="H284" s="182" t="s">
        <v>485</v>
      </c>
      <c r="I284" s="183">
        <v>60</v>
      </c>
      <c r="J284" s="183">
        <v>1</v>
      </c>
      <c r="K284" s="718"/>
      <c r="L284" s="718"/>
      <c r="M284" s="718"/>
      <c r="N284" s="721"/>
    </row>
    <row r="285" spans="1:14" ht="15.75" thickBot="1" x14ac:dyDescent="0.3">
      <c r="A285" t="s">
        <v>180</v>
      </c>
      <c r="B285" s="11" t="s">
        <v>469</v>
      </c>
      <c r="C285" s="27"/>
      <c r="D285" s="65">
        <v>357813</v>
      </c>
      <c r="E285" s="65">
        <f>VLOOKUP(D285,'[1]Task list &amp; Maintenace plan'!$B:$G,6,FALSE)</f>
        <v>2739</v>
      </c>
      <c r="F285" s="201" t="s">
        <v>486</v>
      </c>
      <c r="G285" s="204" t="s">
        <v>487</v>
      </c>
      <c r="H285" s="204" t="s">
        <v>488</v>
      </c>
      <c r="I285" s="205">
        <v>180</v>
      </c>
      <c r="J285" s="205">
        <v>1</v>
      </c>
      <c r="K285" s="205">
        <v>10</v>
      </c>
      <c r="L285" s="205">
        <v>1</v>
      </c>
      <c r="M285" s="205">
        <f>L285*K285</f>
        <v>10</v>
      </c>
      <c r="N285" s="206" t="s">
        <v>20</v>
      </c>
    </row>
    <row r="286" spans="1:14" x14ac:dyDescent="0.25">
      <c r="A286" t="s">
        <v>180</v>
      </c>
      <c r="B286" s="11" t="s">
        <v>489</v>
      </c>
      <c r="C286" s="12"/>
      <c r="D286" s="17">
        <v>610000004723</v>
      </c>
      <c r="E286" s="17">
        <f>VLOOKUP(D286,'[1]Task list &amp; Maintenace plan'!$B:$G,6,FALSE)</f>
        <v>101157</v>
      </c>
      <c r="F286" s="124" t="s">
        <v>490</v>
      </c>
      <c r="G286" s="180" t="s">
        <v>326</v>
      </c>
      <c r="H286" s="180" t="s">
        <v>332</v>
      </c>
      <c r="I286" s="181">
        <v>60</v>
      </c>
      <c r="J286" s="181">
        <v>1</v>
      </c>
      <c r="K286" s="722">
        <v>30</v>
      </c>
      <c r="L286" s="722">
        <v>1</v>
      </c>
      <c r="M286" s="722">
        <f>L286*K286</f>
        <v>30</v>
      </c>
      <c r="N286" s="723" t="s">
        <v>20</v>
      </c>
    </row>
    <row r="287" spans="1:14" x14ac:dyDescent="0.25">
      <c r="A287" t="s">
        <v>180</v>
      </c>
      <c r="B287" s="11" t="s">
        <v>489</v>
      </c>
      <c r="C287" s="12"/>
      <c r="D287" s="17">
        <v>610000004723</v>
      </c>
      <c r="E287" s="17">
        <f>VLOOKUP(D287,'[1]Task list &amp; Maintenace plan'!$B:$G,6,FALSE)</f>
        <v>101157</v>
      </c>
      <c r="F287" s="124" t="s">
        <v>490</v>
      </c>
      <c r="G287" s="180" t="s">
        <v>491</v>
      </c>
      <c r="H287" s="108" t="s">
        <v>492</v>
      </c>
      <c r="I287" s="181">
        <v>60</v>
      </c>
      <c r="J287" s="181">
        <v>1</v>
      </c>
      <c r="K287" s="717"/>
      <c r="L287" s="717"/>
      <c r="M287" s="717"/>
      <c r="N287" s="720"/>
    </row>
    <row r="288" spans="1:14" x14ac:dyDescent="0.25">
      <c r="A288" t="s">
        <v>180</v>
      </c>
      <c r="B288" s="11" t="s">
        <v>489</v>
      </c>
      <c r="C288" s="12"/>
      <c r="D288" s="17">
        <v>610000004723</v>
      </c>
      <c r="E288" s="17">
        <f>VLOOKUP(D288,'[1]Task list &amp; Maintenace plan'!$B:$G,6,FALSE)</f>
        <v>101157</v>
      </c>
      <c r="F288" s="124" t="s">
        <v>490</v>
      </c>
      <c r="G288" s="180" t="s">
        <v>333</v>
      </c>
      <c r="H288" s="180" t="s">
        <v>335</v>
      </c>
      <c r="I288" s="181">
        <v>60</v>
      </c>
      <c r="J288" s="181">
        <v>1</v>
      </c>
      <c r="K288" s="717"/>
      <c r="L288" s="717"/>
      <c r="M288" s="717"/>
      <c r="N288" s="720"/>
    </row>
    <row r="289" spans="1:16" x14ac:dyDescent="0.25">
      <c r="A289" t="s">
        <v>180</v>
      </c>
      <c r="B289" s="11" t="s">
        <v>489</v>
      </c>
      <c r="C289" s="12"/>
      <c r="D289" s="17">
        <v>610000004723</v>
      </c>
      <c r="E289" s="17">
        <f>VLOOKUP(D289,'[1]Task list &amp; Maintenace plan'!$B:$G,6,FALSE)</f>
        <v>101157</v>
      </c>
      <c r="F289" s="124" t="s">
        <v>490</v>
      </c>
      <c r="G289" s="180" t="s">
        <v>326</v>
      </c>
      <c r="H289" s="180" t="s">
        <v>493</v>
      </c>
      <c r="I289" s="181">
        <v>60</v>
      </c>
      <c r="J289" s="181">
        <v>1</v>
      </c>
      <c r="K289" s="717"/>
      <c r="L289" s="717"/>
      <c r="M289" s="717"/>
      <c r="N289" s="720"/>
    </row>
    <row r="290" spans="1:16" x14ac:dyDescent="0.25">
      <c r="A290" t="s">
        <v>180</v>
      </c>
      <c r="B290" s="11" t="s">
        <v>489</v>
      </c>
      <c r="C290" s="12"/>
      <c r="D290" s="17">
        <v>610000004723</v>
      </c>
      <c r="E290" s="17">
        <f>VLOOKUP(D290,'[1]Task list &amp; Maintenace plan'!$B:$G,6,FALSE)</f>
        <v>101157</v>
      </c>
      <c r="F290" s="124" t="s">
        <v>490</v>
      </c>
      <c r="G290" s="180" t="s">
        <v>491</v>
      </c>
      <c r="H290" s="108" t="s">
        <v>494</v>
      </c>
      <c r="I290" s="181">
        <v>60</v>
      </c>
      <c r="J290" s="181">
        <v>1</v>
      </c>
      <c r="K290" s="717"/>
      <c r="L290" s="717"/>
      <c r="M290" s="717"/>
      <c r="N290" s="720"/>
    </row>
    <row r="291" spans="1:16" x14ac:dyDescent="0.25">
      <c r="A291" t="s">
        <v>180</v>
      </c>
      <c r="B291" s="11" t="s">
        <v>489</v>
      </c>
      <c r="C291" s="12"/>
      <c r="D291" s="22">
        <v>610000004723</v>
      </c>
      <c r="E291" s="22">
        <f>VLOOKUP(D291,'[1]Task list &amp; Maintenace plan'!$B:$G,6,FALSE)</f>
        <v>101157</v>
      </c>
      <c r="F291" s="85" t="s">
        <v>490</v>
      </c>
      <c r="G291" s="182" t="s">
        <v>333</v>
      </c>
      <c r="H291" s="182" t="s">
        <v>495</v>
      </c>
      <c r="I291" s="183">
        <v>60</v>
      </c>
      <c r="J291" s="183">
        <v>1</v>
      </c>
      <c r="K291" s="718"/>
      <c r="L291" s="718"/>
      <c r="M291" s="718"/>
      <c r="N291" s="721"/>
    </row>
    <row r="292" spans="1:16" x14ac:dyDescent="0.25">
      <c r="A292" t="s">
        <v>180</v>
      </c>
      <c r="B292" s="11" t="s">
        <v>489</v>
      </c>
      <c r="C292" s="12"/>
      <c r="D292" s="13">
        <v>610000004725</v>
      </c>
      <c r="E292" s="13">
        <f>VLOOKUP(D292,'[1]Task list &amp; Maintenace plan'!$B:$G,6,FALSE)</f>
        <v>101159</v>
      </c>
      <c r="F292" s="14" t="s">
        <v>496</v>
      </c>
      <c r="G292" s="15" t="s">
        <v>326</v>
      </c>
      <c r="H292" s="15" t="s">
        <v>338</v>
      </c>
      <c r="I292" s="14">
        <v>60</v>
      </c>
      <c r="J292" s="14">
        <v>1</v>
      </c>
      <c r="K292" s="686">
        <v>30</v>
      </c>
      <c r="L292" s="686">
        <v>1</v>
      </c>
      <c r="M292" s="686">
        <f>L292*K292</f>
        <v>30</v>
      </c>
      <c r="N292" s="689" t="s">
        <v>34</v>
      </c>
    </row>
    <row r="293" spans="1:16" x14ac:dyDescent="0.25">
      <c r="A293" t="s">
        <v>180</v>
      </c>
      <c r="B293" s="11" t="s">
        <v>489</v>
      </c>
      <c r="C293" s="12"/>
      <c r="D293" s="17">
        <v>610000004725</v>
      </c>
      <c r="E293" s="17">
        <f>VLOOKUP(D293,'[1]Task list &amp; Maintenace plan'!$B:$G,6,FALSE)</f>
        <v>101159</v>
      </c>
      <c r="F293" s="124" t="s">
        <v>496</v>
      </c>
      <c r="G293" s="180" t="s">
        <v>491</v>
      </c>
      <c r="H293" s="108" t="s">
        <v>497</v>
      </c>
      <c r="I293" s="181">
        <v>60</v>
      </c>
      <c r="J293" s="181">
        <v>1</v>
      </c>
      <c r="K293" s="687"/>
      <c r="L293" s="687"/>
      <c r="M293" s="687"/>
      <c r="N293" s="690"/>
    </row>
    <row r="294" spans="1:16" ht="15.75" thickBot="1" x14ac:dyDescent="0.3">
      <c r="A294" t="s">
        <v>180</v>
      </c>
      <c r="B294" s="11" t="s">
        <v>489</v>
      </c>
      <c r="C294" s="27"/>
      <c r="D294" s="28">
        <v>610000004725</v>
      </c>
      <c r="E294" s="28">
        <f>VLOOKUP(D294,'[1]Task list &amp; Maintenace plan'!$B:$G,6,FALSE)</f>
        <v>101159</v>
      </c>
      <c r="F294" s="148" t="s">
        <v>496</v>
      </c>
      <c r="G294" s="189" t="s">
        <v>333</v>
      </c>
      <c r="H294" s="189" t="s">
        <v>340</v>
      </c>
      <c r="I294" s="190">
        <v>60</v>
      </c>
      <c r="J294" s="190">
        <v>1</v>
      </c>
      <c r="K294" s="692"/>
      <c r="L294" s="692"/>
      <c r="M294" s="692"/>
      <c r="N294" s="693"/>
    </row>
    <row r="295" spans="1:16" x14ac:dyDescent="0.25">
      <c r="A295" t="s">
        <v>180</v>
      </c>
      <c r="B295" s="4" t="s">
        <v>504</v>
      </c>
      <c r="C295" s="5"/>
      <c r="D295" s="123">
        <v>610000004297</v>
      </c>
      <c r="E295" s="123">
        <v>345991</v>
      </c>
      <c r="F295" s="123">
        <f>VLOOKUP(E295,'[1]Task list &amp; Maintenace plan'!$B:$G,6,FALSE)</f>
        <v>100731</v>
      </c>
      <c r="G295" s="124" t="s">
        <v>506</v>
      </c>
      <c r="H295" s="107" t="s">
        <v>507</v>
      </c>
      <c r="I295" s="107" t="s">
        <v>508</v>
      </c>
      <c r="J295" s="124">
        <v>15</v>
      </c>
      <c r="K295" s="124"/>
      <c r="L295" s="124">
        <v>1</v>
      </c>
      <c r="M295" s="124">
        <v>3</v>
      </c>
      <c r="N295" s="124">
        <v>1</v>
      </c>
      <c r="O295" s="124">
        <f>N295*M295</f>
        <v>3</v>
      </c>
      <c r="P295" s="207" t="s">
        <v>20</v>
      </c>
    </row>
    <row r="296" spans="1:16" x14ac:dyDescent="0.25">
      <c r="A296" t="s">
        <v>180</v>
      </c>
      <c r="B296" s="4" t="s">
        <v>504</v>
      </c>
      <c r="C296" s="12"/>
      <c r="D296" s="103">
        <v>610000004297</v>
      </c>
      <c r="E296" s="103">
        <v>345991</v>
      </c>
      <c r="F296" s="103">
        <f>VLOOKUP(E296,'[1]Task list &amp; Maintenace plan'!$B:$G,6,FALSE)</f>
        <v>100731</v>
      </c>
      <c r="G296" s="85" t="s">
        <v>506</v>
      </c>
      <c r="H296" s="84" t="s">
        <v>510</v>
      </c>
      <c r="I296" s="84" t="s">
        <v>511</v>
      </c>
      <c r="J296" s="85">
        <v>15</v>
      </c>
      <c r="K296" s="85"/>
      <c r="L296" s="85">
        <v>1</v>
      </c>
      <c r="M296" s="85">
        <v>3</v>
      </c>
      <c r="N296" s="85">
        <v>1</v>
      </c>
      <c r="O296" s="124">
        <f>N296*M296</f>
        <v>3</v>
      </c>
      <c r="P296" s="207" t="s">
        <v>20</v>
      </c>
    </row>
    <row r="297" spans="1:16" x14ac:dyDescent="0.25">
      <c r="A297" t="s">
        <v>180</v>
      </c>
      <c r="B297" s="4" t="s">
        <v>504</v>
      </c>
      <c r="C297" s="12"/>
      <c r="D297" s="100">
        <v>610000004298</v>
      </c>
      <c r="E297" s="100">
        <v>346011</v>
      </c>
      <c r="F297" s="100">
        <f>VLOOKUP(E297,'[1]Task list &amp; Maintenace plan'!$B:$G,6,FALSE)</f>
        <v>100732</v>
      </c>
      <c r="G297" s="101" t="s">
        <v>513</v>
      </c>
      <c r="H297" s="102" t="s">
        <v>505</v>
      </c>
      <c r="I297" s="102" t="s">
        <v>514</v>
      </c>
      <c r="J297" s="101">
        <v>30</v>
      </c>
      <c r="K297" s="101">
        <v>1</v>
      </c>
      <c r="L297" s="101"/>
      <c r="M297" s="710">
        <v>60</v>
      </c>
      <c r="N297" s="710">
        <v>1</v>
      </c>
      <c r="O297" s="710">
        <f>N297*M297</f>
        <v>60</v>
      </c>
      <c r="P297" s="712" t="s">
        <v>20</v>
      </c>
    </row>
    <row r="298" spans="1:16" x14ac:dyDescent="0.25">
      <c r="A298" t="s">
        <v>180</v>
      </c>
      <c r="B298" s="4" t="s">
        <v>504</v>
      </c>
      <c r="C298" s="12"/>
      <c r="D298" s="104">
        <v>610000004298</v>
      </c>
      <c r="E298" s="104">
        <v>346011</v>
      </c>
      <c r="F298" s="104">
        <f>VLOOKUP(E298,'[1]Task list &amp; Maintenace plan'!$B:$G,6,FALSE)</f>
        <v>100732</v>
      </c>
      <c r="G298" s="105" t="s">
        <v>513</v>
      </c>
      <c r="H298" s="106" t="s">
        <v>509</v>
      </c>
      <c r="I298" s="106" t="s">
        <v>516</v>
      </c>
      <c r="J298" s="105">
        <v>30</v>
      </c>
      <c r="K298" s="105">
        <v>1</v>
      </c>
      <c r="L298" s="105"/>
      <c r="M298" s="705"/>
      <c r="N298" s="705"/>
      <c r="O298" s="705"/>
      <c r="P298" s="708"/>
    </row>
    <row r="299" spans="1:16" x14ac:dyDescent="0.25">
      <c r="A299" t="s">
        <v>180</v>
      </c>
      <c r="B299" s="4" t="s">
        <v>504</v>
      </c>
      <c r="C299" s="12"/>
      <c r="D299" s="104">
        <v>610000004298</v>
      </c>
      <c r="E299" s="104">
        <v>346011</v>
      </c>
      <c r="F299" s="104">
        <f>VLOOKUP(E299,'[1]Task list &amp; Maintenace plan'!$B:$G,6,FALSE)</f>
        <v>100732</v>
      </c>
      <c r="G299" s="105" t="s">
        <v>513</v>
      </c>
      <c r="H299" s="106" t="s">
        <v>512</v>
      </c>
      <c r="I299" s="106" t="s">
        <v>517</v>
      </c>
      <c r="J299" s="105">
        <v>30</v>
      </c>
      <c r="K299" s="105">
        <v>1</v>
      </c>
      <c r="L299" s="105"/>
      <c r="M299" s="705"/>
      <c r="N299" s="705"/>
      <c r="O299" s="705"/>
      <c r="P299" s="708"/>
    </row>
    <row r="300" spans="1:16" x14ac:dyDescent="0.25">
      <c r="A300" t="s">
        <v>180</v>
      </c>
      <c r="B300" s="4" t="s">
        <v>504</v>
      </c>
      <c r="C300" s="12"/>
      <c r="D300" s="104">
        <v>610000004298</v>
      </c>
      <c r="E300" s="104">
        <v>346011</v>
      </c>
      <c r="F300" s="104">
        <f>VLOOKUP(E300,'[1]Task list &amp; Maintenace plan'!$B:$G,6,FALSE)</f>
        <v>100732</v>
      </c>
      <c r="G300" s="105" t="s">
        <v>513</v>
      </c>
      <c r="H300" s="106" t="s">
        <v>515</v>
      </c>
      <c r="I300" s="106" t="s">
        <v>519</v>
      </c>
      <c r="J300" s="105">
        <v>30</v>
      </c>
      <c r="K300" s="105">
        <v>1</v>
      </c>
      <c r="L300" s="105"/>
      <c r="M300" s="705"/>
      <c r="N300" s="705"/>
      <c r="O300" s="705"/>
      <c r="P300" s="708"/>
    </row>
    <row r="301" spans="1:16" x14ac:dyDescent="0.25">
      <c r="A301" t="s">
        <v>180</v>
      </c>
      <c r="B301" s="4" t="s">
        <v>504</v>
      </c>
      <c r="C301" s="12"/>
      <c r="D301" s="104">
        <v>610000004298</v>
      </c>
      <c r="E301" s="104">
        <v>346011</v>
      </c>
      <c r="F301" s="104">
        <f>VLOOKUP(E301,'[1]Task list &amp; Maintenace plan'!$B:$G,6,FALSE)</f>
        <v>100732</v>
      </c>
      <c r="G301" s="105" t="s">
        <v>513</v>
      </c>
      <c r="H301" s="106" t="s">
        <v>507</v>
      </c>
      <c r="I301" s="106" t="s">
        <v>521</v>
      </c>
      <c r="J301" s="105">
        <v>30</v>
      </c>
      <c r="K301" s="105">
        <v>1</v>
      </c>
      <c r="L301" s="105"/>
      <c r="M301" s="705"/>
      <c r="N301" s="705"/>
      <c r="O301" s="705"/>
      <c r="P301" s="708"/>
    </row>
    <row r="302" spans="1:16" x14ac:dyDescent="0.25">
      <c r="A302" t="s">
        <v>180</v>
      </c>
      <c r="B302" s="4" t="s">
        <v>504</v>
      </c>
      <c r="C302" s="12"/>
      <c r="D302" s="104">
        <v>610000004298</v>
      </c>
      <c r="E302" s="104">
        <v>346011</v>
      </c>
      <c r="F302" s="104">
        <f>VLOOKUP(E302,'[1]Task list &amp; Maintenace plan'!$B:$G,6,FALSE)</f>
        <v>100732</v>
      </c>
      <c r="G302" s="105" t="s">
        <v>513</v>
      </c>
      <c r="H302" s="106" t="s">
        <v>518</v>
      </c>
      <c r="I302" s="106" t="s">
        <v>523</v>
      </c>
      <c r="J302" s="105">
        <v>30</v>
      </c>
      <c r="K302" s="105">
        <v>1</v>
      </c>
      <c r="L302" s="105"/>
      <c r="M302" s="705"/>
      <c r="N302" s="705"/>
      <c r="O302" s="705"/>
      <c r="P302" s="708"/>
    </row>
    <row r="303" spans="1:16" x14ac:dyDescent="0.25">
      <c r="A303" t="s">
        <v>180</v>
      </c>
      <c r="B303" s="4" t="s">
        <v>504</v>
      </c>
      <c r="C303" s="12"/>
      <c r="D303" s="104">
        <v>610000004298</v>
      </c>
      <c r="E303" s="104">
        <v>346011</v>
      </c>
      <c r="F303" s="104">
        <f>VLOOKUP(E303,'[1]Task list &amp; Maintenace plan'!$B:$G,6,FALSE)</f>
        <v>100732</v>
      </c>
      <c r="G303" s="105" t="s">
        <v>513</v>
      </c>
      <c r="H303" s="106" t="s">
        <v>520</v>
      </c>
      <c r="I303" s="106" t="s">
        <v>525</v>
      </c>
      <c r="J303" s="105">
        <v>30</v>
      </c>
      <c r="K303" s="105">
        <v>1</v>
      </c>
      <c r="L303" s="105"/>
      <c r="M303" s="705"/>
      <c r="N303" s="705"/>
      <c r="O303" s="705"/>
      <c r="P303" s="708"/>
    </row>
    <row r="304" spans="1:16" x14ac:dyDescent="0.25">
      <c r="A304" t="s">
        <v>180</v>
      </c>
      <c r="B304" s="4" t="s">
        <v>504</v>
      </c>
      <c r="C304" s="12"/>
      <c r="D304" s="104">
        <v>610000004298</v>
      </c>
      <c r="E304" s="104">
        <v>346011</v>
      </c>
      <c r="F304" s="104">
        <f>VLOOKUP(E304,'[1]Task list &amp; Maintenace plan'!$B:$G,6,FALSE)</f>
        <v>100732</v>
      </c>
      <c r="G304" s="105" t="s">
        <v>513</v>
      </c>
      <c r="H304" s="106" t="s">
        <v>522</v>
      </c>
      <c r="I304" s="106" t="s">
        <v>526</v>
      </c>
      <c r="J304" s="105">
        <v>30</v>
      </c>
      <c r="K304" s="105">
        <v>1</v>
      </c>
      <c r="L304" s="105"/>
      <c r="M304" s="705"/>
      <c r="N304" s="705"/>
      <c r="O304" s="705"/>
      <c r="P304" s="708"/>
    </row>
    <row r="305" spans="1:16" x14ac:dyDescent="0.25">
      <c r="A305" t="s">
        <v>180</v>
      </c>
      <c r="B305" s="4" t="s">
        <v>504</v>
      </c>
      <c r="C305" s="177"/>
      <c r="D305" s="104">
        <v>610000004298</v>
      </c>
      <c r="E305" s="104">
        <v>346011</v>
      </c>
      <c r="F305" s="104">
        <f>VLOOKUP(E305,'[1]Task list &amp; Maintenace plan'!$B:$G,6,FALSE)</f>
        <v>100732</v>
      </c>
      <c r="G305" s="105" t="s">
        <v>513</v>
      </c>
      <c r="H305" s="106" t="s">
        <v>524</v>
      </c>
      <c r="I305" s="106" t="s">
        <v>527</v>
      </c>
      <c r="J305" s="105">
        <v>30</v>
      </c>
      <c r="K305" s="105">
        <v>1</v>
      </c>
      <c r="L305" s="105"/>
      <c r="M305" s="705"/>
      <c r="N305" s="705"/>
      <c r="O305" s="705"/>
      <c r="P305" s="708"/>
    </row>
    <row r="306" spans="1:16" x14ac:dyDescent="0.25">
      <c r="A306" t="s">
        <v>180</v>
      </c>
      <c r="B306" s="4" t="s">
        <v>504</v>
      </c>
      <c r="C306" s="12"/>
      <c r="D306" s="123">
        <v>610000004298</v>
      </c>
      <c r="E306" s="123">
        <v>346011</v>
      </c>
      <c r="F306" s="123">
        <f>VLOOKUP(E306,'[1]Task list &amp; Maintenace plan'!$B:$G,6,FALSE)</f>
        <v>100732</v>
      </c>
      <c r="G306" s="124" t="s">
        <v>513</v>
      </c>
      <c r="H306" s="107" t="s">
        <v>510</v>
      </c>
      <c r="I306" s="107" t="s">
        <v>528</v>
      </c>
      <c r="J306" s="124">
        <v>30</v>
      </c>
      <c r="K306" s="124">
        <v>1</v>
      </c>
      <c r="L306" s="124"/>
      <c r="M306" s="705"/>
      <c r="N306" s="705"/>
      <c r="O306" s="705"/>
      <c r="P306" s="708"/>
    </row>
    <row r="307" spans="1:16" x14ac:dyDescent="0.25">
      <c r="A307" t="s">
        <v>180</v>
      </c>
      <c r="B307" s="4" t="s">
        <v>504</v>
      </c>
      <c r="C307" s="12"/>
      <c r="D307" s="140">
        <v>610000004298</v>
      </c>
      <c r="E307" s="140">
        <v>346011</v>
      </c>
      <c r="F307" s="140">
        <f>VLOOKUP(E307,'[1]Task list &amp; Maintenace plan'!$B:$G,6,FALSE)</f>
        <v>100732</v>
      </c>
      <c r="G307" s="141" t="s">
        <v>513</v>
      </c>
      <c r="H307" s="142" t="s">
        <v>505</v>
      </c>
      <c r="I307" s="142" t="s">
        <v>529</v>
      </c>
      <c r="J307" s="141">
        <v>30</v>
      </c>
      <c r="K307" s="141">
        <v>1</v>
      </c>
      <c r="L307" s="141"/>
      <c r="M307" s="705"/>
      <c r="N307" s="705"/>
      <c r="O307" s="705"/>
      <c r="P307" s="708"/>
    </row>
    <row r="308" spans="1:16" x14ac:dyDescent="0.25">
      <c r="A308" t="s">
        <v>180</v>
      </c>
      <c r="B308" s="4" t="s">
        <v>504</v>
      </c>
      <c r="C308" s="12"/>
      <c r="D308" s="104">
        <v>610000004298</v>
      </c>
      <c r="E308" s="104">
        <v>346011</v>
      </c>
      <c r="F308" s="104">
        <f>VLOOKUP(E308,'[1]Task list &amp; Maintenace plan'!$B:$G,6,FALSE)</f>
        <v>100732</v>
      </c>
      <c r="G308" s="105" t="s">
        <v>513</v>
      </c>
      <c r="H308" s="106" t="s">
        <v>509</v>
      </c>
      <c r="I308" s="106" t="s">
        <v>530</v>
      </c>
      <c r="J308" s="105">
        <v>30</v>
      </c>
      <c r="K308" s="105">
        <v>1</v>
      </c>
      <c r="L308" s="105"/>
      <c r="M308" s="705"/>
      <c r="N308" s="705"/>
      <c r="O308" s="705"/>
      <c r="P308" s="708"/>
    </row>
    <row r="309" spans="1:16" x14ac:dyDescent="0.25">
      <c r="A309" t="s">
        <v>180</v>
      </c>
      <c r="B309" s="4" t="s">
        <v>504</v>
      </c>
      <c r="C309" s="12"/>
      <c r="D309" s="104">
        <v>610000004298</v>
      </c>
      <c r="E309" s="104">
        <v>346011</v>
      </c>
      <c r="F309" s="104">
        <f>VLOOKUP(E309,'[1]Task list &amp; Maintenace plan'!$B:$G,6,FALSE)</f>
        <v>100732</v>
      </c>
      <c r="G309" s="105" t="s">
        <v>513</v>
      </c>
      <c r="H309" s="106" t="s">
        <v>512</v>
      </c>
      <c r="I309" s="106" t="s">
        <v>531</v>
      </c>
      <c r="J309" s="105">
        <v>30</v>
      </c>
      <c r="K309" s="105">
        <v>1</v>
      </c>
      <c r="L309" s="105"/>
      <c r="M309" s="705"/>
      <c r="N309" s="705"/>
      <c r="O309" s="705"/>
      <c r="P309" s="708"/>
    </row>
    <row r="310" spans="1:16" x14ac:dyDescent="0.25">
      <c r="A310" t="s">
        <v>180</v>
      </c>
      <c r="B310" s="4" t="s">
        <v>504</v>
      </c>
      <c r="C310" s="12"/>
      <c r="D310" s="104">
        <v>610000004298</v>
      </c>
      <c r="E310" s="104">
        <v>346011</v>
      </c>
      <c r="F310" s="104">
        <f>VLOOKUP(E310,'[1]Task list &amp; Maintenace plan'!$B:$G,6,FALSE)</f>
        <v>100732</v>
      </c>
      <c r="G310" s="105" t="s">
        <v>513</v>
      </c>
      <c r="H310" s="106" t="s">
        <v>515</v>
      </c>
      <c r="I310" s="106" t="s">
        <v>532</v>
      </c>
      <c r="J310" s="105">
        <v>30</v>
      </c>
      <c r="K310" s="105">
        <v>1</v>
      </c>
      <c r="L310" s="105"/>
      <c r="M310" s="705"/>
      <c r="N310" s="705"/>
      <c r="O310" s="705"/>
      <c r="P310" s="708"/>
    </row>
    <row r="311" spans="1:16" x14ac:dyDescent="0.25">
      <c r="A311" t="s">
        <v>180</v>
      </c>
      <c r="B311" s="4" t="s">
        <v>504</v>
      </c>
      <c r="C311" s="12"/>
      <c r="D311" s="104">
        <v>610000004298</v>
      </c>
      <c r="E311" s="104">
        <v>346011</v>
      </c>
      <c r="F311" s="104">
        <f>VLOOKUP(E311,'[1]Task list &amp; Maintenace plan'!$B:$G,6,FALSE)</f>
        <v>100732</v>
      </c>
      <c r="G311" s="105" t="s">
        <v>513</v>
      </c>
      <c r="H311" s="106" t="s">
        <v>507</v>
      </c>
      <c r="I311" s="106" t="s">
        <v>533</v>
      </c>
      <c r="J311" s="105">
        <v>30</v>
      </c>
      <c r="K311" s="105">
        <v>1</v>
      </c>
      <c r="L311" s="105"/>
      <c r="M311" s="705"/>
      <c r="N311" s="705"/>
      <c r="O311" s="705"/>
      <c r="P311" s="708"/>
    </row>
    <row r="312" spans="1:16" x14ac:dyDescent="0.25">
      <c r="A312" t="s">
        <v>180</v>
      </c>
      <c r="B312" s="4" t="s">
        <v>504</v>
      </c>
      <c r="C312" s="12"/>
      <c r="D312" s="104">
        <v>610000004298</v>
      </c>
      <c r="E312" s="104">
        <v>346011</v>
      </c>
      <c r="F312" s="104">
        <f>VLOOKUP(E312,'[1]Task list &amp; Maintenace plan'!$B:$G,6,FALSE)</f>
        <v>100732</v>
      </c>
      <c r="G312" s="105" t="s">
        <v>513</v>
      </c>
      <c r="H312" s="106" t="s">
        <v>518</v>
      </c>
      <c r="I312" s="106" t="s">
        <v>534</v>
      </c>
      <c r="J312" s="105">
        <v>30</v>
      </c>
      <c r="K312" s="105">
        <v>1</v>
      </c>
      <c r="L312" s="105"/>
      <c r="M312" s="705"/>
      <c r="N312" s="705"/>
      <c r="O312" s="705"/>
      <c r="P312" s="708"/>
    </row>
    <row r="313" spans="1:16" x14ac:dyDescent="0.25">
      <c r="A313" t="s">
        <v>180</v>
      </c>
      <c r="B313" s="4" t="s">
        <v>504</v>
      </c>
      <c r="C313" s="12"/>
      <c r="D313" s="104">
        <v>610000004298</v>
      </c>
      <c r="E313" s="104">
        <v>346011</v>
      </c>
      <c r="F313" s="104">
        <f>VLOOKUP(E313,'[1]Task list &amp; Maintenace plan'!$B:$G,6,FALSE)</f>
        <v>100732</v>
      </c>
      <c r="G313" s="105" t="s">
        <v>513</v>
      </c>
      <c r="H313" s="106" t="s">
        <v>520</v>
      </c>
      <c r="I313" s="106" t="s">
        <v>535</v>
      </c>
      <c r="J313" s="105">
        <v>30</v>
      </c>
      <c r="K313" s="105">
        <v>1</v>
      </c>
      <c r="L313" s="105"/>
      <c r="M313" s="705"/>
      <c r="N313" s="705"/>
      <c r="O313" s="705"/>
      <c r="P313" s="708"/>
    </row>
    <row r="314" spans="1:16" x14ac:dyDescent="0.25">
      <c r="A314" t="s">
        <v>180</v>
      </c>
      <c r="B314" s="4" t="s">
        <v>504</v>
      </c>
      <c r="C314" s="12"/>
      <c r="D314" s="104">
        <v>610000004298</v>
      </c>
      <c r="E314" s="104">
        <v>346011</v>
      </c>
      <c r="F314" s="104">
        <f>VLOOKUP(E314,'[1]Task list &amp; Maintenace plan'!$B:$G,6,FALSE)</f>
        <v>100732</v>
      </c>
      <c r="G314" s="105" t="s">
        <v>513</v>
      </c>
      <c r="H314" s="106" t="s">
        <v>522</v>
      </c>
      <c r="I314" s="106" t="s">
        <v>536</v>
      </c>
      <c r="J314" s="105">
        <v>30</v>
      </c>
      <c r="K314" s="105">
        <v>1</v>
      </c>
      <c r="L314" s="105"/>
      <c r="M314" s="705"/>
      <c r="N314" s="705"/>
      <c r="O314" s="705"/>
      <c r="P314" s="708"/>
    </row>
    <row r="315" spans="1:16" x14ac:dyDescent="0.25">
      <c r="A315" t="s">
        <v>180</v>
      </c>
      <c r="B315" s="4" t="s">
        <v>504</v>
      </c>
      <c r="C315" s="12"/>
      <c r="D315" s="123">
        <v>610000004298</v>
      </c>
      <c r="E315" s="123">
        <v>346011</v>
      </c>
      <c r="F315" s="123">
        <f>VLOOKUP(E315,'[1]Task list &amp; Maintenace plan'!$B:$G,6,FALSE)</f>
        <v>100732</v>
      </c>
      <c r="G315" s="124" t="s">
        <v>513</v>
      </c>
      <c r="H315" s="107" t="s">
        <v>524</v>
      </c>
      <c r="I315" s="107" t="s">
        <v>537</v>
      </c>
      <c r="J315" s="124">
        <v>30</v>
      </c>
      <c r="K315" s="124">
        <v>1</v>
      </c>
      <c r="L315" s="124"/>
      <c r="M315" s="705"/>
      <c r="N315" s="705"/>
      <c r="O315" s="705"/>
      <c r="P315" s="708"/>
    </row>
    <row r="316" spans="1:16" x14ac:dyDescent="0.25">
      <c r="A316" t="s">
        <v>180</v>
      </c>
      <c r="B316" s="4" t="s">
        <v>504</v>
      </c>
      <c r="C316" s="12"/>
      <c r="D316" s="103">
        <v>610000004298</v>
      </c>
      <c r="E316" s="103">
        <v>346011</v>
      </c>
      <c r="F316" s="103">
        <f>VLOOKUP(E316,'[1]Task list &amp; Maintenace plan'!$B:$G,6,FALSE)</f>
        <v>100732</v>
      </c>
      <c r="G316" s="85" t="s">
        <v>513</v>
      </c>
      <c r="H316" s="84" t="s">
        <v>510</v>
      </c>
      <c r="I316" s="84" t="s">
        <v>538</v>
      </c>
      <c r="J316" s="85">
        <v>30</v>
      </c>
      <c r="K316" s="85">
        <v>1</v>
      </c>
      <c r="L316" s="85"/>
      <c r="M316" s="706"/>
      <c r="N316" s="706"/>
      <c r="O316" s="706"/>
      <c r="P316" s="709"/>
    </row>
    <row r="317" spans="1:16" x14ac:dyDescent="0.25">
      <c r="A317" t="s">
        <v>180</v>
      </c>
      <c r="B317" s="4" t="s">
        <v>504</v>
      </c>
      <c r="C317" s="12"/>
      <c r="D317" s="100">
        <v>610000004299</v>
      </c>
      <c r="E317" s="100">
        <v>346012</v>
      </c>
      <c r="F317" s="100">
        <f>VLOOKUP(E317,'[1]Task list &amp; Maintenace plan'!$B:$G,6,FALSE)</f>
        <v>100733</v>
      </c>
      <c r="G317" s="101" t="s">
        <v>539</v>
      </c>
      <c r="H317" s="102" t="s">
        <v>505</v>
      </c>
      <c r="I317" s="102" t="s">
        <v>540</v>
      </c>
      <c r="J317" s="101">
        <v>60</v>
      </c>
      <c r="K317" s="101">
        <v>1</v>
      </c>
      <c r="L317" s="101"/>
      <c r="M317" s="710">
        <v>100</v>
      </c>
      <c r="N317" s="710">
        <v>1</v>
      </c>
      <c r="O317" s="710">
        <f>N317*M317</f>
        <v>100</v>
      </c>
      <c r="P317" s="712" t="s">
        <v>34</v>
      </c>
    </row>
    <row r="318" spans="1:16" x14ac:dyDescent="0.25">
      <c r="A318" t="s">
        <v>180</v>
      </c>
      <c r="B318" s="4" t="s">
        <v>504</v>
      </c>
      <c r="C318" s="12"/>
      <c r="D318" s="104">
        <v>610000004299</v>
      </c>
      <c r="E318" s="104">
        <v>346012</v>
      </c>
      <c r="F318" s="104">
        <f>VLOOKUP(E318,'[1]Task list &amp; Maintenace plan'!$B:$G,6,FALSE)</f>
        <v>100733</v>
      </c>
      <c r="G318" s="105" t="s">
        <v>539</v>
      </c>
      <c r="H318" s="106" t="s">
        <v>509</v>
      </c>
      <c r="I318" s="106" t="s">
        <v>541</v>
      </c>
      <c r="J318" s="105">
        <v>60</v>
      </c>
      <c r="K318" s="105">
        <v>1</v>
      </c>
      <c r="L318" s="105"/>
      <c r="M318" s="705"/>
      <c r="N318" s="705"/>
      <c r="O318" s="705"/>
      <c r="P318" s="708"/>
    </row>
    <row r="319" spans="1:16" x14ac:dyDescent="0.25">
      <c r="A319" t="s">
        <v>180</v>
      </c>
      <c r="B319" s="4" t="s">
        <v>504</v>
      </c>
      <c r="C319" s="12"/>
      <c r="D319" s="104">
        <v>610000004299</v>
      </c>
      <c r="E319" s="104">
        <v>346012</v>
      </c>
      <c r="F319" s="104">
        <f>VLOOKUP(E319,'[1]Task list &amp; Maintenace plan'!$B:$G,6,FALSE)</f>
        <v>100733</v>
      </c>
      <c r="G319" s="105" t="s">
        <v>539</v>
      </c>
      <c r="H319" s="106" t="s">
        <v>512</v>
      </c>
      <c r="I319" s="106" t="s">
        <v>542</v>
      </c>
      <c r="J319" s="105">
        <v>60</v>
      </c>
      <c r="K319" s="105">
        <v>1</v>
      </c>
      <c r="L319" s="105"/>
      <c r="M319" s="705"/>
      <c r="N319" s="705"/>
      <c r="O319" s="705"/>
      <c r="P319" s="708"/>
    </row>
    <row r="320" spans="1:16" x14ac:dyDescent="0.25">
      <c r="A320" t="s">
        <v>180</v>
      </c>
      <c r="B320" s="4" t="s">
        <v>504</v>
      </c>
      <c r="C320" s="12"/>
      <c r="D320" s="104">
        <v>610000004299</v>
      </c>
      <c r="E320" s="104">
        <v>346012</v>
      </c>
      <c r="F320" s="104">
        <f>VLOOKUP(E320,'[1]Task list &amp; Maintenace plan'!$B:$G,6,FALSE)</f>
        <v>100733</v>
      </c>
      <c r="G320" s="105" t="s">
        <v>539</v>
      </c>
      <c r="H320" s="106" t="s">
        <v>515</v>
      </c>
      <c r="I320" s="106" t="s">
        <v>543</v>
      </c>
      <c r="J320" s="105">
        <v>60</v>
      </c>
      <c r="K320" s="105">
        <v>1</v>
      </c>
      <c r="L320" s="105"/>
      <c r="M320" s="705"/>
      <c r="N320" s="705"/>
      <c r="O320" s="705"/>
      <c r="P320" s="708"/>
    </row>
    <row r="321" spans="1:16" x14ac:dyDescent="0.25">
      <c r="A321" t="s">
        <v>180</v>
      </c>
      <c r="B321" s="4" t="s">
        <v>504</v>
      </c>
      <c r="C321" s="12"/>
      <c r="D321" s="104">
        <v>610000004299</v>
      </c>
      <c r="E321" s="104">
        <v>346012</v>
      </c>
      <c r="F321" s="104">
        <f>VLOOKUP(E321,'[1]Task list &amp; Maintenace plan'!$B:$G,6,FALSE)</f>
        <v>100733</v>
      </c>
      <c r="G321" s="105" t="s">
        <v>539</v>
      </c>
      <c r="H321" s="106" t="s">
        <v>507</v>
      </c>
      <c r="I321" s="106" t="s">
        <v>544</v>
      </c>
      <c r="J321" s="105">
        <v>60</v>
      </c>
      <c r="K321" s="105">
        <v>1</v>
      </c>
      <c r="L321" s="105"/>
      <c r="M321" s="705"/>
      <c r="N321" s="705"/>
      <c r="O321" s="705"/>
      <c r="P321" s="708"/>
    </row>
    <row r="322" spans="1:16" x14ac:dyDescent="0.25">
      <c r="A322" t="s">
        <v>180</v>
      </c>
      <c r="B322" s="4" t="s">
        <v>504</v>
      </c>
      <c r="C322" s="12"/>
      <c r="D322" s="104">
        <v>610000004299</v>
      </c>
      <c r="E322" s="104">
        <v>346012</v>
      </c>
      <c r="F322" s="104">
        <f>VLOOKUP(E322,'[1]Task list &amp; Maintenace plan'!$B:$G,6,FALSE)</f>
        <v>100733</v>
      </c>
      <c r="G322" s="105" t="s">
        <v>539</v>
      </c>
      <c r="H322" s="106" t="s">
        <v>518</v>
      </c>
      <c r="I322" s="106" t="s">
        <v>545</v>
      </c>
      <c r="J322" s="105">
        <v>60</v>
      </c>
      <c r="K322" s="105">
        <v>1</v>
      </c>
      <c r="L322" s="105"/>
      <c r="M322" s="705"/>
      <c r="N322" s="705"/>
      <c r="O322" s="705"/>
      <c r="P322" s="708"/>
    </row>
    <row r="323" spans="1:16" x14ac:dyDescent="0.25">
      <c r="A323" t="s">
        <v>180</v>
      </c>
      <c r="B323" s="4" t="s">
        <v>504</v>
      </c>
      <c r="C323" s="12"/>
      <c r="D323" s="104">
        <v>610000004299</v>
      </c>
      <c r="E323" s="104">
        <v>346012</v>
      </c>
      <c r="F323" s="104">
        <f>VLOOKUP(E323,'[1]Task list &amp; Maintenace plan'!$B:$G,6,FALSE)</f>
        <v>100733</v>
      </c>
      <c r="G323" s="105" t="s">
        <v>539</v>
      </c>
      <c r="H323" s="106" t="s">
        <v>520</v>
      </c>
      <c r="I323" s="106" t="s">
        <v>546</v>
      </c>
      <c r="J323" s="105">
        <v>60</v>
      </c>
      <c r="K323" s="105">
        <v>1</v>
      </c>
      <c r="L323" s="105"/>
      <c r="M323" s="705"/>
      <c r="N323" s="705"/>
      <c r="O323" s="705"/>
      <c r="P323" s="708"/>
    </row>
    <row r="324" spans="1:16" x14ac:dyDescent="0.25">
      <c r="A324" t="s">
        <v>180</v>
      </c>
      <c r="B324" s="4" t="s">
        <v>504</v>
      </c>
      <c r="C324" s="12"/>
      <c r="D324" s="104">
        <v>610000004299</v>
      </c>
      <c r="E324" s="104">
        <v>346012</v>
      </c>
      <c r="F324" s="104">
        <f>VLOOKUP(E324,'[1]Task list &amp; Maintenace plan'!$B:$G,6,FALSE)</f>
        <v>100733</v>
      </c>
      <c r="G324" s="105" t="s">
        <v>539</v>
      </c>
      <c r="H324" s="106" t="s">
        <v>522</v>
      </c>
      <c r="I324" s="106" t="s">
        <v>547</v>
      </c>
      <c r="J324" s="105">
        <v>60</v>
      </c>
      <c r="K324" s="105">
        <v>1</v>
      </c>
      <c r="L324" s="105"/>
      <c r="M324" s="705"/>
      <c r="N324" s="705"/>
      <c r="O324" s="705"/>
      <c r="P324" s="708"/>
    </row>
    <row r="325" spans="1:16" x14ac:dyDescent="0.25">
      <c r="A325" t="s">
        <v>180</v>
      </c>
      <c r="B325" s="4" t="s">
        <v>504</v>
      </c>
      <c r="C325" s="12"/>
      <c r="D325" s="104">
        <v>610000004299</v>
      </c>
      <c r="E325" s="104">
        <v>346012</v>
      </c>
      <c r="F325" s="104">
        <f>VLOOKUP(E325,'[1]Task list &amp; Maintenace plan'!$B:$G,6,FALSE)</f>
        <v>100733</v>
      </c>
      <c r="G325" s="105" t="s">
        <v>539</v>
      </c>
      <c r="H325" s="106" t="s">
        <v>524</v>
      </c>
      <c r="I325" s="106" t="s">
        <v>548</v>
      </c>
      <c r="J325" s="105">
        <v>60</v>
      </c>
      <c r="K325" s="105">
        <v>1</v>
      </c>
      <c r="L325" s="105"/>
      <c r="M325" s="705"/>
      <c r="N325" s="705"/>
      <c r="O325" s="705"/>
      <c r="P325" s="708"/>
    </row>
    <row r="326" spans="1:16" x14ac:dyDescent="0.25">
      <c r="A326" t="s">
        <v>180</v>
      </c>
      <c r="B326" s="4" t="s">
        <v>504</v>
      </c>
      <c r="C326" s="12"/>
      <c r="D326" s="103">
        <v>610000004299</v>
      </c>
      <c r="E326" s="103">
        <v>346012</v>
      </c>
      <c r="F326" s="103">
        <f>VLOOKUP(E326,'[1]Task list &amp; Maintenace plan'!$B:$G,6,FALSE)</f>
        <v>100733</v>
      </c>
      <c r="G326" s="85" t="s">
        <v>539</v>
      </c>
      <c r="H326" s="84" t="s">
        <v>510</v>
      </c>
      <c r="I326" s="84" t="s">
        <v>549</v>
      </c>
      <c r="J326" s="85">
        <v>60</v>
      </c>
      <c r="K326" s="85">
        <v>1</v>
      </c>
      <c r="L326" s="85"/>
      <c r="M326" s="706"/>
      <c r="N326" s="706"/>
      <c r="O326" s="706"/>
      <c r="P326" s="709"/>
    </row>
    <row r="327" spans="1:16" x14ac:dyDescent="0.25">
      <c r="A327" t="s">
        <v>180</v>
      </c>
      <c r="B327" s="4" t="s">
        <v>504</v>
      </c>
      <c r="C327" s="208"/>
      <c r="D327" s="160">
        <v>342104</v>
      </c>
      <c r="E327" s="160">
        <v>346013</v>
      </c>
      <c r="F327" s="160">
        <f>VLOOKUP(E327,'[1]Task list &amp; Maintenace plan'!$B:$G,6,FALSE)</f>
        <v>435</v>
      </c>
      <c r="G327" s="82" t="s">
        <v>550</v>
      </c>
      <c r="H327" s="81" t="s">
        <v>524</v>
      </c>
      <c r="I327" s="81" t="s">
        <v>551</v>
      </c>
      <c r="J327" s="82">
        <v>90</v>
      </c>
      <c r="K327" s="82"/>
      <c r="L327" s="82">
        <v>1</v>
      </c>
      <c r="M327" s="82">
        <v>5</v>
      </c>
      <c r="N327" s="82">
        <v>1</v>
      </c>
      <c r="O327" s="82">
        <f>N327*M327</f>
        <v>5</v>
      </c>
      <c r="P327" s="161" t="s">
        <v>20</v>
      </c>
    </row>
    <row r="328" spans="1:16" x14ac:dyDescent="0.25">
      <c r="A328" t="s">
        <v>180</v>
      </c>
      <c r="B328" s="11" t="s">
        <v>552</v>
      </c>
      <c r="C328" s="12"/>
      <c r="D328" s="140">
        <v>610000004302</v>
      </c>
      <c r="E328" s="140">
        <v>346014</v>
      </c>
      <c r="F328" s="140">
        <f>VLOOKUP(E328,'[1]Task list &amp; Maintenace plan'!$B:$G,6,FALSE)</f>
        <v>100736</v>
      </c>
      <c r="G328" s="141" t="s">
        <v>554</v>
      </c>
      <c r="H328" s="142" t="s">
        <v>553</v>
      </c>
      <c r="I328" s="102" t="s">
        <v>555</v>
      </c>
      <c r="J328" s="141">
        <v>30</v>
      </c>
      <c r="K328" s="141">
        <v>1</v>
      </c>
      <c r="L328" s="141"/>
      <c r="M328" s="710">
        <v>10</v>
      </c>
      <c r="N328" s="710">
        <v>1</v>
      </c>
      <c r="O328" s="710">
        <f>N328*M328</f>
        <v>10</v>
      </c>
      <c r="P328" s="712" t="s">
        <v>20</v>
      </c>
    </row>
    <row r="329" spans="1:16" x14ac:dyDescent="0.25">
      <c r="A329" t="s">
        <v>180</v>
      </c>
      <c r="B329" s="11" t="s">
        <v>552</v>
      </c>
      <c r="C329" s="12"/>
      <c r="D329" s="104">
        <v>610000004302</v>
      </c>
      <c r="E329" s="104">
        <v>346014</v>
      </c>
      <c r="F329" s="104">
        <f>VLOOKUP(E329,'[1]Task list &amp; Maintenace plan'!$B:$G,6,FALSE)</f>
        <v>100736</v>
      </c>
      <c r="G329" s="105" t="s">
        <v>554</v>
      </c>
      <c r="H329" s="106" t="s">
        <v>556</v>
      </c>
      <c r="I329" s="106" t="s">
        <v>557</v>
      </c>
      <c r="J329" s="105">
        <v>30</v>
      </c>
      <c r="K329" s="105">
        <v>1</v>
      </c>
      <c r="L329" s="105"/>
      <c r="M329" s="705"/>
      <c r="N329" s="705"/>
      <c r="O329" s="705"/>
      <c r="P329" s="708"/>
    </row>
    <row r="330" spans="1:16" x14ac:dyDescent="0.25">
      <c r="A330" t="s">
        <v>180</v>
      </c>
      <c r="B330" s="11" t="s">
        <v>552</v>
      </c>
      <c r="C330" s="12"/>
      <c r="D330" s="104">
        <v>610000004302</v>
      </c>
      <c r="E330" s="104">
        <v>346014</v>
      </c>
      <c r="F330" s="104">
        <f>VLOOKUP(E330,'[1]Task list &amp; Maintenace plan'!$B:$G,6,FALSE)</f>
        <v>100736</v>
      </c>
      <c r="G330" s="105" t="s">
        <v>554</v>
      </c>
      <c r="H330" s="106" t="s">
        <v>558</v>
      </c>
      <c r="I330" s="106" t="s">
        <v>559</v>
      </c>
      <c r="J330" s="105">
        <v>30</v>
      </c>
      <c r="K330" s="105">
        <v>1</v>
      </c>
      <c r="L330" s="105"/>
      <c r="M330" s="705"/>
      <c r="N330" s="705"/>
      <c r="O330" s="705"/>
      <c r="P330" s="708"/>
    </row>
    <row r="331" spans="1:16" x14ac:dyDescent="0.25">
      <c r="A331" t="s">
        <v>180</v>
      </c>
      <c r="B331" s="11" t="s">
        <v>552</v>
      </c>
      <c r="C331" s="12"/>
      <c r="D331" s="104">
        <v>610000004302</v>
      </c>
      <c r="E331" s="104">
        <v>346014</v>
      </c>
      <c r="F331" s="104">
        <f>VLOOKUP(E331,'[1]Task list &amp; Maintenace plan'!$B:$G,6,FALSE)</f>
        <v>100736</v>
      </c>
      <c r="G331" s="105" t="s">
        <v>554</v>
      </c>
      <c r="H331" s="106" t="s">
        <v>560</v>
      </c>
      <c r="I331" s="106" t="s">
        <v>561</v>
      </c>
      <c r="J331" s="105">
        <v>30</v>
      </c>
      <c r="K331" s="105">
        <v>1</v>
      </c>
      <c r="L331" s="105"/>
      <c r="M331" s="705"/>
      <c r="N331" s="705"/>
      <c r="O331" s="705"/>
      <c r="P331" s="708"/>
    </row>
    <row r="332" spans="1:16" x14ac:dyDescent="0.25">
      <c r="A332" t="s">
        <v>180</v>
      </c>
      <c r="B332" s="11" t="s">
        <v>552</v>
      </c>
      <c r="C332" s="12"/>
      <c r="D332" s="123">
        <v>610000004302</v>
      </c>
      <c r="E332" s="123">
        <v>346014</v>
      </c>
      <c r="F332" s="123">
        <f>VLOOKUP(E332,'[1]Task list &amp; Maintenace plan'!$B:$G,6,FALSE)</f>
        <v>100736</v>
      </c>
      <c r="G332" s="124" t="s">
        <v>554</v>
      </c>
      <c r="H332" s="107" t="s">
        <v>562</v>
      </c>
      <c r="I332" s="107" t="s">
        <v>563</v>
      </c>
      <c r="J332" s="124">
        <v>30</v>
      </c>
      <c r="K332" s="124">
        <v>1</v>
      </c>
      <c r="L332" s="124"/>
      <c r="M332" s="705"/>
      <c r="N332" s="705"/>
      <c r="O332" s="705"/>
      <c r="P332" s="708"/>
    </row>
    <row r="333" spans="1:16" x14ac:dyDescent="0.25">
      <c r="A333" t="s">
        <v>180</v>
      </c>
      <c r="B333" s="11" t="s">
        <v>552</v>
      </c>
      <c r="C333" s="12"/>
      <c r="D333" s="123">
        <v>610000004302</v>
      </c>
      <c r="E333" s="123">
        <v>346014</v>
      </c>
      <c r="F333" s="123">
        <f>VLOOKUP(E333,'[1]Task list &amp; Maintenace plan'!$B:$G,6,FALSE)</f>
        <v>100736</v>
      </c>
      <c r="G333" s="124" t="s">
        <v>554</v>
      </c>
      <c r="H333" s="107" t="s">
        <v>553</v>
      </c>
      <c r="I333" s="107" t="s">
        <v>564</v>
      </c>
      <c r="J333" s="124">
        <v>30</v>
      </c>
      <c r="K333" s="124">
        <v>1</v>
      </c>
      <c r="L333" s="124"/>
      <c r="M333" s="705"/>
      <c r="N333" s="705"/>
      <c r="O333" s="705"/>
      <c r="P333" s="708"/>
    </row>
    <row r="334" spans="1:16" x14ac:dyDescent="0.25">
      <c r="A334" t="s">
        <v>180</v>
      </c>
      <c r="B334" s="11" t="s">
        <v>552</v>
      </c>
      <c r="C334" s="12"/>
      <c r="D334" s="104">
        <v>610000004302</v>
      </c>
      <c r="E334" s="104">
        <v>346014</v>
      </c>
      <c r="F334" s="104">
        <f>VLOOKUP(E334,'[1]Task list &amp; Maintenace plan'!$B:$G,6,FALSE)</f>
        <v>100736</v>
      </c>
      <c r="G334" s="105" t="s">
        <v>554</v>
      </c>
      <c r="H334" s="106" t="s">
        <v>556</v>
      </c>
      <c r="I334" s="106" t="s">
        <v>565</v>
      </c>
      <c r="J334" s="105">
        <v>30</v>
      </c>
      <c r="K334" s="105">
        <v>1</v>
      </c>
      <c r="L334" s="105"/>
      <c r="M334" s="705"/>
      <c r="N334" s="705"/>
      <c r="O334" s="705"/>
      <c r="P334" s="708"/>
    </row>
    <row r="335" spans="1:16" x14ac:dyDescent="0.25">
      <c r="A335" t="s">
        <v>180</v>
      </c>
      <c r="B335" s="11" t="s">
        <v>552</v>
      </c>
      <c r="C335" s="12"/>
      <c r="D335" s="104">
        <v>610000004302</v>
      </c>
      <c r="E335" s="104">
        <v>346014</v>
      </c>
      <c r="F335" s="104">
        <f>VLOOKUP(E335,'[1]Task list &amp; Maintenace plan'!$B:$G,6,FALSE)</f>
        <v>100736</v>
      </c>
      <c r="G335" s="105" t="s">
        <v>554</v>
      </c>
      <c r="H335" s="106" t="s">
        <v>558</v>
      </c>
      <c r="I335" s="106" t="s">
        <v>566</v>
      </c>
      <c r="J335" s="105">
        <v>30</v>
      </c>
      <c r="K335" s="105">
        <v>1</v>
      </c>
      <c r="L335" s="105"/>
      <c r="M335" s="705"/>
      <c r="N335" s="705"/>
      <c r="O335" s="705"/>
      <c r="P335" s="708"/>
    </row>
    <row r="336" spans="1:16" x14ac:dyDescent="0.25">
      <c r="A336" t="s">
        <v>180</v>
      </c>
      <c r="B336" s="11" t="s">
        <v>552</v>
      </c>
      <c r="C336" s="12"/>
      <c r="D336" s="104">
        <v>610000004302</v>
      </c>
      <c r="E336" s="104">
        <v>346014</v>
      </c>
      <c r="F336" s="104">
        <f>VLOOKUP(E336,'[1]Task list &amp; Maintenace plan'!$B:$G,6,FALSE)</f>
        <v>100736</v>
      </c>
      <c r="G336" s="105" t="s">
        <v>554</v>
      </c>
      <c r="H336" s="106" t="s">
        <v>560</v>
      </c>
      <c r="I336" s="106" t="s">
        <v>567</v>
      </c>
      <c r="J336" s="105">
        <v>30</v>
      </c>
      <c r="K336" s="105">
        <v>1</v>
      </c>
      <c r="L336" s="105"/>
      <c r="M336" s="705"/>
      <c r="N336" s="705"/>
      <c r="O336" s="705"/>
      <c r="P336" s="708"/>
    </row>
    <row r="337" spans="1:16" x14ac:dyDescent="0.25">
      <c r="A337" t="s">
        <v>180</v>
      </c>
      <c r="B337" s="11" t="s">
        <v>552</v>
      </c>
      <c r="C337" s="12"/>
      <c r="D337" s="103">
        <v>610000004302</v>
      </c>
      <c r="E337" s="103">
        <v>346014</v>
      </c>
      <c r="F337" s="103">
        <f>VLOOKUP(E337,'[1]Task list &amp; Maintenace plan'!$B:$G,6,FALSE)</f>
        <v>100736</v>
      </c>
      <c r="G337" s="85" t="s">
        <v>554</v>
      </c>
      <c r="H337" s="84" t="s">
        <v>562</v>
      </c>
      <c r="I337" s="84" t="s">
        <v>568</v>
      </c>
      <c r="J337" s="85">
        <v>30</v>
      </c>
      <c r="K337" s="85">
        <v>1</v>
      </c>
      <c r="L337" s="85"/>
      <c r="M337" s="706"/>
      <c r="N337" s="706"/>
      <c r="O337" s="706"/>
      <c r="P337" s="709"/>
    </row>
    <row r="338" spans="1:16" x14ac:dyDescent="0.25">
      <c r="A338" t="s">
        <v>180</v>
      </c>
      <c r="B338" s="11" t="s">
        <v>552</v>
      </c>
      <c r="C338" s="12"/>
      <c r="D338" s="140">
        <v>610000004303</v>
      </c>
      <c r="E338" s="140">
        <v>346015</v>
      </c>
      <c r="F338" s="140">
        <f>VLOOKUP(E338,'[1]Task list &amp; Maintenace plan'!$B:$G,6,FALSE)</f>
        <v>100737</v>
      </c>
      <c r="G338" s="141" t="s">
        <v>569</v>
      </c>
      <c r="H338" s="142" t="s">
        <v>553</v>
      </c>
      <c r="I338" s="142" t="s">
        <v>570</v>
      </c>
      <c r="J338" s="141">
        <v>60</v>
      </c>
      <c r="K338" s="141">
        <v>1</v>
      </c>
      <c r="L338" s="141"/>
      <c r="M338" s="710">
        <v>50</v>
      </c>
      <c r="N338" s="710">
        <v>1</v>
      </c>
      <c r="O338" s="710">
        <f>N338*M338</f>
        <v>50</v>
      </c>
      <c r="P338" s="712" t="s">
        <v>34</v>
      </c>
    </row>
    <row r="339" spans="1:16" x14ac:dyDescent="0.25">
      <c r="A339" t="s">
        <v>180</v>
      </c>
      <c r="B339" s="11" t="s">
        <v>552</v>
      </c>
      <c r="C339" s="12"/>
      <c r="D339" s="104">
        <v>610000004303</v>
      </c>
      <c r="E339" s="104">
        <v>346015</v>
      </c>
      <c r="F339" s="104">
        <f>VLOOKUP(E339,'[1]Task list &amp; Maintenace plan'!$B:$G,6,FALSE)</f>
        <v>100737</v>
      </c>
      <c r="G339" s="105" t="s">
        <v>569</v>
      </c>
      <c r="H339" s="106" t="s">
        <v>556</v>
      </c>
      <c r="I339" s="106" t="s">
        <v>571</v>
      </c>
      <c r="J339" s="105">
        <v>60</v>
      </c>
      <c r="K339" s="105">
        <v>1</v>
      </c>
      <c r="L339" s="105"/>
      <c r="M339" s="705"/>
      <c r="N339" s="705"/>
      <c r="O339" s="705"/>
      <c r="P339" s="708"/>
    </row>
    <row r="340" spans="1:16" x14ac:dyDescent="0.25">
      <c r="A340" t="s">
        <v>180</v>
      </c>
      <c r="B340" s="11" t="s">
        <v>552</v>
      </c>
      <c r="C340" s="12"/>
      <c r="D340" s="104">
        <v>610000004303</v>
      </c>
      <c r="E340" s="104">
        <v>346015</v>
      </c>
      <c r="F340" s="104">
        <f>VLOOKUP(E340,'[1]Task list &amp; Maintenace plan'!$B:$G,6,FALSE)</f>
        <v>100737</v>
      </c>
      <c r="G340" s="105" t="s">
        <v>569</v>
      </c>
      <c r="H340" s="106" t="s">
        <v>558</v>
      </c>
      <c r="I340" s="106" t="s">
        <v>572</v>
      </c>
      <c r="J340" s="105">
        <v>60</v>
      </c>
      <c r="K340" s="105">
        <v>1</v>
      </c>
      <c r="L340" s="105"/>
      <c r="M340" s="705"/>
      <c r="N340" s="705"/>
      <c r="O340" s="705"/>
      <c r="P340" s="708"/>
    </row>
    <row r="341" spans="1:16" x14ac:dyDescent="0.25">
      <c r="A341" t="s">
        <v>180</v>
      </c>
      <c r="B341" s="11" t="s">
        <v>552</v>
      </c>
      <c r="C341" s="12"/>
      <c r="D341" s="104">
        <v>610000004303</v>
      </c>
      <c r="E341" s="104">
        <v>346015</v>
      </c>
      <c r="F341" s="104">
        <f>VLOOKUP(E341,'[1]Task list &amp; Maintenace plan'!$B:$G,6,FALSE)</f>
        <v>100737</v>
      </c>
      <c r="G341" s="105" t="s">
        <v>569</v>
      </c>
      <c r="H341" s="106" t="s">
        <v>560</v>
      </c>
      <c r="I341" s="106" t="s">
        <v>573</v>
      </c>
      <c r="J341" s="105">
        <v>60</v>
      </c>
      <c r="K341" s="105">
        <v>1</v>
      </c>
      <c r="L341" s="105"/>
      <c r="M341" s="705"/>
      <c r="N341" s="705"/>
      <c r="O341" s="705"/>
      <c r="P341" s="708"/>
    </row>
    <row r="342" spans="1:16" x14ac:dyDescent="0.25">
      <c r="A342" t="s">
        <v>180</v>
      </c>
      <c r="B342" s="11" t="s">
        <v>552</v>
      </c>
      <c r="C342" s="12"/>
      <c r="D342" s="103">
        <v>610000004303</v>
      </c>
      <c r="E342" s="103">
        <v>346015</v>
      </c>
      <c r="F342" s="103">
        <f>VLOOKUP(E342,'[1]Task list &amp; Maintenace plan'!$B:$G,6,FALSE)</f>
        <v>100737</v>
      </c>
      <c r="G342" s="85" t="s">
        <v>569</v>
      </c>
      <c r="H342" s="84" t="s">
        <v>562</v>
      </c>
      <c r="I342" s="84" t="s">
        <v>574</v>
      </c>
      <c r="J342" s="85">
        <v>60</v>
      </c>
      <c r="K342" s="85">
        <v>1</v>
      </c>
      <c r="L342" s="85"/>
      <c r="M342" s="706"/>
      <c r="N342" s="706"/>
      <c r="O342" s="706"/>
      <c r="P342" s="709"/>
    </row>
    <row r="343" spans="1:16" x14ac:dyDescent="0.25">
      <c r="A343" t="s">
        <v>180</v>
      </c>
      <c r="B343" s="11" t="s">
        <v>552</v>
      </c>
      <c r="C343" s="12"/>
      <c r="D343" s="117">
        <v>343916</v>
      </c>
      <c r="E343" s="117">
        <v>346016</v>
      </c>
      <c r="F343" s="117">
        <f>VLOOKUP(E343,'[1]Task list &amp; Maintenace plan'!$B:$G,6,FALSE)</f>
        <v>778</v>
      </c>
      <c r="G343" s="118" t="s">
        <v>575</v>
      </c>
      <c r="H343" s="119" t="s">
        <v>576</v>
      </c>
      <c r="I343" s="119" t="s">
        <v>577</v>
      </c>
      <c r="J343" s="118">
        <v>180</v>
      </c>
      <c r="K343" s="118">
        <v>1</v>
      </c>
      <c r="L343" s="118"/>
      <c r="M343" s="710">
        <v>240</v>
      </c>
      <c r="N343" s="710">
        <v>1</v>
      </c>
      <c r="O343" s="710">
        <f>N343*M343</f>
        <v>240</v>
      </c>
      <c r="P343" s="712" t="s">
        <v>34</v>
      </c>
    </row>
    <row r="344" spans="1:16" ht="15.75" thickBot="1" x14ac:dyDescent="0.3">
      <c r="A344" t="s">
        <v>180</v>
      </c>
      <c r="B344" s="11" t="s">
        <v>552</v>
      </c>
      <c r="C344" s="12"/>
      <c r="D344" s="147">
        <v>343916</v>
      </c>
      <c r="E344" s="147">
        <v>346016</v>
      </c>
      <c r="F344" s="147">
        <f>VLOOKUP(E344,'[1]Task list &amp; Maintenace plan'!$B:$G,6,FALSE)</f>
        <v>778</v>
      </c>
      <c r="G344" s="148" t="s">
        <v>575</v>
      </c>
      <c r="H344" s="149" t="s">
        <v>560</v>
      </c>
      <c r="I344" s="149" t="s">
        <v>578</v>
      </c>
      <c r="J344" s="148">
        <v>180</v>
      </c>
      <c r="K344" s="148">
        <v>1</v>
      </c>
      <c r="L344" s="148"/>
      <c r="M344" s="714"/>
      <c r="N344" s="714"/>
      <c r="O344" s="714"/>
      <c r="P344" s="715"/>
    </row>
    <row r="345" spans="1:16" ht="15.75" thickBot="1" x14ac:dyDescent="0.3">
      <c r="A345" t="s">
        <v>180</v>
      </c>
      <c r="B345" s="153" t="s">
        <v>579</v>
      </c>
      <c r="C345" s="154"/>
      <c r="D345" s="100">
        <v>610000004305</v>
      </c>
      <c r="E345" s="100">
        <v>345968</v>
      </c>
      <c r="F345" s="100">
        <f>VLOOKUP(E345,'[1]Task list &amp; Maintenace plan'!$B:$G,6,FALSE)</f>
        <v>100739</v>
      </c>
      <c r="G345" s="101" t="s">
        <v>580</v>
      </c>
      <c r="H345" s="102" t="s">
        <v>581</v>
      </c>
      <c r="I345" s="102" t="s">
        <v>582</v>
      </c>
      <c r="J345" s="101">
        <v>15</v>
      </c>
      <c r="K345" s="101"/>
      <c r="L345" s="101">
        <v>1</v>
      </c>
      <c r="M345" s="101">
        <v>2</v>
      </c>
      <c r="N345" s="101">
        <v>1</v>
      </c>
      <c r="O345" s="101">
        <f>N345*M345</f>
        <v>2</v>
      </c>
      <c r="P345" s="171" t="s">
        <v>20</v>
      </c>
    </row>
    <row r="346" spans="1:16" ht="15.75" thickBot="1" x14ac:dyDescent="0.3">
      <c r="A346" t="s">
        <v>180</v>
      </c>
      <c r="B346" s="153" t="s">
        <v>579</v>
      </c>
      <c r="C346" s="12"/>
      <c r="D346" s="117">
        <v>610000004306</v>
      </c>
      <c r="E346" s="117">
        <v>346017</v>
      </c>
      <c r="F346" s="117">
        <f>VLOOKUP(E346,'[1]Task list &amp; Maintenace plan'!$B:$G,6,FALSE)</f>
        <v>100740</v>
      </c>
      <c r="G346" s="118" t="s">
        <v>584</v>
      </c>
      <c r="H346" s="119" t="s">
        <v>518</v>
      </c>
      <c r="I346" s="119" t="s">
        <v>523</v>
      </c>
      <c r="J346" s="118">
        <v>30</v>
      </c>
      <c r="K346" s="118">
        <v>1</v>
      </c>
      <c r="L346" s="118"/>
      <c r="M346" s="710">
        <v>50</v>
      </c>
      <c r="N346" s="710">
        <v>1</v>
      </c>
      <c r="O346" s="710">
        <f>N346*M346</f>
        <v>50</v>
      </c>
      <c r="P346" s="712" t="s">
        <v>20</v>
      </c>
    </row>
    <row r="347" spans="1:16" ht="15.75" thickBot="1" x14ac:dyDescent="0.3">
      <c r="A347" t="s">
        <v>180</v>
      </c>
      <c r="B347" s="153" t="s">
        <v>579</v>
      </c>
      <c r="C347" s="12"/>
      <c r="D347" s="104">
        <v>610000004306</v>
      </c>
      <c r="E347" s="104">
        <v>346017</v>
      </c>
      <c r="F347" s="104">
        <f>VLOOKUP(E347,'[1]Task list &amp; Maintenace plan'!$B:$G,6,FALSE)</f>
        <v>100740</v>
      </c>
      <c r="G347" s="105" t="s">
        <v>584</v>
      </c>
      <c r="H347" s="106" t="s">
        <v>583</v>
      </c>
      <c r="I347" s="106" t="s">
        <v>585</v>
      </c>
      <c r="J347" s="105">
        <v>30</v>
      </c>
      <c r="K347" s="105">
        <v>1</v>
      </c>
      <c r="L347" s="105"/>
      <c r="M347" s="705"/>
      <c r="N347" s="705"/>
      <c r="O347" s="705"/>
      <c r="P347" s="708"/>
    </row>
    <row r="348" spans="1:16" ht="15.75" thickBot="1" x14ac:dyDescent="0.3">
      <c r="A348" t="s">
        <v>180</v>
      </c>
      <c r="B348" s="153" t="s">
        <v>579</v>
      </c>
      <c r="C348" s="12"/>
      <c r="D348" s="104">
        <v>610000004306</v>
      </c>
      <c r="E348" s="104">
        <v>346017</v>
      </c>
      <c r="F348" s="104">
        <f>VLOOKUP(E348,'[1]Task list &amp; Maintenace plan'!$B:$G,6,FALSE)</f>
        <v>100740</v>
      </c>
      <c r="G348" s="105" t="s">
        <v>584</v>
      </c>
      <c r="H348" s="106" t="s">
        <v>581</v>
      </c>
      <c r="I348" s="106" t="s">
        <v>587</v>
      </c>
      <c r="J348" s="105">
        <v>30</v>
      </c>
      <c r="K348" s="105">
        <v>1</v>
      </c>
      <c r="L348" s="105"/>
      <c r="M348" s="705"/>
      <c r="N348" s="705"/>
      <c r="O348" s="705"/>
      <c r="P348" s="708"/>
    </row>
    <row r="349" spans="1:16" ht="15.75" thickBot="1" x14ac:dyDescent="0.3">
      <c r="A349" t="s">
        <v>180</v>
      </c>
      <c r="B349" s="153" t="s">
        <v>579</v>
      </c>
      <c r="C349" s="12"/>
      <c r="D349" s="104">
        <v>610000004306</v>
      </c>
      <c r="E349" s="104">
        <v>346017</v>
      </c>
      <c r="F349" s="104">
        <f>VLOOKUP(E349,'[1]Task list &amp; Maintenace plan'!$B:$G,6,FALSE)</f>
        <v>100740</v>
      </c>
      <c r="G349" s="105" t="s">
        <v>584</v>
      </c>
      <c r="H349" s="106" t="s">
        <v>586</v>
      </c>
      <c r="I349" s="106" t="s">
        <v>589</v>
      </c>
      <c r="J349" s="105">
        <v>30</v>
      </c>
      <c r="K349" s="105">
        <v>1</v>
      </c>
      <c r="L349" s="105"/>
      <c r="M349" s="705"/>
      <c r="N349" s="705"/>
      <c r="O349" s="705"/>
      <c r="P349" s="708"/>
    </row>
    <row r="350" spans="1:16" ht="15.75" thickBot="1" x14ac:dyDescent="0.3">
      <c r="A350" t="s">
        <v>180</v>
      </c>
      <c r="B350" s="153" t="s">
        <v>579</v>
      </c>
      <c r="C350" s="12"/>
      <c r="D350" s="104">
        <v>610000004306</v>
      </c>
      <c r="E350" s="104">
        <v>346017</v>
      </c>
      <c r="F350" s="104">
        <f>VLOOKUP(E350,'[1]Task list &amp; Maintenace plan'!$B:$G,6,FALSE)</f>
        <v>100740</v>
      </c>
      <c r="G350" s="105" t="s">
        <v>584</v>
      </c>
      <c r="H350" s="106" t="s">
        <v>588</v>
      </c>
      <c r="I350" s="106" t="s">
        <v>591</v>
      </c>
      <c r="J350" s="105">
        <v>30</v>
      </c>
      <c r="K350" s="105">
        <v>1</v>
      </c>
      <c r="L350" s="105"/>
      <c r="M350" s="705"/>
      <c r="N350" s="705"/>
      <c r="O350" s="705"/>
      <c r="P350" s="708"/>
    </row>
    <row r="351" spans="1:16" ht="15.75" thickBot="1" x14ac:dyDescent="0.3">
      <c r="A351" t="s">
        <v>180</v>
      </c>
      <c r="B351" s="153" t="s">
        <v>579</v>
      </c>
      <c r="C351" s="12"/>
      <c r="D351" s="104">
        <v>610000004306</v>
      </c>
      <c r="E351" s="104">
        <v>346017</v>
      </c>
      <c r="F351" s="104">
        <f>VLOOKUP(E351,'[1]Task list &amp; Maintenace plan'!$B:$G,6,FALSE)</f>
        <v>100740</v>
      </c>
      <c r="G351" s="105" t="s">
        <v>584</v>
      </c>
      <c r="H351" s="106" t="s">
        <v>590</v>
      </c>
      <c r="I351" s="106" t="s">
        <v>593</v>
      </c>
      <c r="J351" s="105">
        <v>30</v>
      </c>
      <c r="K351" s="105">
        <v>1</v>
      </c>
      <c r="L351" s="105"/>
      <c r="M351" s="705"/>
      <c r="N351" s="705"/>
      <c r="O351" s="705"/>
      <c r="P351" s="708"/>
    </row>
    <row r="352" spans="1:16" ht="15.75" thickBot="1" x14ac:dyDescent="0.3">
      <c r="A352" t="s">
        <v>180</v>
      </c>
      <c r="B352" s="153" t="s">
        <v>579</v>
      </c>
      <c r="C352" s="12"/>
      <c r="D352" s="104">
        <v>610000004306</v>
      </c>
      <c r="E352" s="104">
        <v>346017</v>
      </c>
      <c r="F352" s="104">
        <f>VLOOKUP(E352,'[1]Task list &amp; Maintenace plan'!$B:$G,6,FALSE)</f>
        <v>100740</v>
      </c>
      <c r="G352" s="105" t="s">
        <v>584</v>
      </c>
      <c r="H352" s="106" t="s">
        <v>592</v>
      </c>
      <c r="I352" s="106" t="s">
        <v>595</v>
      </c>
      <c r="J352" s="105">
        <v>30</v>
      </c>
      <c r="K352" s="105">
        <v>1</v>
      </c>
      <c r="L352" s="105"/>
      <c r="M352" s="705"/>
      <c r="N352" s="705"/>
      <c r="O352" s="705"/>
      <c r="P352" s="708"/>
    </row>
    <row r="353" spans="1:16" ht="15.75" thickBot="1" x14ac:dyDescent="0.3">
      <c r="A353" t="s">
        <v>180</v>
      </c>
      <c r="B353" s="153" t="s">
        <v>579</v>
      </c>
      <c r="C353" s="177"/>
      <c r="D353" s="123">
        <v>610000004306</v>
      </c>
      <c r="E353" s="123">
        <v>346017</v>
      </c>
      <c r="F353" s="123">
        <f>VLOOKUP(E353,'[1]Task list &amp; Maintenace plan'!$B:$G,6,FALSE)</f>
        <v>100740</v>
      </c>
      <c r="G353" s="124" t="s">
        <v>584</v>
      </c>
      <c r="H353" s="107" t="s">
        <v>594</v>
      </c>
      <c r="I353" s="107" t="s">
        <v>596</v>
      </c>
      <c r="J353" s="124">
        <v>30</v>
      </c>
      <c r="K353" s="124">
        <v>1</v>
      </c>
      <c r="L353" s="124"/>
      <c r="M353" s="705"/>
      <c r="N353" s="705"/>
      <c r="O353" s="705"/>
      <c r="P353" s="708"/>
    </row>
    <row r="354" spans="1:16" ht="15.75" thickBot="1" x14ac:dyDescent="0.3">
      <c r="A354" t="s">
        <v>180</v>
      </c>
      <c r="B354" s="153" t="s">
        <v>579</v>
      </c>
      <c r="C354" s="12"/>
      <c r="D354" s="140">
        <v>610000004306</v>
      </c>
      <c r="E354" s="140">
        <v>346017</v>
      </c>
      <c r="F354" s="140">
        <f>VLOOKUP(E354,'[1]Task list &amp; Maintenace plan'!$B:$G,6,FALSE)</f>
        <v>100740</v>
      </c>
      <c r="G354" s="141" t="s">
        <v>584</v>
      </c>
      <c r="H354" s="142" t="s">
        <v>518</v>
      </c>
      <c r="I354" s="142" t="s">
        <v>534</v>
      </c>
      <c r="J354" s="141">
        <v>30</v>
      </c>
      <c r="K354" s="141">
        <v>1</v>
      </c>
      <c r="L354" s="141"/>
      <c r="M354" s="705"/>
      <c r="N354" s="705"/>
      <c r="O354" s="705"/>
      <c r="P354" s="708"/>
    </row>
    <row r="355" spans="1:16" ht="15.75" thickBot="1" x14ac:dyDescent="0.3">
      <c r="A355" t="s">
        <v>180</v>
      </c>
      <c r="B355" s="153" t="s">
        <v>579</v>
      </c>
      <c r="C355" s="12"/>
      <c r="D355" s="104">
        <v>610000004306</v>
      </c>
      <c r="E355" s="104">
        <v>346017</v>
      </c>
      <c r="F355" s="104">
        <f>VLOOKUP(E355,'[1]Task list &amp; Maintenace plan'!$B:$G,6,FALSE)</f>
        <v>100740</v>
      </c>
      <c r="G355" s="105" t="s">
        <v>584</v>
      </c>
      <c r="H355" s="106" t="s">
        <v>583</v>
      </c>
      <c r="I355" s="106" t="s">
        <v>597</v>
      </c>
      <c r="J355" s="105">
        <v>30</v>
      </c>
      <c r="K355" s="105">
        <v>1</v>
      </c>
      <c r="L355" s="105"/>
      <c r="M355" s="705"/>
      <c r="N355" s="705"/>
      <c r="O355" s="705"/>
      <c r="P355" s="708"/>
    </row>
    <row r="356" spans="1:16" ht="15.75" thickBot="1" x14ac:dyDescent="0.3">
      <c r="A356" t="s">
        <v>180</v>
      </c>
      <c r="B356" s="153" t="s">
        <v>579</v>
      </c>
      <c r="C356" s="12"/>
      <c r="D356" s="104">
        <v>610000004306</v>
      </c>
      <c r="E356" s="104">
        <v>346017</v>
      </c>
      <c r="F356" s="104">
        <f>VLOOKUP(E356,'[1]Task list &amp; Maintenace plan'!$B:$G,6,FALSE)</f>
        <v>100740</v>
      </c>
      <c r="G356" s="105" t="s">
        <v>584</v>
      </c>
      <c r="H356" s="106" t="s">
        <v>581</v>
      </c>
      <c r="I356" s="106" t="s">
        <v>598</v>
      </c>
      <c r="J356" s="105">
        <v>30</v>
      </c>
      <c r="K356" s="105">
        <v>1</v>
      </c>
      <c r="L356" s="105"/>
      <c r="M356" s="705"/>
      <c r="N356" s="705"/>
      <c r="O356" s="705"/>
      <c r="P356" s="708"/>
    </row>
    <row r="357" spans="1:16" ht="15.75" thickBot="1" x14ac:dyDescent="0.3">
      <c r="A357" t="s">
        <v>180</v>
      </c>
      <c r="B357" s="153" t="s">
        <v>579</v>
      </c>
      <c r="C357" s="12"/>
      <c r="D357" s="104">
        <v>610000004306</v>
      </c>
      <c r="E357" s="104">
        <v>346017</v>
      </c>
      <c r="F357" s="104">
        <f>VLOOKUP(E357,'[1]Task list &amp; Maintenace plan'!$B:$G,6,FALSE)</f>
        <v>100740</v>
      </c>
      <c r="G357" s="105" t="s">
        <v>584</v>
      </c>
      <c r="H357" s="106" t="s">
        <v>586</v>
      </c>
      <c r="I357" s="106" t="s">
        <v>599</v>
      </c>
      <c r="J357" s="105">
        <v>30</v>
      </c>
      <c r="K357" s="105">
        <v>1</v>
      </c>
      <c r="L357" s="105"/>
      <c r="M357" s="705"/>
      <c r="N357" s="705"/>
      <c r="O357" s="705"/>
      <c r="P357" s="708"/>
    </row>
    <row r="358" spans="1:16" ht="15.75" thickBot="1" x14ac:dyDescent="0.3">
      <c r="A358" t="s">
        <v>180</v>
      </c>
      <c r="B358" s="153" t="s">
        <v>579</v>
      </c>
      <c r="C358" s="12"/>
      <c r="D358" s="104">
        <v>610000004306</v>
      </c>
      <c r="E358" s="104">
        <v>346017</v>
      </c>
      <c r="F358" s="104">
        <f>VLOOKUP(E358,'[1]Task list &amp; Maintenace plan'!$B:$G,6,FALSE)</f>
        <v>100740</v>
      </c>
      <c r="G358" s="105" t="s">
        <v>584</v>
      </c>
      <c r="H358" s="106" t="s">
        <v>588</v>
      </c>
      <c r="I358" s="106" t="s">
        <v>600</v>
      </c>
      <c r="J358" s="105">
        <v>30</v>
      </c>
      <c r="K358" s="105">
        <v>1</v>
      </c>
      <c r="L358" s="105"/>
      <c r="M358" s="705"/>
      <c r="N358" s="705"/>
      <c r="O358" s="705"/>
      <c r="P358" s="708"/>
    </row>
    <row r="359" spans="1:16" ht="15.75" thickBot="1" x14ac:dyDescent="0.3">
      <c r="A359" t="s">
        <v>180</v>
      </c>
      <c r="B359" s="153" t="s">
        <v>579</v>
      </c>
      <c r="C359" s="12"/>
      <c r="D359" s="104">
        <v>610000004306</v>
      </c>
      <c r="E359" s="104">
        <v>346017</v>
      </c>
      <c r="F359" s="104">
        <f>VLOOKUP(E359,'[1]Task list &amp; Maintenace plan'!$B:$G,6,FALSE)</f>
        <v>100740</v>
      </c>
      <c r="G359" s="105" t="s">
        <v>584</v>
      </c>
      <c r="H359" s="106" t="s">
        <v>590</v>
      </c>
      <c r="I359" s="106" t="s">
        <v>601</v>
      </c>
      <c r="J359" s="105">
        <v>30</v>
      </c>
      <c r="K359" s="105">
        <v>1</v>
      </c>
      <c r="L359" s="105"/>
      <c r="M359" s="705"/>
      <c r="N359" s="705"/>
      <c r="O359" s="705"/>
      <c r="P359" s="708"/>
    </row>
    <row r="360" spans="1:16" ht="15.75" thickBot="1" x14ac:dyDescent="0.3">
      <c r="A360" t="s">
        <v>180</v>
      </c>
      <c r="B360" s="153" t="s">
        <v>579</v>
      </c>
      <c r="C360" s="12"/>
      <c r="D360" s="104">
        <v>610000004306</v>
      </c>
      <c r="E360" s="104">
        <v>346017</v>
      </c>
      <c r="F360" s="104">
        <f>VLOOKUP(E360,'[1]Task list &amp; Maintenace plan'!$B:$G,6,FALSE)</f>
        <v>100740</v>
      </c>
      <c r="G360" s="105" t="s">
        <v>584</v>
      </c>
      <c r="H360" s="106" t="s">
        <v>592</v>
      </c>
      <c r="I360" s="106" t="s">
        <v>602</v>
      </c>
      <c r="J360" s="105">
        <v>30</v>
      </c>
      <c r="K360" s="105">
        <v>1</v>
      </c>
      <c r="L360" s="105"/>
      <c r="M360" s="705"/>
      <c r="N360" s="705"/>
      <c r="O360" s="705"/>
      <c r="P360" s="708"/>
    </row>
    <row r="361" spans="1:16" ht="15.75" thickBot="1" x14ac:dyDescent="0.3">
      <c r="A361" t="s">
        <v>180</v>
      </c>
      <c r="B361" s="153" t="s">
        <v>579</v>
      </c>
      <c r="C361" s="12"/>
      <c r="D361" s="103">
        <v>610000004306</v>
      </c>
      <c r="E361" s="103">
        <v>346017</v>
      </c>
      <c r="F361" s="103">
        <f>VLOOKUP(E361,'[1]Task list &amp; Maintenace plan'!$B:$G,6,FALSE)</f>
        <v>100740</v>
      </c>
      <c r="G361" s="85" t="s">
        <v>584</v>
      </c>
      <c r="H361" s="84" t="s">
        <v>594</v>
      </c>
      <c r="I361" s="84" t="s">
        <v>603</v>
      </c>
      <c r="J361" s="85">
        <v>30</v>
      </c>
      <c r="K361" s="85">
        <v>1</v>
      </c>
      <c r="L361" s="85"/>
      <c r="M361" s="706"/>
      <c r="N361" s="706"/>
      <c r="O361" s="706"/>
      <c r="P361" s="709"/>
    </row>
    <row r="362" spans="1:16" ht="15.75" thickBot="1" x14ac:dyDescent="0.3">
      <c r="A362" t="s">
        <v>180</v>
      </c>
      <c r="B362" s="153" t="s">
        <v>579</v>
      </c>
      <c r="C362" s="12"/>
      <c r="D362" s="100">
        <v>610000004307</v>
      </c>
      <c r="E362" s="100">
        <v>346018</v>
      </c>
      <c r="F362" s="100">
        <f>VLOOKUP(E362,'[1]Task list &amp; Maintenace plan'!$B:$G,6,FALSE)</f>
        <v>100741</v>
      </c>
      <c r="G362" s="101" t="s">
        <v>604</v>
      </c>
      <c r="H362" s="102" t="s">
        <v>518</v>
      </c>
      <c r="I362" s="102" t="s">
        <v>545</v>
      </c>
      <c r="J362" s="101">
        <v>60</v>
      </c>
      <c r="K362" s="101">
        <v>1</v>
      </c>
      <c r="L362" s="101"/>
      <c r="M362" s="710">
        <v>40</v>
      </c>
      <c r="N362" s="710">
        <v>1</v>
      </c>
      <c r="O362" s="710">
        <f>N362*M362</f>
        <v>40</v>
      </c>
      <c r="P362" s="712" t="s">
        <v>34</v>
      </c>
    </row>
    <row r="363" spans="1:16" ht="15.75" thickBot="1" x14ac:dyDescent="0.3">
      <c r="A363" t="s">
        <v>180</v>
      </c>
      <c r="B363" s="153" t="s">
        <v>579</v>
      </c>
      <c r="C363" s="12"/>
      <c r="D363" s="104">
        <v>610000004307</v>
      </c>
      <c r="E363" s="104">
        <v>346018</v>
      </c>
      <c r="F363" s="104">
        <f>VLOOKUP(E363,'[1]Task list &amp; Maintenace plan'!$B:$G,6,FALSE)</f>
        <v>100741</v>
      </c>
      <c r="G363" s="105" t="s">
        <v>604</v>
      </c>
      <c r="H363" s="106" t="s">
        <v>583</v>
      </c>
      <c r="I363" s="106" t="s">
        <v>605</v>
      </c>
      <c r="J363" s="105">
        <v>60</v>
      </c>
      <c r="K363" s="105">
        <v>1</v>
      </c>
      <c r="L363" s="105"/>
      <c r="M363" s="705"/>
      <c r="N363" s="705"/>
      <c r="O363" s="705"/>
      <c r="P363" s="708"/>
    </row>
    <row r="364" spans="1:16" ht="15.75" thickBot="1" x14ac:dyDescent="0.3">
      <c r="A364" t="s">
        <v>180</v>
      </c>
      <c r="B364" s="153" t="s">
        <v>579</v>
      </c>
      <c r="C364" s="12"/>
      <c r="D364" s="104">
        <v>610000004307</v>
      </c>
      <c r="E364" s="104">
        <v>346018</v>
      </c>
      <c r="F364" s="104">
        <f>VLOOKUP(E364,'[1]Task list &amp; Maintenace plan'!$B:$G,6,FALSE)</f>
        <v>100741</v>
      </c>
      <c r="G364" s="105" t="s">
        <v>604</v>
      </c>
      <c r="H364" s="106" t="s">
        <v>581</v>
      </c>
      <c r="I364" s="106" t="s">
        <v>606</v>
      </c>
      <c r="J364" s="105">
        <v>60</v>
      </c>
      <c r="K364" s="105">
        <v>1</v>
      </c>
      <c r="L364" s="105"/>
      <c r="M364" s="705"/>
      <c r="N364" s="705"/>
      <c r="O364" s="705"/>
      <c r="P364" s="708"/>
    </row>
    <row r="365" spans="1:16" ht="15.75" thickBot="1" x14ac:dyDescent="0.3">
      <c r="A365" t="s">
        <v>180</v>
      </c>
      <c r="B365" s="153" t="s">
        <v>579</v>
      </c>
      <c r="C365" s="12"/>
      <c r="D365" s="104">
        <v>610000004307</v>
      </c>
      <c r="E365" s="104">
        <v>346018</v>
      </c>
      <c r="F365" s="104">
        <f>VLOOKUP(E365,'[1]Task list &amp; Maintenace plan'!$B:$G,6,FALSE)</f>
        <v>100741</v>
      </c>
      <c r="G365" s="105" t="s">
        <v>604</v>
      </c>
      <c r="H365" s="106" t="s">
        <v>586</v>
      </c>
      <c r="I365" s="106" t="s">
        <v>607</v>
      </c>
      <c r="J365" s="105">
        <v>60</v>
      </c>
      <c r="K365" s="105">
        <v>1</v>
      </c>
      <c r="L365" s="105"/>
      <c r="M365" s="705"/>
      <c r="N365" s="705"/>
      <c r="O365" s="705"/>
      <c r="P365" s="708"/>
    </row>
    <row r="366" spans="1:16" ht="15.75" thickBot="1" x14ac:dyDescent="0.3">
      <c r="A366" t="s">
        <v>180</v>
      </c>
      <c r="B366" s="153" t="s">
        <v>579</v>
      </c>
      <c r="C366" s="12"/>
      <c r="D366" s="104">
        <v>610000004307</v>
      </c>
      <c r="E366" s="104">
        <v>346018</v>
      </c>
      <c r="F366" s="104">
        <f>VLOOKUP(E366,'[1]Task list &amp; Maintenace plan'!$B:$G,6,FALSE)</f>
        <v>100741</v>
      </c>
      <c r="G366" s="105" t="s">
        <v>604</v>
      </c>
      <c r="H366" s="106" t="s">
        <v>588</v>
      </c>
      <c r="I366" s="106" t="s">
        <v>608</v>
      </c>
      <c r="J366" s="105">
        <v>60</v>
      </c>
      <c r="K366" s="105">
        <v>1</v>
      </c>
      <c r="L366" s="105"/>
      <c r="M366" s="705"/>
      <c r="N366" s="705"/>
      <c r="O366" s="705"/>
      <c r="P366" s="708"/>
    </row>
    <row r="367" spans="1:16" ht="15.75" thickBot="1" x14ac:dyDescent="0.3">
      <c r="A367" t="s">
        <v>180</v>
      </c>
      <c r="B367" s="153" t="s">
        <v>579</v>
      </c>
      <c r="C367" s="12"/>
      <c r="D367" s="104">
        <v>610000004307</v>
      </c>
      <c r="E367" s="104">
        <v>346018</v>
      </c>
      <c r="F367" s="104">
        <f>VLOOKUP(E367,'[1]Task list &amp; Maintenace plan'!$B:$G,6,FALSE)</f>
        <v>100741</v>
      </c>
      <c r="G367" s="105" t="s">
        <v>604</v>
      </c>
      <c r="H367" s="106" t="s">
        <v>590</v>
      </c>
      <c r="I367" s="106" t="s">
        <v>609</v>
      </c>
      <c r="J367" s="105">
        <v>60</v>
      </c>
      <c r="K367" s="105">
        <v>1</v>
      </c>
      <c r="L367" s="105"/>
      <c r="M367" s="705"/>
      <c r="N367" s="705"/>
      <c r="O367" s="705"/>
      <c r="P367" s="708"/>
    </row>
    <row r="368" spans="1:16" ht="15.75" thickBot="1" x14ac:dyDescent="0.3">
      <c r="A368" t="s">
        <v>180</v>
      </c>
      <c r="B368" s="153" t="s">
        <v>579</v>
      </c>
      <c r="C368" s="12"/>
      <c r="D368" s="104">
        <v>610000004307</v>
      </c>
      <c r="E368" s="104">
        <v>346018</v>
      </c>
      <c r="F368" s="104">
        <f>VLOOKUP(E368,'[1]Task list &amp; Maintenace plan'!$B:$G,6,FALSE)</f>
        <v>100741</v>
      </c>
      <c r="G368" s="105" t="s">
        <v>604</v>
      </c>
      <c r="H368" s="106" t="s">
        <v>592</v>
      </c>
      <c r="I368" s="106" t="s">
        <v>610</v>
      </c>
      <c r="J368" s="105">
        <v>60</v>
      </c>
      <c r="K368" s="105">
        <v>1</v>
      </c>
      <c r="L368" s="105"/>
      <c r="M368" s="705"/>
      <c r="N368" s="705"/>
      <c r="O368" s="705"/>
      <c r="P368" s="708"/>
    </row>
    <row r="369" spans="1:16" ht="15.75" thickBot="1" x14ac:dyDescent="0.3">
      <c r="A369" t="s">
        <v>180</v>
      </c>
      <c r="B369" s="153" t="s">
        <v>579</v>
      </c>
      <c r="C369" s="27"/>
      <c r="D369" s="147">
        <v>610000004307</v>
      </c>
      <c r="E369" s="147">
        <v>346018</v>
      </c>
      <c r="F369" s="147">
        <f>VLOOKUP(E369,'[1]Task list &amp; Maintenace plan'!$B:$G,6,FALSE)</f>
        <v>100741</v>
      </c>
      <c r="G369" s="148" t="s">
        <v>604</v>
      </c>
      <c r="H369" s="149" t="s">
        <v>594</v>
      </c>
      <c r="I369" s="149" t="s">
        <v>611</v>
      </c>
      <c r="J369" s="148">
        <v>60</v>
      </c>
      <c r="K369" s="148">
        <v>1</v>
      </c>
      <c r="L369" s="148"/>
      <c r="M369" s="714"/>
      <c r="N369" s="714"/>
      <c r="O369" s="714"/>
      <c r="P369" s="715"/>
    </row>
    <row r="370" spans="1:16" x14ac:dyDescent="0.25">
      <c r="A370" t="s">
        <v>180</v>
      </c>
      <c r="B370" s="11" t="s">
        <v>612</v>
      </c>
      <c r="C370" s="12"/>
      <c r="D370" s="100">
        <v>610000004309</v>
      </c>
      <c r="E370" s="100">
        <v>345969</v>
      </c>
      <c r="F370" s="100">
        <f>VLOOKUP(E370,'[1]Task list &amp; Maintenace plan'!$B:$G,6,FALSE)</f>
        <v>100743</v>
      </c>
      <c r="G370" s="101" t="s">
        <v>614</v>
      </c>
      <c r="H370" s="102" t="s">
        <v>613</v>
      </c>
      <c r="I370" s="102" t="s">
        <v>615</v>
      </c>
      <c r="J370" s="101">
        <v>15</v>
      </c>
      <c r="K370" s="101"/>
      <c r="L370" s="101">
        <v>1</v>
      </c>
      <c r="M370" s="724">
        <v>10</v>
      </c>
      <c r="N370" s="724">
        <v>1</v>
      </c>
      <c r="O370" s="724">
        <f>N370*M370</f>
        <v>10</v>
      </c>
      <c r="P370" s="725"/>
    </row>
    <row r="371" spans="1:16" x14ac:dyDescent="0.25">
      <c r="A371" t="s">
        <v>180</v>
      </c>
      <c r="B371" s="11" t="s">
        <v>612</v>
      </c>
      <c r="C371" s="12"/>
      <c r="D371" s="123">
        <v>610000004309</v>
      </c>
      <c r="E371" s="123">
        <v>345969</v>
      </c>
      <c r="F371" s="123">
        <f>VLOOKUP(E371,'[1]Task list &amp; Maintenace plan'!$B:$G,6,FALSE)</f>
        <v>100743</v>
      </c>
      <c r="G371" s="124" t="s">
        <v>614</v>
      </c>
      <c r="H371" s="107" t="s">
        <v>616</v>
      </c>
      <c r="I371" s="107" t="s">
        <v>617</v>
      </c>
      <c r="J371" s="124">
        <v>15</v>
      </c>
      <c r="K371" s="124"/>
      <c r="L371" s="124">
        <v>1</v>
      </c>
      <c r="M371" s="705"/>
      <c r="N371" s="705"/>
      <c r="O371" s="705"/>
      <c r="P371" s="708"/>
    </row>
    <row r="372" spans="1:16" x14ac:dyDescent="0.25">
      <c r="A372" t="s">
        <v>180</v>
      </c>
      <c r="B372" s="11" t="s">
        <v>612</v>
      </c>
      <c r="C372" s="12"/>
      <c r="D372" s="123">
        <v>610000004309</v>
      </c>
      <c r="E372" s="123">
        <v>345969</v>
      </c>
      <c r="F372" s="123">
        <f>VLOOKUP(E372,'[1]Task list &amp; Maintenace plan'!$B:$G,6,FALSE)</f>
        <v>100743</v>
      </c>
      <c r="G372" s="124" t="s">
        <v>614</v>
      </c>
      <c r="H372" s="107" t="s">
        <v>618</v>
      </c>
      <c r="I372" s="107" t="s">
        <v>619</v>
      </c>
      <c r="J372" s="124">
        <v>15</v>
      </c>
      <c r="K372" s="124"/>
      <c r="L372" s="124">
        <v>1</v>
      </c>
      <c r="M372" s="705"/>
      <c r="N372" s="705"/>
      <c r="O372" s="705"/>
      <c r="P372" s="708"/>
    </row>
    <row r="373" spans="1:16" x14ac:dyDescent="0.25">
      <c r="A373" t="s">
        <v>180</v>
      </c>
      <c r="B373" s="11" t="s">
        <v>612</v>
      </c>
      <c r="C373" s="12"/>
      <c r="D373" s="123">
        <v>610000004309</v>
      </c>
      <c r="E373" s="123">
        <v>345969</v>
      </c>
      <c r="F373" s="123">
        <f>VLOOKUP(E373,'[1]Task list &amp; Maintenace plan'!$B:$G,6,FALSE)</f>
        <v>100743</v>
      </c>
      <c r="G373" s="124" t="s">
        <v>614</v>
      </c>
      <c r="H373" s="107" t="s">
        <v>620</v>
      </c>
      <c r="I373" s="107" t="s">
        <v>621</v>
      </c>
      <c r="J373" s="124">
        <v>15</v>
      </c>
      <c r="K373" s="124"/>
      <c r="L373" s="124">
        <v>1</v>
      </c>
      <c r="M373" s="705"/>
      <c r="N373" s="705"/>
      <c r="O373" s="705"/>
      <c r="P373" s="708"/>
    </row>
    <row r="374" spans="1:16" x14ac:dyDescent="0.25">
      <c r="A374" t="s">
        <v>180</v>
      </c>
      <c r="B374" s="11" t="s">
        <v>612</v>
      </c>
      <c r="C374" s="12"/>
      <c r="D374" s="103">
        <v>610000004309</v>
      </c>
      <c r="E374" s="103">
        <v>345969</v>
      </c>
      <c r="F374" s="103">
        <f>VLOOKUP(E374,'[1]Task list &amp; Maintenace plan'!$B:$G,6,FALSE)</f>
        <v>100743</v>
      </c>
      <c r="G374" s="85" t="s">
        <v>614</v>
      </c>
      <c r="H374" s="84" t="s">
        <v>622</v>
      </c>
      <c r="I374" s="84" t="s">
        <v>623</v>
      </c>
      <c r="J374" s="85">
        <v>15</v>
      </c>
      <c r="K374" s="85"/>
      <c r="L374" s="85">
        <v>1</v>
      </c>
      <c r="M374" s="706"/>
      <c r="N374" s="706"/>
      <c r="O374" s="706"/>
      <c r="P374" s="709"/>
    </row>
    <row r="375" spans="1:16" x14ac:dyDescent="0.25">
      <c r="A375" t="s">
        <v>180</v>
      </c>
      <c r="B375" s="11" t="s">
        <v>612</v>
      </c>
      <c r="C375" s="12"/>
      <c r="D375" s="140">
        <v>610000004310</v>
      </c>
      <c r="E375" s="140">
        <v>346019</v>
      </c>
      <c r="F375" s="140">
        <f>VLOOKUP(E375,'[1]Task list &amp; Maintenace plan'!$B:$G,6,FALSE)</f>
        <v>100744</v>
      </c>
      <c r="G375" s="141" t="s">
        <v>625</v>
      </c>
      <c r="H375" s="142" t="s">
        <v>613</v>
      </c>
      <c r="I375" s="102" t="s">
        <v>626</v>
      </c>
      <c r="J375" s="141">
        <v>30</v>
      </c>
      <c r="K375" s="141">
        <v>1</v>
      </c>
      <c r="L375" s="141"/>
      <c r="M375" s="710">
        <v>60</v>
      </c>
      <c r="N375" s="710">
        <v>1</v>
      </c>
      <c r="O375" s="710">
        <f>N375*M375</f>
        <v>60</v>
      </c>
      <c r="P375" s="712" t="s">
        <v>20</v>
      </c>
    </row>
    <row r="376" spans="1:16" x14ac:dyDescent="0.25">
      <c r="A376" t="s">
        <v>180</v>
      </c>
      <c r="B376" s="11" t="s">
        <v>612</v>
      </c>
      <c r="C376" s="12"/>
      <c r="D376" s="104">
        <v>610000004310</v>
      </c>
      <c r="E376" s="104">
        <v>346019</v>
      </c>
      <c r="F376" s="104">
        <f>VLOOKUP(E376,'[1]Task list &amp; Maintenace plan'!$B:$G,6,FALSE)</f>
        <v>100744</v>
      </c>
      <c r="G376" s="105" t="s">
        <v>625</v>
      </c>
      <c r="H376" s="106" t="s">
        <v>616</v>
      </c>
      <c r="I376" s="106" t="s">
        <v>628</v>
      </c>
      <c r="J376" s="105">
        <v>30</v>
      </c>
      <c r="K376" s="105">
        <v>1</v>
      </c>
      <c r="L376" s="105"/>
      <c r="M376" s="705"/>
      <c r="N376" s="705"/>
      <c r="O376" s="705"/>
      <c r="P376" s="708"/>
    </row>
    <row r="377" spans="1:16" x14ac:dyDescent="0.25">
      <c r="A377" t="s">
        <v>180</v>
      </c>
      <c r="B377" s="11" t="s">
        <v>612</v>
      </c>
      <c r="C377" s="12"/>
      <c r="D377" s="104">
        <v>610000004310</v>
      </c>
      <c r="E377" s="104">
        <v>346019</v>
      </c>
      <c r="F377" s="104">
        <f>VLOOKUP(E377,'[1]Task list &amp; Maintenace plan'!$B:$G,6,FALSE)</f>
        <v>100744</v>
      </c>
      <c r="G377" s="105" t="s">
        <v>625</v>
      </c>
      <c r="H377" s="106" t="s">
        <v>618</v>
      </c>
      <c r="I377" s="106" t="s">
        <v>630</v>
      </c>
      <c r="J377" s="105">
        <v>30</v>
      </c>
      <c r="K377" s="105">
        <v>1</v>
      </c>
      <c r="L377" s="105"/>
      <c r="M377" s="705"/>
      <c r="N377" s="705"/>
      <c r="O377" s="705"/>
      <c r="P377" s="708"/>
    </row>
    <row r="378" spans="1:16" x14ac:dyDescent="0.25">
      <c r="A378" t="s">
        <v>180</v>
      </c>
      <c r="B378" s="11" t="s">
        <v>612</v>
      </c>
      <c r="C378" s="12"/>
      <c r="D378" s="104">
        <v>610000004310</v>
      </c>
      <c r="E378" s="104">
        <v>346019</v>
      </c>
      <c r="F378" s="104">
        <f>VLOOKUP(E378,'[1]Task list &amp; Maintenace plan'!$B:$G,6,FALSE)</f>
        <v>100744</v>
      </c>
      <c r="G378" s="105" t="s">
        <v>625</v>
      </c>
      <c r="H378" s="106" t="s">
        <v>620</v>
      </c>
      <c r="I378" s="106" t="s">
        <v>632</v>
      </c>
      <c r="J378" s="105">
        <v>30</v>
      </c>
      <c r="K378" s="105">
        <v>1</v>
      </c>
      <c r="L378" s="105"/>
      <c r="M378" s="705"/>
      <c r="N378" s="705"/>
      <c r="O378" s="705"/>
      <c r="P378" s="708"/>
    </row>
    <row r="379" spans="1:16" x14ac:dyDescent="0.25">
      <c r="A379" t="s">
        <v>180</v>
      </c>
      <c r="B379" s="11" t="s">
        <v>612</v>
      </c>
      <c r="C379" s="12"/>
      <c r="D379" s="104">
        <v>610000004310</v>
      </c>
      <c r="E379" s="104">
        <v>346019</v>
      </c>
      <c r="F379" s="104">
        <f>VLOOKUP(E379,'[1]Task list &amp; Maintenace plan'!$B:$G,6,FALSE)</f>
        <v>100744</v>
      </c>
      <c r="G379" s="105" t="s">
        <v>625</v>
      </c>
      <c r="H379" s="106" t="s">
        <v>622</v>
      </c>
      <c r="I379" s="106" t="s">
        <v>633</v>
      </c>
      <c r="J379" s="105">
        <v>30</v>
      </c>
      <c r="K379" s="105">
        <v>1</v>
      </c>
      <c r="L379" s="105"/>
      <c r="M379" s="705"/>
      <c r="N379" s="705"/>
      <c r="O379" s="705"/>
      <c r="P379" s="708"/>
    </row>
    <row r="380" spans="1:16" x14ac:dyDescent="0.25">
      <c r="A380" t="s">
        <v>180</v>
      </c>
      <c r="B380" s="11" t="s">
        <v>612</v>
      </c>
      <c r="C380" s="12"/>
      <c r="D380" s="104">
        <v>610000004310</v>
      </c>
      <c r="E380" s="104">
        <v>346019</v>
      </c>
      <c r="F380" s="104">
        <f>VLOOKUP(E380,'[1]Task list &amp; Maintenace plan'!$B:$G,6,FALSE)</f>
        <v>100744</v>
      </c>
      <c r="G380" s="105" t="s">
        <v>625</v>
      </c>
      <c r="H380" s="106" t="s">
        <v>624</v>
      </c>
      <c r="I380" s="106" t="s">
        <v>634</v>
      </c>
      <c r="J380" s="105">
        <v>30</v>
      </c>
      <c r="K380" s="105">
        <v>1</v>
      </c>
      <c r="L380" s="105"/>
      <c r="M380" s="705"/>
      <c r="N380" s="705"/>
      <c r="O380" s="705"/>
      <c r="P380" s="708"/>
    </row>
    <row r="381" spans="1:16" x14ac:dyDescent="0.25">
      <c r="A381" t="s">
        <v>180</v>
      </c>
      <c r="B381" s="11" t="s">
        <v>612</v>
      </c>
      <c r="C381" s="12"/>
      <c r="D381" s="104">
        <v>610000004310</v>
      </c>
      <c r="E381" s="104">
        <v>346019</v>
      </c>
      <c r="F381" s="104">
        <f>VLOOKUP(E381,'[1]Task list &amp; Maintenace plan'!$B:$G,6,FALSE)</f>
        <v>100744</v>
      </c>
      <c r="G381" s="105" t="s">
        <v>625</v>
      </c>
      <c r="H381" s="106" t="s">
        <v>627</v>
      </c>
      <c r="I381" s="106" t="s">
        <v>635</v>
      </c>
      <c r="J381" s="105">
        <v>30</v>
      </c>
      <c r="K381" s="105">
        <v>1</v>
      </c>
      <c r="L381" s="105"/>
      <c r="M381" s="705"/>
      <c r="N381" s="705"/>
      <c r="O381" s="705"/>
      <c r="P381" s="708"/>
    </row>
    <row r="382" spans="1:16" x14ac:dyDescent="0.25">
      <c r="A382" t="s">
        <v>180</v>
      </c>
      <c r="B382" s="11" t="s">
        <v>612</v>
      </c>
      <c r="C382" s="12"/>
      <c r="D382" s="104">
        <v>610000004310</v>
      </c>
      <c r="E382" s="104">
        <v>346019</v>
      </c>
      <c r="F382" s="104">
        <f>VLOOKUP(E382,'[1]Task list &amp; Maintenace plan'!$B:$G,6,FALSE)</f>
        <v>100744</v>
      </c>
      <c r="G382" s="105" t="s">
        <v>625</v>
      </c>
      <c r="H382" s="106" t="s">
        <v>629</v>
      </c>
      <c r="I382" s="106" t="s">
        <v>636</v>
      </c>
      <c r="J382" s="105">
        <v>30</v>
      </c>
      <c r="K382" s="105">
        <v>1</v>
      </c>
      <c r="L382" s="105"/>
      <c r="M382" s="705"/>
      <c r="N382" s="705"/>
      <c r="O382" s="705"/>
      <c r="P382" s="708"/>
    </row>
    <row r="383" spans="1:16" x14ac:dyDescent="0.25">
      <c r="A383" t="s">
        <v>180</v>
      </c>
      <c r="B383" s="11" t="s">
        <v>612</v>
      </c>
      <c r="C383" s="12"/>
      <c r="D383" s="104">
        <v>610000004310</v>
      </c>
      <c r="E383" s="104">
        <v>346019</v>
      </c>
      <c r="F383" s="104">
        <f>VLOOKUP(E383,'[1]Task list &amp; Maintenace plan'!$B:$G,6,FALSE)</f>
        <v>100744</v>
      </c>
      <c r="G383" s="105" t="s">
        <v>625</v>
      </c>
      <c r="H383" s="106" t="s">
        <v>631</v>
      </c>
      <c r="I383" s="106" t="s">
        <v>637</v>
      </c>
      <c r="J383" s="105">
        <v>30</v>
      </c>
      <c r="K383" s="105">
        <v>1</v>
      </c>
      <c r="L383" s="105"/>
      <c r="M383" s="705"/>
      <c r="N383" s="705"/>
      <c r="O383" s="705"/>
      <c r="P383" s="708"/>
    </row>
    <row r="384" spans="1:16" x14ac:dyDescent="0.25">
      <c r="A384" t="s">
        <v>180</v>
      </c>
      <c r="B384" s="11" t="s">
        <v>612</v>
      </c>
      <c r="C384" s="12"/>
      <c r="D384" s="104">
        <v>610000004310</v>
      </c>
      <c r="E384" s="104">
        <v>346019</v>
      </c>
      <c r="F384" s="104">
        <f>VLOOKUP(E384,'[1]Task list &amp; Maintenace plan'!$B:$G,6,FALSE)</f>
        <v>100744</v>
      </c>
      <c r="G384" s="105" t="s">
        <v>625</v>
      </c>
      <c r="H384" s="106" t="s">
        <v>613</v>
      </c>
      <c r="I384" s="106" t="s">
        <v>638</v>
      </c>
      <c r="J384" s="105">
        <v>30</v>
      </c>
      <c r="K384" s="105">
        <v>1</v>
      </c>
      <c r="L384" s="105"/>
      <c r="M384" s="705"/>
      <c r="N384" s="705"/>
      <c r="O384" s="705"/>
      <c r="P384" s="708"/>
    </row>
    <row r="385" spans="1:16" x14ac:dyDescent="0.25">
      <c r="A385" t="s">
        <v>180</v>
      </c>
      <c r="B385" s="11" t="s">
        <v>612</v>
      </c>
      <c r="C385" s="12"/>
      <c r="D385" s="104">
        <v>610000004310</v>
      </c>
      <c r="E385" s="104">
        <v>346019</v>
      </c>
      <c r="F385" s="104">
        <f>VLOOKUP(E385,'[1]Task list &amp; Maintenace plan'!$B:$G,6,FALSE)</f>
        <v>100744</v>
      </c>
      <c r="G385" s="105" t="s">
        <v>625</v>
      </c>
      <c r="H385" s="106" t="s">
        <v>616</v>
      </c>
      <c r="I385" s="106" t="s">
        <v>639</v>
      </c>
      <c r="J385" s="105">
        <v>30</v>
      </c>
      <c r="K385" s="105">
        <v>1</v>
      </c>
      <c r="L385" s="105"/>
      <c r="M385" s="705"/>
      <c r="N385" s="705"/>
      <c r="O385" s="705"/>
      <c r="P385" s="708"/>
    </row>
    <row r="386" spans="1:16" x14ac:dyDescent="0.25">
      <c r="A386" t="s">
        <v>180</v>
      </c>
      <c r="B386" s="11" t="s">
        <v>612</v>
      </c>
      <c r="C386" s="12"/>
      <c r="D386" s="104">
        <v>610000004310</v>
      </c>
      <c r="E386" s="104">
        <v>346019</v>
      </c>
      <c r="F386" s="104">
        <f>VLOOKUP(E386,'[1]Task list &amp; Maintenace plan'!$B:$G,6,FALSE)</f>
        <v>100744</v>
      </c>
      <c r="G386" s="105" t="s">
        <v>625</v>
      </c>
      <c r="H386" s="106" t="s">
        <v>618</v>
      </c>
      <c r="I386" s="106" t="s">
        <v>640</v>
      </c>
      <c r="J386" s="105">
        <v>30</v>
      </c>
      <c r="K386" s="105">
        <v>1</v>
      </c>
      <c r="L386" s="105"/>
      <c r="M386" s="705"/>
      <c r="N386" s="705"/>
      <c r="O386" s="705"/>
      <c r="P386" s="708"/>
    </row>
    <row r="387" spans="1:16" x14ac:dyDescent="0.25">
      <c r="A387" t="s">
        <v>180</v>
      </c>
      <c r="B387" s="11" t="s">
        <v>612</v>
      </c>
      <c r="C387" s="12"/>
      <c r="D387" s="104">
        <v>610000004310</v>
      </c>
      <c r="E387" s="104">
        <v>346019</v>
      </c>
      <c r="F387" s="104">
        <f>VLOOKUP(E387,'[1]Task list &amp; Maintenace plan'!$B:$G,6,FALSE)</f>
        <v>100744</v>
      </c>
      <c r="G387" s="105" t="s">
        <v>625</v>
      </c>
      <c r="H387" s="106" t="s">
        <v>620</v>
      </c>
      <c r="I387" s="106" t="s">
        <v>641</v>
      </c>
      <c r="J387" s="105">
        <v>30</v>
      </c>
      <c r="K387" s="105">
        <v>1</v>
      </c>
      <c r="L387" s="105"/>
      <c r="M387" s="705"/>
      <c r="N387" s="705"/>
      <c r="O387" s="705"/>
      <c r="P387" s="708"/>
    </row>
    <row r="388" spans="1:16" x14ac:dyDescent="0.25">
      <c r="A388" t="s">
        <v>180</v>
      </c>
      <c r="B388" s="11" t="s">
        <v>612</v>
      </c>
      <c r="C388" s="12"/>
      <c r="D388" s="104">
        <v>610000004310</v>
      </c>
      <c r="E388" s="104">
        <v>346019</v>
      </c>
      <c r="F388" s="104">
        <f>VLOOKUP(E388,'[1]Task list &amp; Maintenace plan'!$B:$G,6,FALSE)</f>
        <v>100744</v>
      </c>
      <c r="G388" s="105" t="s">
        <v>625</v>
      </c>
      <c r="H388" s="106" t="s">
        <v>622</v>
      </c>
      <c r="I388" s="106" t="s">
        <v>642</v>
      </c>
      <c r="J388" s="105">
        <v>30</v>
      </c>
      <c r="K388" s="105">
        <v>1</v>
      </c>
      <c r="L388" s="105"/>
      <c r="M388" s="705"/>
      <c r="N388" s="705"/>
      <c r="O388" s="705"/>
      <c r="P388" s="708"/>
    </row>
    <row r="389" spans="1:16" x14ac:dyDescent="0.25">
      <c r="A389" t="s">
        <v>180</v>
      </c>
      <c r="B389" s="11" t="s">
        <v>612</v>
      </c>
      <c r="C389" s="12"/>
      <c r="D389" s="104">
        <v>610000004310</v>
      </c>
      <c r="E389" s="104">
        <v>346019</v>
      </c>
      <c r="F389" s="104">
        <f>VLOOKUP(E389,'[1]Task list &amp; Maintenace plan'!$B:$G,6,FALSE)</f>
        <v>100744</v>
      </c>
      <c r="G389" s="105" t="s">
        <v>625</v>
      </c>
      <c r="H389" s="106" t="s">
        <v>624</v>
      </c>
      <c r="I389" s="106" t="s">
        <v>643</v>
      </c>
      <c r="J389" s="105">
        <v>30</v>
      </c>
      <c r="K389" s="105">
        <v>1</v>
      </c>
      <c r="L389" s="105"/>
      <c r="M389" s="705"/>
      <c r="N389" s="705"/>
      <c r="O389" s="705"/>
      <c r="P389" s="708"/>
    </row>
    <row r="390" spans="1:16" x14ac:dyDescent="0.25">
      <c r="A390" t="s">
        <v>180</v>
      </c>
      <c r="B390" s="11" t="s">
        <v>612</v>
      </c>
      <c r="C390" s="12"/>
      <c r="D390" s="104">
        <v>610000004310</v>
      </c>
      <c r="E390" s="104">
        <v>346019</v>
      </c>
      <c r="F390" s="104">
        <f>VLOOKUP(E390,'[1]Task list &amp; Maintenace plan'!$B:$G,6,FALSE)</f>
        <v>100744</v>
      </c>
      <c r="G390" s="105" t="s">
        <v>625</v>
      </c>
      <c r="H390" s="106" t="s">
        <v>627</v>
      </c>
      <c r="I390" s="106" t="s">
        <v>644</v>
      </c>
      <c r="J390" s="105">
        <v>30</v>
      </c>
      <c r="K390" s="105">
        <v>1</v>
      </c>
      <c r="L390" s="105"/>
      <c r="M390" s="705"/>
      <c r="N390" s="705"/>
      <c r="O390" s="705"/>
      <c r="P390" s="708"/>
    </row>
    <row r="391" spans="1:16" x14ac:dyDescent="0.25">
      <c r="A391" t="s">
        <v>180</v>
      </c>
      <c r="B391" s="11" t="s">
        <v>612</v>
      </c>
      <c r="C391" s="12"/>
      <c r="D391" s="104">
        <v>610000004310</v>
      </c>
      <c r="E391" s="104">
        <v>346019</v>
      </c>
      <c r="F391" s="104">
        <f>VLOOKUP(E391,'[1]Task list &amp; Maintenace plan'!$B:$G,6,FALSE)</f>
        <v>100744</v>
      </c>
      <c r="G391" s="105" t="s">
        <v>625</v>
      </c>
      <c r="H391" s="106" t="s">
        <v>629</v>
      </c>
      <c r="I391" s="106" t="s">
        <v>645</v>
      </c>
      <c r="J391" s="105">
        <v>30</v>
      </c>
      <c r="K391" s="105">
        <v>1</v>
      </c>
      <c r="L391" s="105"/>
      <c r="M391" s="705"/>
      <c r="N391" s="705"/>
      <c r="O391" s="705"/>
      <c r="P391" s="708"/>
    </row>
    <row r="392" spans="1:16" x14ac:dyDescent="0.25">
      <c r="A392" t="s">
        <v>180</v>
      </c>
      <c r="B392" s="11" t="s">
        <v>612</v>
      </c>
      <c r="C392" s="12"/>
      <c r="D392" s="103">
        <v>610000004310</v>
      </c>
      <c r="E392" s="103">
        <v>346019</v>
      </c>
      <c r="F392" s="103">
        <f>VLOOKUP(E392,'[1]Task list &amp; Maintenace plan'!$B:$G,6,FALSE)</f>
        <v>100744</v>
      </c>
      <c r="G392" s="85" t="s">
        <v>625</v>
      </c>
      <c r="H392" s="84" t="s">
        <v>631</v>
      </c>
      <c r="I392" s="84" t="s">
        <v>646</v>
      </c>
      <c r="J392" s="85">
        <v>30</v>
      </c>
      <c r="K392" s="85">
        <v>1</v>
      </c>
      <c r="L392" s="85"/>
      <c r="M392" s="706"/>
      <c r="N392" s="706"/>
      <c r="O392" s="706"/>
      <c r="P392" s="709"/>
    </row>
    <row r="393" spans="1:16" x14ac:dyDescent="0.25">
      <c r="A393" t="s">
        <v>180</v>
      </c>
      <c r="B393" s="11" t="s">
        <v>612</v>
      </c>
      <c r="C393" s="12"/>
      <c r="D393" s="140">
        <v>610000004311</v>
      </c>
      <c r="E393" s="140">
        <v>346020</v>
      </c>
      <c r="F393" s="140">
        <f>VLOOKUP(E393,'[1]Task list &amp; Maintenace plan'!$B:$G,6,FALSE)</f>
        <v>100745</v>
      </c>
      <c r="G393" s="141" t="s">
        <v>647</v>
      </c>
      <c r="H393" s="142" t="s">
        <v>613</v>
      </c>
      <c r="I393" s="102" t="s">
        <v>648</v>
      </c>
      <c r="J393" s="141">
        <v>60</v>
      </c>
      <c r="K393" s="141">
        <v>1</v>
      </c>
      <c r="L393" s="141"/>
      <c r="M393" s="710">
        <v>90</v>
      </c>
      <c r="N393" s="710">
        <v>1</v>
      </c>
      <c r="O393" s="710">
        <f>N393*M393</f>
        <v>90</v>
      </c>
      <c r="P393" s="712" t="s">
        <v>34</v>
      </c>
    </row>
    <row r="394" spans="1:16" x14ac:dyDescent="0.25">
      <c r="A394" t="s">
        <v>180</v>
      </c>
      <c r="B394" s="11" t="s">
        <v>612</v>
      </c>
      <c r="C394" s="12"/>
      <c r="D394" s="104">
        <v>610000004311</v>
      </c>
      <c r="E394" s="104">
        <v>346020</v>
      </c>
      <c r="F394" s="104">
        <f>VLOOKUP(E394,'[1]Task list &amp; Maintenace plan'!$B:$G,6,FALSE)</f>
        <v>100745</v>
      </c>
      <c r="G394" s="105" t="s">
        <v>647</v>
      </c>
      <c r="H394" s="106" t="s">
        <v>616</v>
      </c>
      <c r="I394" s="106" t="s">
        <v>649</v>
      </c>
      <c r="J394" s="105">
        <v>60</v>
      </c>
      <c r="K394" s="105">
        <v>1</v>
      </c>
      <c r="L394" s="105"/>
      <c r="M394" s="705"/>
      <c r="N394" s="705"/>
      <c r="O394" s="705"/>
      <c r="P394" s="708"/>
    </row>
    <row r="395" spans="1:16" x14ac:dyDescent="0.25">
      <c r="A395" t="s">
        <v>180</v>
      </c>
      <c r="B395" s="11" t="s">
        <v>612</v>
      </c>
      <c r="C395" s="12"/>
      <c r="D395" s="104">
        <v>610000004311</v>
      </c>
      <c r="E395" s="104">
        <v>346020</v>
      </c>
      <c r="F395" s="104">
        <f>VLOOKUP(E395,'[1]Task list &amp; Maintenace plan'!$B:$G,6,FALSE)</f>
        <v>100745</v>
      </c>
      <c r="G395" s="105" t="s">
        <v>647</v>
      </c>
      <c r="H395" s="106" t="s">
        <v>618</v>
      </c>
      <c r="I395" s="106" t="s">
        <v>650</v>
      </c>
      <c r="J395" s="105">
        <v>60</v>
      </c>
      <c r="K395" s="105">
        <v>1</v>
      </c>
      <c r="L395" s="105"/>
      <c r="M395" s="705"/>
      <c r="N395" s="705"/>
      <c r="O395" s="705"/>
      <c r="P395" s="708"/>
    </row>
    <row r="396" spans="1:16" x14ac:dyDescent="0.25">
      <c r="A396" t="s">
        <v>180</v>
      </c>
      <c r="B396" s="11" t="s">
        <v>612</v>
      </c>
      <c r="C396" s="12"/>
      <c r="D396" s="104">
        <v>610000004311</v>
      </c>
      <c r="E396" s="104">
        <v>346020</v>
      </c>
      <c r="F396" s="104">
        <f>VLOOKUP(E396,'[1]Task list &amp; Maintenace plan'!$B:$G,6,FALSE)</f>
        <v>100745</v>
      </c>
      <c r="G396" s="105" t="s">
        <v>647</v>
      </c>
      <c r="H396" s="106" t="s">
        <v>620</v>
      </c>
      <c r="I396" s="106" t="s">
        <v>651</v>
      </c>
      <c r="J396" s="105">
        <v>60</v>
      </c>
      <c r="K396" s="105">
        <v>1</v>
      </c>
      <c r="L396" s="105"/>
      <c r="M396" s="705"/>
      <c r="N396" s="705"/>
      <c r="O396" s="705"/>
      <c r="P396" s="708"/>
    </row>
    <row r="397" spans="1:16" x14ac:dyDescent="0.25">
      <c r="A397" t="s">
        <v>180</v>
      </c>
      <c r="B397" s="11" t="s">
        <v>612</v>
      </c>
      <c r="C397" s="12"/>
      <c r="D397" s="104">
        <v>610000004311</v>
      </c>
      <c r="E397" s="104">
        <v>346020</v>
      </c>
      <c r="F397" s="104">
        <f>VLOOKUP(E397,'[1]Task list &amp; Maintenace plan'!$B:$G,6,FALSE)</f>
        <v>100745</v>
      </c>
      <c r="G397" s="105" t="s">
        <v>647</v>
      </c>
      <c r="H397" s="106" t="s">
        <v>622</v>
      </c>
      <c r="I397" s="106" t="s">
        <v>652</v>
      </c>
      <c r="J397" s="105">
        <v>60</v>
      </c>
      <c r="K397" s="105">
        <v>1</v>
      </c>
      <c r="L397" s="105"/>
      <c r="M397" s="705"/>
      <c r="N397" s="705"/>
      <c r="O397" s="705"/>
      <c r="P397" s="708"/>
    </row>
    <row r="398" spans="1:16" x14ac:dyDescent="0.25">
      <c r="A398" t="s">
        <v>180</v>
      </c>
      <c r="B398" s="11" t="s">
        <v>612</v>
      </c>
      <c r="C398" s="12"/>
      <c r="D398" s="104">
        <v>610000004311</v>
      </c>
      <c r="E398" s="104">
        <v>346020</v>
      </c>
      <c r="F398" s="104">
        <f>VLOOKUP(E398,'[1]Task list &amp; Maintenace plan'!$B:$G,6,FALSE)</f>
        <v>100745</v>
      </c>
      <c r="G398" s="105" t="s">
        <v>647</v>
      </c>
      <c r="H398" s="106" t="s">
        <v>624</v>
      </c>
      <c r="I398" s="106" t="s">
        <v>653</v>
      </c>
      <c r="J398" s="105">
        <v>60</v>
      </c>
      <c r="K398" s="105">
        <v>1</v>
      </c>
      <c r="L398" s="105"/>
      <c r="M398" s="705"/>
      <c r="N398" s="705"/>
      <c r="O398" s="705"/>
      <c r="P398" s="708"/>
    </row>
    <row r="399" spans="1:16" x14ac:dyDescent="0.25">
      <c r="A399" t="s">
        <v>180</v>
      </c>
      <c r="B399" s="11" t="s">
        <v>612</v>
      </c>
      <c r="C399" s="12"/>
      <c r="D399" s="104">
        <v>610000004311</v>
      </c>
      <c r="E399" s="104">
        <v>346020</v>
      </c>
      <c r="F399" s="104">
        <f>VLOOKUP(E399,'[1]Task list &amp; Maintenace plan'!$B:$G,6,FALSE)</f>
        <v>100745</v>
      </c>
      <c r="G399" s="105" t="s">
        <v>647</v>
      </c>
      <c r="H399" s="106" t="s">
        <v>627</v>
      </c>
      <c r="I399" s="106" t="s">
        <v>654</v>
      </c>
      <c r="J399" s="105">
        <v>60</v>
      </c>
      <c r="K399" s="105">
        <v>1</v>
      </c>
      <c r="L399" s="105"/>
      <c r="M399" s="705"/>
      <c r="N399" s="705"/>
      <c r="O399" s="705"/>
      <c r="P399" s="708"/>
    </row>
    <row r="400" spans="1:16" x14ac:dyDescent="0.25">
      <c r="A400" t="s">
        <v>180</v>
      </c>
      <c r="B400" s="11" t="s">
        <v>612</v>
      </c>
      <c r="C400" s="12"/>
      <c r="D400" s="104">
        <v>610000004311</v>
      </c>
      <c r="E400" s="104">
        <v>346020</v>
      </c>
      <c r="F400" s="104">
        <f>VLOOKUP(E400,'[1]Task list &amp; Maintenace plan'!$B:$G,6,FALSE)</f>
        <v>100745</v>
      </c>
      <c r="G400" s="105" t="s">
        <v>647</v>
      </c>
      <c r="H400" s="106" t="s">
        <v>629</v>
      </c>
      <c r="I400" s="106" t="s">
        <v>655</v>
      </c>
      <c r="J400" s="105">
        <v>60</v>
      </c>
      <c r="K400" s="105">
        <v>1</v>
      </c>
      <c r="L400" s="105"/>
      <c r="M400" s="705"/>
      <c r="N400" s="705"/>
      <c r="O400" s="705"/>
      <c r="P400" s="708"/>
    </row>
    <row r="401" spans="1:16" ht="15.75" thickBot="1" x14ac:dyDescent="0.3">
      <c r="A401" t="s">
        <v>180</v>
      </c>
      <c r="B401" s="11" t="s">
        <v>612</v>
      </c>
      <c r="C401" s="27"/>
      <c r="D401" s="147">
        <v>610000004311</v>
      </c>
      <c r="E401" s="147">
        <v>346020</v>
      </c>
      <c r="F401" s="147">
        <f>VLOOKUP(E401,'[1]Task list &amp; Maintenace plan'!$B:$G,6,FALSE)</f>
        <v>100745</v>
      </c>
      <c r="G401" s="148" t="s">
        <v>647</v>
      </c>
      <c r="H401" s="149" t="s">
        <v>631</v>
      </c>
      <c r="I401" s="149" t="s">
        <v>656</v>
      </c>
      <c r="J401" s="148">
        <v>60</v>
      </c>
      <c r="K401" s="148">
        <v>1</v>
      </c>
      <c r="L401" s="148"/>
      <c r="M401" s="714"/>
      <c r="N401" s="714"/>
      <c r="O401" s="714"/>
      <c r="P401" s="715"/>
    </row>
    <row r="402" spans="1:16" x14ac:dyDescent="0.25">
      <c r="A402" t="s">
        <v>180</v>
      </c>
      <c r="B402" s="11" t="s">
        <v>657</v>
      </c>
      <c r="C402" s="12"/>
      <c r="D402" s="140">
        <v>610000004314</v>
      </c>
      <c r="E402" s="140">
        <v>346021</v>
      </c>
      <c r="F402" s="140">
        <f>VLOOKUP(E402,'[1]Task list &amp; Maintenace plan'!$B:$G,6,FALSE)</f>
        <v>100748</v>
      </c>
      <c r="G402" s="141" t="s">
        <v>659</v>
      </c>
      <c r="H402" s="142" t="s">
        <v>658</v>
      </c>
      <c r="I402" s="119" t="s">
        <v>660</v>
      </c>
      <c r="J402" s="141">
        <v>30</v>
      </c>
      <c r="K402" s="141">
        <v>1</v>
      </c>
      <c r="L402" s="141"/>
      <c r="M402" s="724">
        <v>50</v>
      </c>
      <c r="N402" s="724">
        <v>1</v>
      </c>
      <c r="O402" s="724">
        <f>N402*M402</f>
        <v>50</v>
      </c>
      <c r="P402" s="725" t="s">
        <v>20</v>
      </c>
    </row>
    <row r="403" spans="1:16" x14ac:dyDescent="0.25">
      <c r="A403" t="s">
        <v>180</v>
      </c>
      <c r="B403" s="11" t="s">
        <v>657</v>
      </c>
      <c r="C403" s="12"/>
      <c r="D403" s="104">
        <v>610000004314</v>
      </c>
      <c r="E403" s="104">
        <v>346021</v>
      </c>
      <c r="F403" s="104">
        <f>VLOOKUP(E403,'[1]Task list &amp; Maintenace plan'!$B:$G,6,FALSE)</f>
        <v>100748</v>
      </c>
      <c r="G403" s="105" t="s">
        <v>659</v>
      </c>
      <c r="H403" s="106" t="s">
        <v>661</v>
      </c>
      <c r="I403" s="106" t="s">
        <v>662</v>
      </c>
      <c r="J403" s="105">
        <v>30</v>
      </c>
      <c r="K403" s="105">
        <v>1</v>
      </c>
      <c r="L403" s="105"/>
      <c r="M403" s="705"/>
      <c r="N403" s="705"/>
      <c r="O403" s="705"/>
      <c r="P403" s="708"/>
    </row>
    <row r="404" spans="1:16" x14ac:dyDescent="0.25">
      <c r="A404" t="s">
        <v>180</v>
      </c>
      <c r="B404" s="11" t="s">
        <v>657</v>
      </c>
      <c r="C404" s="12"/>
      <c r="D404" s="104">
        <v>610000004314</v>
      </c>
      <c r="E404" s="104">
        <v>346021</v>
      </c>
      <c r="F404" s="104">
        <f>VLOOKUP(E404,'[1]Task list &amp; Maintenace plan'!$B:$G,6,FALSE)</f>
        <v>100748</v>
      </c>
      <c r="G404" s="105" t="s">
        <v>659</v>
      </c>
      <c r="H404" s="106" t="s">
        <v>663</v>
      </c>
      <c r="I404" s="106" t="s">
        <v>664</v>
      </c>
      <c r="J404" s="105">
        <v>30</v>
      </c>
      <c r="K404" s="105">
        <v>1</v>
      </c>
      <c r="L404" s="105"/>
      <c r="M404" s="705"/>
      <c r="N404" s="705"/>
      <c r="O404" s="705"/>
      <c r="P404" s="708"/>
    </row>
    <row r="405" spans="1:16" x14ac:dyDescent="0.25">
      <c r="A405" t="s">
        <v>180</v>
      </c>
      <c r="B405" s="11" t="s">
        <v>657</v>
      </c>
      <c r="C405" s="12"/>
      <c r="D405" s="104">
        <v>610000004314</v>
      </c>
      <c r="E405" s="104">
        <v>346021</v>
      </c>
      <c r="F405" s="104">
        <f>VLOOKUP(E405,'[1]Task list &amp; Maintenace plan'!$B:$G,6,FALSE)</f>
        <v>100748</v>
      </c>
      <c r="G405" s="105" t="s">
        <v>659</v>
      </c>
      <c r="H405" s="106" t="s">
        <v>665</v>
      </c>
      <c r="I405" s="106" t="s">
        <v>666</v>
      </c>
      <c r="J405" s="105">
        <v>30</v>
      </c>
      <c r="K405" s="105">
        <v>1</v>
      </c>
      <c r="L405" s="105"/>
      <c r="M405" s="705"/>
      <c r="N405" s="705"/>
      <c r="O405" s="705"/>
      <c r="P405" s="708"/>
    </row>
    <row r="406" spans="1:16" x14ac:dyDescent="0.25">
      <c r="A406" t="s">
        <v>180</v>
      </c>
      <c r="B406" s="11" t="s">
        <v>657</v>
      </c>
      <c r="C406" s="12"/>
      <c r="D406" s="104">
        <v>610000004314</v>
      </c>
      <c r="E406" s="104">
        <v>346021</v>
      </c>
      <c r="F406" s="104">
        <f>VLOOKUP(E406,'[1]Task list &amp; Maintenace plan'!$B:$G,6,FALSE)</f>
        <v>100748</v>
      </c>
      <c r="G406" s="105" t="s">
        <v>659</v>
      </c>
      <c r="H406" s="106" t="s">
        <v>667</v>
      </c>
      <c r="I406" s="106" t="s">
        <v>668</v>
      </c>
      <c r="J406" s="105">
        <v>30</v>
      </c>
      <c r="K406" s="105">
        <v>1</v>
      </c>
      <c r="L406" s="105"/>
      <c r="M406" s="705"/>
      <c r="N406" s="705"/>
      <c r="O406" s="705"/>
      <c r="P406" s="708"/>
    </row>
    <row r="407" spans="1:16" x14ac:dyDescent="0.25">
      <c r="A407" t="s">
        <v>180</v>
      </c>
      <c r="B407" s="11" t="s">
        <v>657</v>
      </c>
      <c r="C407" s="12"/>
      <c r="D407" s="104">
        <v>610000004314</v>
      </c>
      <c r="E407" s="104">
        <v>346021</v>
      </c>
      <c r="F407" s="104">
        <f>VLOOKUP(E407,'[1]Task list &amp; Maintenace plan'!$B:$G,6,FALSE)</f>
        <v>100748</v>
      </c>
      <c r="G407" s="105" t="s">
        <v>659</v>
      </c>
      <c r="H407" s="106" t="s">
        <v>669</v>
      </c>
      <c r="I407" s="106" t="s">
        <v>670</v>
      </c>
      <c r="J407" s="105">
        <v>30</v>
      </c>
      <c r="K407" s="105">
        <v>1</v>
      </c>
      <c r="L407" s="105"/>
      <c r="M407" s="705"/>
      <c r="N407" s="705"/>
      <c r="O407" s="705"/>
      <c r="P407" s="708"/>
    </row>
    <row r="408" spans="1:16" x14ac:dyDescent="0.25">
      <c r="A408" t="s">
        <v>180</v>
      </c>
      <c r="B408" s="11" t="s">
        <v>657</v>
      </c>
      <c r="C408" s="12"/>
      <c r="D408" s="104">
        <v>610000004314</v>
      </c>
      <c r="E408" s="104">
        <v>346021</v>
      </c>
      <c r="F408" s="104">
        <f>VLOOKUP(E408,'[1]Task list &amp; Maintenace plan'!$B:$G,6,FALSE)</f>
        <v>100748</v>
      </c>
      <c r="G408" s="105" t="s">
        <v>659</v>
      </c>
      <c r="H408" s="106" t="s">
        <v>395</v>
      </c>
      <c r="I408" s="106" t="s">
        <v>396</v>
      </c>
      <c r="J408" s="105">
        <v>30</v>
      </c>
      <c r="K408" s="105">
        <v>1</v>
      </c>
      <c r="L408" s="105"/>
      <c r="M408" s="705"/>
      <c r="N408" s="705"/>
      <c r="O408" s="705"/>
      <c r="P408" s="708"/>
    </row>
    <row r="409" spans="1:16" x14ac:dyDescent="0.25">
      <c r="A409" t="s">
        <v>180</v>
      </c>
      <c r="B409" s="11" t="s">
        <v>657</v>
      </c>
      <c r="C409" s="12"/>
      <c r="D409" s="104">
        <v>610000004314</v>
      </c>
      <c r="E409" s="104">
        <v>346021</v>
      </c>
      <c r="F409" s="104">
        <f>VLOOKUP(E409,'[1]Task list &amp; Maintenace plan'!$B:$G,6,FALSE)</f>
        <v>100748</v>
      </c>
      <c r="G409" s="105" t="s">
        <v>659</v>
      </c>
      <c r="H409" s="106" t="s">
        <v>397</v>
      </c>
      <c r="I409" s="106" t="s">
        <v>671</v>
      </c>
      <c r="J409" s="105">
        <v>30</v>
      </c>
      <c r="K409" s="105">
        <v>1</v>
      </c>
      <c r="L409" s="105"/>
      <c r="M409" s="705"/>
      <c r="N409" s="705"/>
      <c r="O409" s="705"/>
      <c r="P409" s="708"/>
    </row>
    <row r="410" spans="1:16" x14ac:dyDescent="0.25">
      <c r="A410" t="s">
        <v>180</v>
      </c>
      <c r="B410" s="11" t="s">
        <v>657</v>
      </c>
      <c r="C410" s="12"/>
      <c r="D410" s="104">
        <v>610000004314</v>
      </c>
      <c r="E410" s="104">
        <v>346021</v>
      </c>
      <c r="F410" s="104">
        <f>VLOOKUP(E410,'[1]Task list &amp; Maintenace plan'!$B:$G,6,FALSE)</f>
        <v>100748</v>
      </c>
      <c r="G410" s="105" t="s">
        <v>659</v>
      </c>
      <c r="H410" s="106" t="s">
        <v>658</v>
      </c>
      <c r="I410" s="106" t="s">
        <v>672</v>
      </c>
      <c r="J410" s="105">
        <v>30</v>
      </c>
      <c r="K410" s="105">
        <v>1</v>
      </c>
      <c r="L410" s="105"/>
      <c r="M410" s="705"/>
      <c r="N410" s="705"/>
      <c r="O410" s="705"/>
      <c r="P410" s="708"/>
    </row>
    <row r="411" spans="1:16" x14ac:dyDescent="0.25">
      <c r="A411" t="s">
        <v>180</v>
      </c>
      <c r="B411" s="11" t="s">
        <v>657</v>
      </c>
      <c r="C411" s="12"/>
      <c r="D411" s="104">
        <v>610000004314</v>
      </c>
      <c r="E411" s="104">
        <v>346021</v>
      </c>
      <c r="F411" s="104">
        <f>VLOOKUP(E411,'[1]Task list &amp; Maintenace plan'!$B:$G,6,FALSE)</f>
        <v>100748</v>
      </c>
      <c r="G411" s="105" t="s">
        <v>659</v>
      </c>
      <c r="H411" s="106" t="s">
        <v>661</v>
      </c>
      <c r="I411" s="106" t="s">
        <v>673</v>
      </c>
      <c r="J411" s="105">
        <v>30</v>
      </c>
      <c r="K411" s="105">
        <v>1</v>
      </c>
      <c r="L411" s="105"/>
      <c r="M411" s="705"/>
      <c r="N411" s="705"/>
      <c r="O411" s="705"/>
      <c r="P411" s="708"/>
    </row>
    <row r="412" spans="1:16" x14ac:dyDescent="0.25">
      <c r="A412" t="s">
        <v>180</v>
      </c>
      <c r="B412" s="11" t="s">
        <v>657</v>
      </c>
      <c r="C412" s="12"/>
      <c r="D412" s="104">
        <v>610000004314</v>
      </c>
      <c r="E412" s="104">
        <v>346021</v>
      </c>
      <c r="F412" s="104">
        <f>VLOOKUP(E412,'[1]Task list &amp; Maintenace plan'!$B:$G,6,FALSE)</f>
        <v>100748</v>
      </c>
      <c r="G412" s="105" t="s">
        <v>659</v>
      </c>
      <c r="H412" s="106" t="s">
        <v>663</v>
      </c>
      <c r="I412" s="106" t="s">
        <v>674</v>
      </c>
      <c r="J412" s="105">
        <v>30</v>
      </c>
      <c r="K412" s="105">
        <v>1</v>
      </c>
      <c r="L412" s="105"/>
      <c r="M412" s="705"/>
      <c r="N412" s="705"/>
      <c r="O412" s="705"/>
      <c r="P412" s="708"/>
    </row>
    <row r="413" spans="1:16" x14ac:dyDescent="0.25">
      <c r="A413" t="s">
        <v>180</v>
      </c>
      <c r="B413" s="11" t="s">
        <v>657</v>
      </c>
      <c r="C413" s="12"/>
      <c r="D413" s="104">
        <v>610000004314</v>
      </c>
      <c r="E413" s="104">
        <v>346021</v>
      </c>
      <c r="F413" s="104">
        <f>VLOOKUP(E413,'[1]Task list &amp; Maintenace plan'!$B:$G,6,FALSE)</f>
        <v>100748</v>
      </c>
      <c r="G413" s="105" t="s">
        <v>659</v>
      </c>
      <c r="H413" s="106" t="s">
        <v>665</v>
      </c>
      <c r="I413" s="106" t="s">
        <v>675</v>
      </c>
      <c r="J413" s="105">
        <v>30</v>
      </c>
      <c r="K413" s="105">
        <v>1</v>
      </c>
      <c r="L413" s="105"/>
      <c r="M413" s="705"/>
      <c r="N413" s="705"/>
      <c r="O413" s="705"/>
      <c r="P413" s="708"/>
    </row>
    <row r="414" spans="1:16" x14ac:dyDescent="0.25">
      <c r="A414" t="s">
        <v>180</v>
      </c>
      <c r="B414" s="11" t="s">
        <v>657</v>
      </c>
      <c r="C414" s="12"/>
      <c r="D414" s="104">
        <v>610000004314</v>
      </c>
      <c r="E414" s="104">
        <v>346021</v>
      </c>
      <c r="F414" s="104">
        <f>VLOOKUP(E414,'[1]Task list &amp; Maintenace plan'!$B:$G,6,FALSE)</f>
        <v>100748</v>
      </c>
      <c r="G414" s="105" t="s">
        <v>659</v>
      </c>
      <c r="H414" s="106" t="s">
        <v>667</v>
      </c>
      <c r="I414" s="106" t="s">
        <v>676</v>
      </c>
      <c r="J414" s="105">
        <v>30</v>
      </c>
      <c r="K414" s="105">
        <v>1</v>
      </c>
      <c r="L414" s="105"/>
      <c r="M414" s="705"/>
      <c r="N414" s="705"/>
      <c r="O414" s="705"/>
      <c r="P414" s="708"/>
    </row>
    <row r="415" spans="1:16" x14ac:dyDescent="0.25">
      <c r="A415" t="s">
        <v>180</v>
      </c>
      <c r="B415" s="11" t="s">
        <v>657</v>
      </c>
      <c r="C415" s="12"/>
      <c r="D415" s="104">
        <v>610000004314</v>
      </c>
      <c r="E415" s="104">
        <v>346021</v>
      </c>
      <c r="F415" s="104">
        <f>VLOOKUP(E415,'[1]Task list &amp; Maintenace plan'!$B:$G,6,FALSE)</f>
        <v>100748</v>
      </c>
      <c r="G415" s="105" t="s">
        <v>659</v>
      </c>
      <c r="H415" s="106" t="s">
        <v>669</v>
      </c>
      <c r="I415" s="106" t="s">
        <v>677</v>
      </c>
      <c r="J415" s="105">
        <v>30</v>
      </c>
      <c r="K415" s="105">
        <v>1</v>
      </c>
      <c r="L415" s="105"/>
      <c r="M415" s="705"/>
      <c r="N415" s="705"/>
      <c r="O415" s="705"/>
      <c r="P415" s="708"/>
    </row>
    <row r="416" spans="1:16" x14ac:dyDescent="0.25">
      <c r="A416" t="s">
        <v>180</v>
      </c>
      <c r="B416" s="11" t="s">
        <v>657</v>
      </c>
      <c r="C416" s="12"/>
      <c r="D416" s="104">
        <v>610000004314</v>
      </c>
      <c r="E416" s="104">
        <v>346021</v>
      </c>
      <c r="F416" s="104">
        <f>VLOOKUP(E416,'[1]Task list &amp; Maintenace plan'!$B:$G,6,FALSE)</f>
        <v>100748</v>
      </c>
      <c r="G416" s="105" t="s">
        <v>659</v>
      </c>
      <c r="H416" s="106" t="s">
        <v>395</v>
      </c>
      <c r="I416" s="106" t="s">
        <v>404</v>
      </c>
      <c r="J416" s="105">
        <v>30</v>
      </c>
      <c r="K416" s="105">
        <v>1</v>
      </c>
      <c r="L416" s="105"/>
      <c r="M416" s="705"/>
      <c r="N416" s="705"/>
      <c r="O416" s="705"/>
      <c r="P416" s="708"/>
    </row>
    <row r="417" spans="1:16" x14ac:dyDescent="0.25">
      <c r="A417" t="s">
        <v>180</v>
      </c>
      <c r="B417" s="11" t="s">
        <v>657</v>
      </c>
      <c r="C417" s="12"/>
      <c r="D417" s="103">
        <v>610000004314</v>
      </c>
      <c r="E417" s="103">
        <v>346021</v>
      </c>
      <c r="F417" s="103">
        <f>VLOOKUP(E417,'[1]Task list &amp; Maintenace plan'!$B:$G,6,FALSE)</f>
        <v>100748</v>
      </c>
      <c r="G417" s="85" t="s">
        <v>659</v>
      </c>
      <c r="H417" s="84" t="s">
        <v>397</v>
      </c>
      <c r="I417" s="84" t="s">
        <v>405</v>
      </c>
      <c r="J417" s="85">
        <v>30</v>
      </c>
      <c r="K417" s="85">
        <v>1</v>
      </c>
      <c r="L417" s="85"/>
      <c r="M417" s="706"/>
      <c r="N417" s="706"/>
      <c r="O417" s="706"/>
      <c r="P417" s="709"/>
    </row>
    <row r="418" spans="1:16" x14ac:dyDescent="0.25">
      <c r="A418" t="s">
        <v>180</v>
      </c>
      <c r="B418" s="11" t="s">
        <v>657</v>
      </c>
      <c r="C418" s="12"/>
      <c r="D418" s="140">
        <v>610000004315</v>
      </c>
      <c r="E418" s="140">
        <v>346022</v>
      </c>
      <c r="F418" s="140">
        <f>VLOOKUP(E418,'[1]Task list &amp; Maintenace plan'!$B:$G,6,FALSE)</f>
        <v>100749</v>
      </c>
      <c r="G418" s="141" t="s">
        <v>678</v>
      </c>
      <c r="H418" s="142" t="s">
        <v>658</v>
      </c>
      <c r="I418" s="102" t="s">
        <v>679</v>
      </c>
      <c r="J418" s="141">
        <v>60</v>
      </c>
      <c r="K418" s="141">
        <v>1</v>
      </c>
      <c r="L418" s="141"/>
      <c r="M418" s="710">
        <v>60</v>
      </c>
      <c r="N418" s="710">
        <v>1</v>
      </c>
      <c r="O418" s="710">
        <f>N418*M418</f>
        <v>60</v>
      </c>
      <c r="P418" s="712" t="s">
        <v>34</v>
      </c>
    </row>
    <row r="419" spans="1:16" x14ac:dyDescent="0.25">
      <c r="A419" t="s">
        <v>180</v>
      </c>
      <c r="B419" s="11" t="s">
        <v>657</v>
      </c>
      <c r="C419" s="12"/>
      <c r="D419" s="104">
        <v>610000004315</v>
      </c>
      <c r="E419" s="104">
        <v>346022</v>
      </c>
      <c r="F419" s="104">
        <f>VLOOKUP(E419,'[1]Task list &amp; Maintenace plan'!$B:$G,6,FALSE)</f>
        <v>100749</v>
      </c>
      <c r="G419" s="105" t="s">
        <v>678</v>
      </c>
      <c r="H419" s="106" t="s">
        <v>661</v>
      </c>
      <c r="I419" s="106" t="s">
        <v>680</v>
      </c>
      <c r="J419" s="105">
        <v>60</v>
      </c>
      <c r="K419" s="105">
        <v>1</v>
      </c>
      <c r="L419" s="105"/>
      <c r="M419" s="705"/>
      <c r="N419" s="705"/>
      <c r="O419" s="705"/>
      <c r="P419" s="708"/>
    </row>
    <row r="420" spans="1:16" x14ac:dyDescent="0.25">
      <c r="A420" t="s">
        <v>180</v>
      </c>
      <c r="B420" s="11" t="s">
        <v>657</v>
      </c>
      <c r="C420" s="12"/>
      <c r="D420" s="104">
        <v>610000004315</v>
      </c>
      <c r="E420" s="104">
        <v>346022</v>
      </c>
      <c r="F420" s="104">
        <f>VLOOKUP(E420,'[1]Task list &amp; Maintenace plan'!$B:$G,6,FALSE)</f>
        <v>100749</v>
      </c>
      <c r="G420" s="105" t="s">
        <v>678</v>
      </c>
      <c r="H420" s="106" t="s">
        <v>663</v>
      </c>
      <c r="I420" s="106" t="s">
        <v>681</v>
      </c>
      <c r="J420" s="105">
        <v>60</v>
      </c>
      <c r="K420" s="105">
        <v>1</v>
      </c>
      <c r="L420" s="105"/>
      <c r="M420" s="705"/>
      <c r="N420" s="705"/>
      <c r="O420" s="705"/>
      <c r="P420" s="708"/>
    </row>
    <row r="421" spans="1:16" x14ac:dyDescent="0.25">
      <c r="A421" t="s">
        <v>180</v>
      </c>
      <c r="B421" s="11" t="s">
        <v>657</v>
      </c>
      <c r="C421" s="12"/>
      <c r="D421" s="104">
        <v>610000004315</v>
      </c>
      <c r="E421" s="104">
        <v>346022</v>
      </c>
      <c r="F421" s="104">
        <f>VLOOKUP(E421,'[1]Task list &amp; Maintenace plan'!$B:$G,6,FALSE)</f>
        <v>100749</v>
      </c>
      <c r="G421" s="105" t="s">
        <v>678</v>
      </c>
      <c r="H421" s="106" t="s">
        <v>665</v>
      </c>
      <c r="I421" s="106" t="s">
        <v>682</v>
      </c>
      <c r="J421" s="105">
        <v>60</v>
      </c>
      <c r="K421" s="105">
        <v>1</v>
      </c>
      <c r="L421" s="105"/>
      <c r="M421" s="705"/>
      <c r="N421" s="705"/>
      <c r="O421" s="705"/>
      <c r="P421" s="708"/>
    </row>
    <row r="422" spans="1:16" x14ac:dyDescent="0.25">
      <c r="A422" t="s">
        <v>180</v>
      </c>
      <c r="B422" s="11" t="s">
        <v>657</v>
      </c>
      <c r="C422" s="12"/>
      <c r="D422" s="104">
        <v>610000004315</v>
      </c>
      <c r="E422" s="104">
        <v>346022</v>
      </c>
      <c r="F422" s="104">
        <f>VLOOKUP(E422,'[1]Task list &amp; Maintenace plan'!$B:$G,6,FALSE)</f>
        <v>100749</v>
      </c>
      <c r="G422" s="105" t="s">
        <v>678</v>
      </c>
      <c r="H422" s="106" t="s">
        <v>667</v>
      </c>
      <c r="I422" s="106" t="s">
        <v>683</v>
      </c>
      <c r="J422" s="105">
        <v>60</v>
      </c>
      <c r="K422" s="105">
        <v>1</v>
      </c>
      <c r="L422" s="105"/>
      <c r="M422" s="705"/>
      <c r="N422" s="705"/>
      <c r="O422" s="705"/>
      <c r="P422" s="708"/>
    </row>
    <row r="423" spans="1:16" x14ac:dyDescent="0.25">
      <c r="A423" t="s">
        <v>180</v>
      </c>
      <c r="B423" s="11" t="s">
        <v>657</v>
      </c>
      <c r="C423" s="12"/>
      <c r="D423" s="104">
        <v>610000004315</v>
      </c>
      <c r="E423" s="104">
        <v>346022</v>
      </c>
      <c r="F423" s="104">
        <f>VLOOKUP(E423,'[1]Task list &amp; Maintenace plan'!$B:$G,6,FALSE)</f>
        <v>100749</v>
      </c>
      <c r="G423" s="105" t="s">
        <v>678</v>
      </c>
      <c r="H423" s="106" t="s">
        <v>669</v>
      </c>
      <c r="I423" s="106" t="s">
        <v>684</v>
      </c>
      <c r="J423" s="105">
        <v>60</v>
      </c>
      <c r="K423" s="105">
        <v>1</v>
      </c>
      <c r="L423" s="105"/>
      <c r="M423" s="705"/>
      <c r="N423" s="705"/>
      <c r="O423" s="705"/>
      <c r="P423" s="708"/>
    </row>
    <row r="424" spans="1:16" x14ac:dyDescent="0.25">
      <c r="A424" t="s">
        <v>180</v>
      </c>
      <c r="B424" s="11" t="s">
        <v>657</v>
      </c>
      <c r="C424" s="12"/>
      <c r="D424" s="104">
        <v>610000004315</v>
      </c>
      <c r="E424" s="104">
        <v>346022</v>
      </c>
      <c r="F424" s="104">
        <f>VLOOKUP(E424,'[1]Task list &amp; Maintenace plan'!$B:$G,6,FALSE)</f>
        <v>100749</v>
      </c>
      <c r="G424" s="105" t="s">
        <v>678</v>
      </c>
      <c r="H424" s="106" t="s">
        <v>395</v>
      </c>
      <c r="I424" s="106" t="s">
        <v>411</v>
      </c>
      <c r="J424" s="105">
        <v>60</v>
      </c>
      <c r="K424" s="105">
        <v>1</v>
      </c>
      <c r="L424" s="105"/>
      <c r="M424" s="705"/>
      <c r="N424" s="705"/>
      <c r="O424" s="705"/>
      <c r="P424" s="708"/>
    </row>
    <row r="425" spans="1:16" ht="15.75" thickBot="1" x14ac:dyDescent="0.3">
      <c r="A425" t="s">
        <v>180</v>
      </c>
      <c r="B425" s="11" t="s">
        <v>657</v>
      </c>
      <c r="C425" s="27"/>
      <c r="D425" s="147">
        <v>610000004315</v>
      </c>
      <c r="E425" s="147">
        <v>346022</v>
      </c>
      <c r="F425" s="147">
        <f>VLOOKUP(E425,'[1]Task list &amp; Maintenace plan'!$B:$G,6,FALSE)</f>
        <v>100749</v>
      </c>
      <c r="G425" s="148" t="s">
        <v>678</v>
      </c>
      <c r="H425" s="149" t="s">
        <v>397</v>
      </c>
      <c r="I425" s="149" t="s">
        <v>412</v>
      </c>
      <c r="J425" s="148">
        <v>60</v>
      </c>
      <c r="K425" s="148">
        <v>1</v>
      </c>
      <c r="L425" s="148"/>
      <c r="M425" s="714"/>
      <c r="N425" s="714"/>
      <c r="O425" s="714"/>
      <c r="P425" s="715"/>
    </row>
    <row r="426" spans="1:16" x14ac:dyDescent="0.25">
      <c r="A426" t="s">
        <v>180</v>
      </c>
      <c r="B426" s="11" t="s">
        <v>685</v>
      </c>
      <c r="C426" s="12"/>
      <c r="D426" s="36">
        <v>342270</v>
      </c>
      <c r="E426" s="36">
        <v>342270</v>
      </c>
      <c r="F426" s="36">
        <f>VLOOKUP(E426,'[1]Task list &amp; Maintenace plan'!$B:$G,6,FALSE)</f>
        <v>455</v>
      </c>
      <c r="G426" s="45" t="s">
        <v>686</v>
      </c>
      <c r="H426" s="46" t="s">
        <v>687</v>
      </c>
      <c r="I426" s="46" t="s">
        <v>688</v>
      </c>
      <c r="J426" s="45">
        <v>15</v>
      </c>
      <c r="K426" s="45">
        <v>1</v>
      </c>
      <c r="L426" s="45"/>
      <c r="M426" s="45">
        <v>90</v>
      </c>
      <c r="N426" s="45">
        <v>1</v>
      </c>
      <c r="O426" s="45">
        <v>90</v>
      </c>
      <c r="P426" s="49" t="s">
        <v>34</v>
      </c>
    </row>
    <row r="427" spans="1:16" x14ac:dyDescent="0.25">
      <c r="A427" t="s">
        <v>180</v>
      </c>
      <c r="B427" s="11" t="s">
        <v>685</v>
      </c>
      <c r="C427" s="12"/>
      <c r="D427" s="123">
        <v>610000004318</v>
      </c>
      <c r="E427" s="123">
        <v>345970</v>
      </c>
      <c r="F427" s="123">
        <f>VLOOKUP(E427,'[1]Task list &amp; Maintenace plan'!$B:$G,6,FALSE)</f>
        <v>100752</v>
      </c>
      <c r="G427" s="124" t="s">
        <v>690</v>
      </c>
      <c r="H427" s="107" t="s">
        <v>419</v>
      </c>
      <c r="I427" s="107" t="s">
        <v>420</v>
      </c>
      <c r="J427" s="124">
        <v>15</v>
      </c>
      <c r="K427" s="124"/>
      <c r="L427" s="124">
        <v>1</v>
      </c>
      <c r="M427" s="124">
        <v>2</v>
      </c>
      <c r="N427" s="124">
        <v>1</v>
      </c>
      <c r="O427" s="124">
        <f>N427*M427</f>
        <v>2</v>
      </c>
      <c r="P427" s="207" t="s">
        <v>20</v>
      </c>
    </row>
    <row r="428" spans="1:16" x14ac:dyDescent="0.25">
      <c r="A428" t="s">
        <v>180</v>
      </c>
      <c r="B428" s="11" t="s">
        <v>685</v>
      </c>
      <c r="C428" s="12"/>
      <c r="D428" s="156">
        <v>610000004319</v>
      </c>
      <c r="E428" s="156">
        <v>346023</v>
      </c>
      <c r="F428" s="156">
        <f>VLOOKUP(E428,'[1]Task list &amp; Maintenace plan'!$B:$G,6,FALSE)</f>
        <v>100753</v>
      </c>
      <c r="G428" s="157" t="s">
        <v>691</v>
      </c>
      <c r="H428" s="158" t="s">
        <v>687</v>
      </c>
      <c r="I428" s="158" t="s">
        <v>692</v>
      </c>
      <c r="J428" s="157">
        <v>30</v>
      </c>
      <c r="K428" s="157"/>
      <c r="L428" s="157">
        <v>1</v>
      </c>
      <c r="M428" s="157">
        <v>30</v>
      </c>
      <c r="N428" s="157">
        <v>1</v>
      </c>
      <c r="O428" s="157">
        <f>N428*M428</f>
        <v>30</v>
      </c>
      <c r="P428" s="159" t="s">
        <v>20</v>
      </c>
    </row>
    <row r="429" spans="1:16" x14ac:dyDescent="0.25">
      <c r="A429" t="s">
        <v>180</v>
      </c>
      <c r="B429" s="11" t="s">
        <v>685</v>
      </c>
      <c r="C429" s="12"/>
      <c r="D429" s="100">
        <v>610000004320</v>
      </c>
      <c r="E429" s="100">
        <v>346024</v>
      </c>
      <c r="F429" s="100">
        <f>VLOOKUP(E429,'[1]Task list &amp; Maintenace plan'!$B:$G,6,FALSE)</f>
        <v>100754</v>
      </c>
      <c r="G429" s="101" t="s">
        <v>693</v>
      </c>
      <c r="H429" s="102" t="s">
        <v>414</v>
      </c>
      <c r="I429" s="102" t="s">
        <v>425</v>
      </c>
      <c r="J429" s="101">
        <v>30</v>
      </c>
      <c r="K429" s="101">
        <v>1</v>
      </c>
      <c r="L429" s="101"/>
      <c r="M429" s="710">
        <v>50</v>
      </c>
      <c r="N429" s="710">
        <v>1</v>
      </c>
      <c r="O429" s="710">
        <f>N429*M429</f>
        <v>50</v>
      </c>
      <c r="P429" s="712" t="s">
        <v>20</v>
      </c>
    </row>
    <row r="430" spans="1:16" x14ac:dyDescent="0.25">
      <c r="A430" t="s">
        <v>180</v>
      </c>
      <c r="B430" s="11" t="s">
        <v>685</v>
      </c>
      <c r="C430" s="12"/>
      <c r="D430" s="100">
        <v>610000004320</v>
      </c>
      <c r="E430" s="100">
        <v>346024</v>
      </c>
      <c r="F430" s="100">
        <f>VLOOKUP(E430,'[1]Task list &amp; Maintenace plan'!$B:$G,6,FALSE)</f>
        <v>100754</v>
      </c>
      <c r="G430" s="101" t="s">
        <v>693</v>
      </c>
      <c r="H430" s="107" t="s">
        <v>689</v>
      </c>
      <c r="I430" s="107" t="s">
        <v>694</v>
      </c>
      <c r="J430" s="124">
        <v>30</v>
      </c>
      <c r="K430" s="124">
        <v>1</v>
      </c>
      <c r="L430" s="124"/>
      <c r="M430" s="705"/>
      <c r="N430" s="705"/>
      <c r="O430" s="705"/>
      <c r="P430" s="708"/>
    </row>
    <row r="431" spans="1:16" x14ac:dyDescent="0.25">
      <c r="A431" t="s">
        <v>180</v>
      </c>
      <c r="B431" s="11" t="s">
        <v>685</v>
      </c>
      <c r="C431" s="12"/>
      <c r="D431" s="100">
        <v>610000004320</v>
      </c>
      <c r="E431" s="100">
        <v>346024</v>
      </c>
      <c r="F431" s="100">
        <f>VLOOKUP(E431,'[1]Task list &amp; Maintenace plan'!$B:$G,6,FALSE)</f>
        <v>100754</v>
      </c>
      <c r="G431" s="101" t="s">
        <v>693</v>
      </c>
      <c r="H431" s="107" t="s">
        <v>417</v>
      </c>
      <c r="I431" s="107" t="s">
        <v>427</v>
      </c>
      <c r="J431" s="124">
        <v>30</v>
      </c>
      <c r="K431" s="124">
        <v>1</v>
      </c>
      <c r="L431" s="124"/>
      <c r="M431" s="705"/>
      <c r="N431" s="705"/>
      <c r="O431" s="705"/>
      <c r="P431" s="708"/>
    </row>
    <row r="432" spans="1:16" x14ac:dyDescent="0.25">
      <c r="A432" t="s">
        <v>180</v>
      </c>
      <c r="B432" s="11" t="s">
        <v>685</v>
      </c>
      <c r="C432" s="12"/>
      <c r="D432" s="100">
        <v>610000004320</v>
      </c>
      <c r="E432" s="100">
        <v>346024</v>
      </c>
      <c r="F432" s="100">
        <f>VLOOKUP(E432,'[1]Task list &amp; Maintenace plan'!$B:$G,6,FALSE)</f>
        <v>100754</v>
      </c>
      <c r="G432" s="101" t="s">
        <v>693</v>
      </c>
      <c r="H432" s="107" t="s">
        <v>419</v>
      </c>
      <c r="I432" s="107" t="s">
        <v>428</v>
      </c>
      <c r="J432" s="124">
        <v>30</v>
      </c>
      <c r="K432" s="124">
        <v>1</v>
      </c>
      <c r="L432" s="124"/>
      <c r="M432" s="705"/>
      <c r="N432" s="705"/>
      <c r="O432" s="705"/>
      <c r="P432" s="708"/>
    </row>
    <row r="433" spans="1:16" x14ac:dyDescent="0.25">
      <c r="A433" t="s">
        <v>180</v>
      </c>
      <c r="B433" s="11" t="s">
        <v>685</v>
      </c>
      <c r="C433" s="12"/>
      <c r="D433" s="100">
        <v>610000004320</v>
      </c>
      <c r="E433" s="100">
        <v>346024</v>
      </c>
      <c r="F433" s="100">
        <f>VLOOKUP(E433,'[1]Task list &amp; Maintenace plan'!$B:$G,6,FALSE)</f>
        <v>100754</v>
      </c>
      <c r="G433" s="101" t="s">
        <v>693</v>
      </c>
      <c r="H433" s="107" t="s">
        <v>426</v>
      </c>
      <c r="I433" s="107" t="s">
        <v>430</v>
      </c>
      <c r="J433" s="124">
        <v>30</v>
      </c>
      <c r="K433" s="124">
        <v>1</v>
      </c>
      <c r="L433" s="124"/>
      <c r="M433" s="705"/>
      <c r="N433" s="705"/>
      <c r="O433" s="705"/>
      <c r="P433" s="708"/>
    </row>
    <row r="434" spans="1:16" x14ac:dyDescent="0.25">
      <c r="A434" t="s">
        <v>180</v>
      </c>
      <c r="B434" s="11" t="s">
        <v>685</v>
      </c>
      <c r="C434" s="12"/>
      <c r="D434" s="100">
        <v>610000004320</v>
      </c>
      <c r="E434" s="100">
        <v>346024</v>
      </c>
      <c r="F434" s="100">
        <f>VLOOKUP(E434,'[1]Task list &amp; Maintenace plan'!$B:$G,6,FALSE)</f>
        <v>100754</v>
      </c>
      <c r="G434" s="101" t="s">
        <v>693</v>
      </c>
      <c r="H434" s="107" t="s">
        <v>695</v>
      </c>
      <c r="I434" s="107" t="s">
        <v>697</v>
      </c>
      <c r="J434" s="124">
        <v>30</v>
      </c>
      <c r="K434" s="124">
        <v>1</v>
      </c>
      <c r="L434" s="124"/>
      <c r="M434" s="705"/>
      <c r="N434" s="705"/>
      <c r="O434" s="705"/>
      <c r="P434" s="708"/>
    </row>
    <row r="435" spans="1:16" x14ac:dyDescent="0.25">
      <c r="A435" t="s">
        <v>180</v>
      </c>
      <c r="B435" s="11" t="s">
        <v>685</v>
      </c>
      <c r="C435" s="177"/>
      <c r="D435" s="100">
        <v>610000004320</v>
      </c>
      <c r="E435" s="100">
        <v>346024</v>
      </c>
      <c r="F435" s="100">
        <f>VLOOKUP(E435,'[1]Task list &amp; Maintenace plan'!$B:$G,6,FALSE)</f>
        <v>100754</v>
      </c>
      <c r="G435" s="101" t="s">
        <v>693</v>
      </c>
      <c r="H435" s="107" t="s">
        <v>696</v>
      </c>
      <c r="I435" s="107" t="s">
        <v>698</v>
      </c>
      <c r="J435" s="124">
        <v>30</v>
      </c>
      <c r="K435" s="124">
        <v>1</v>
      </c>
      <c r="L435" s="124"/>
      <c r="M435" s="705"/>
      <c r="N435" s="705"/>
      <c r="O435" s="705"/>
      <c r="P435" s="708"/>
    </row>
    <row r="436" spans="1:16" x14ac:dyDescent="0.25">
      <c r="A436" t="s">
        <v>180</v>
      </c>
      <c r="B436" s="11" t="s">
        <v>685</v>
      </c>
      <c r="C436" s="12"/>
      <c r="D436" s="100">
        <v>610000004320</v>
      </c>
      <c r="E436" s="100">
        <v>346024</v>
      </c>
      <c r="F436" s="100">
        <f>VLOOKUP(E436,'[1]Task list &amp; Maintenace plan'!$B:$G,6,FALSE)</f>
        <v>100754</v>
      </c>
      <c r="G436" s="101" t="s">
        <v>693</v>
      </c>
      <c r="H436" s="107" t="s">
        <v>687</v>
      </c>
      <c r="I436" s="107" t="s">
        <v>699</v>
      </c>
      <c r="J436" s="124">
        <v>30</v>
      </c>
      <c r="K436" s="124">
        <v>1</v>
      </c>
      <c r="L436" s="124"/>
      <c r="M436" s="705"/>
      <c r="N436" s="705"/>
      <c r="O436" s="705"/>
      <c r="P436" s="708"/>
    </row>
    <row r="437" spans="1:16" x14ac:dyDescent="0.25">
      <c r="A437" t="s">
        <v>180</v>
      </c>
      <c r="B437" s="11" t="s">
        <v>685</v>
      </c>
      <c r="C437" s="12"/>
      <c r="D437" s="100">
        <v>610000004320</v>
      </c>
      <c r="E437" s="100">
        <v>346024</v>
      </c>
      <c r="F437" s="100">
        <f>VLOOKUP(E437,'[1]Task list &amp; Maintenace plan'!$B:$G,6,FALSE)</f>
        <v>100754</v>
      </c>
      <c r="G437" s="101" t="s">
        <v>693</v>
      </c>
      <c r="H437" s="107" t="s">
        <v>414</v>
      </c>
      <c r="I437" s="107" t="s">
        <v>432</v>
      </c>
      <c r="J437" s="124">
        <v>30</v>
      </c>
      <c r="K437" s="124">
        <v>1</v>
      </c>
      <c r="L437" s="124"/>
      <c r="M437" s="705"/>
      <c r="N437" s="705"/>
      <c r="O437" s="705"/>
      <c r="P437" s="708"/>
    </row>
    <row r="438" spans="1:16" x14ac:dyDescent="0.25">
      <c r="A438" t="s">
        <v>180</v>
      </c>
      <c r="B438" s="11" t="s">
        <v>685</v>
      </c>
      <c r="C438" s="12"/>
      <c r="D438" s="100">
        <v>610000004320</v>
      </c>
      <c r="E438" s="100">
        <v>346024</v>
      </c>
      <c r="F438" s="100">
        <f>VLOOKUP(E438,'[1]Task list &amp; Maintenace plan'!$B:$G,6,FALSE)</f>
        <v>100754</v>
      </c>
      <c r="G438" s="101" t="s">
        <v>693</v>
      </c>
      <c r="H438" s="107" t="s">
        <v>689</v>
      </c>
      <c r="I438" s="107" t="s">
        <v>700</v>
      </c>
      <c r="J438" s="124">
        <v>30</v>
      </c>
      <c r="K438" s="124">
        <v>1</v>
      </c>
      <c r="L438" s="124"/>
      <c r="M438" s="705"/>
      <c r="N438" s="705"/>
      <c r="O438" s="705"/>
      <c r="P438" s="708"/>
    </row>
    <row r="439" spans="1:16" x14ac:dyDescent="0.25">
      <c r="A439" t="s">
        <v>180</v>
      </c>
      <c r="B439" s="11" t="s">
        <v>685</v>
      </c>
      <c r="C439" s="12"/>
      <c r="D439" s="100">
        <v>610000004320</v>
      </c>
      <c r="E439" s="100">
        <v>346024</v>
      </c>
      <c r="F439" s="100">
        <f>VLOOKUP(E439,'[1]Task list &amp; Maintenace plan'!$B:$G,6,FALSE)</f>
        <v>100754</v>
      </c>
      <c r="G439" s="101" t="s">
        <v>693</v>
      </c>
      <c r="H439" s="107" t="s">
        <v>417</v>
      </c>
      <c r="I439" s="107" t="s">
        <v>433</v>
      </c>
      <c r="J439" s="124">
        <v>30</v>
      </c>
      <c r="K439" s="124">
        <v>1</v>
      </c>
      <c r="L439" s="124"/>
      <c r="M439" s="705"/>
      <c r="N439" s="705"/>
      <c r="O439" s="705"/>
      <c r="P439" s="708"/>
    </row>
    <row r="440" spans="1:16" x14ac:dyDescent="0.25">
      <c r="A440" t="s">
        <v>180</v>
      </c>
      <c r="B440" s="11" t="s">
        <v>685</v>
      </c>
      <c r="C440" s="12"/>
      <c r="D440" s="100">
        <v>610000004320</v>
      </c>
      <c r="E440" s="100">
        <v>346024</v>
      </c>
      <c r="F440" s="100">
        <f>VLOOKUP(E440,'[1]Task list &amp; Maintenace plan'!$B:$G,6,FALSE)</f>
        <v>100754</v>
      </c>
      <c r="G440" s="101" t="s">
        <v>693</v>
      </c>
      <c r="H440" s="107" t="s">
        <v>419</v>
      </c>
      <c r="I440" s="107" t="s">
        <v>434</v>
      </c>
      <c r="J440" s="124">
        <v>30</v>
      </c>
      <c r="K440" s="124">
        <v>1</v>
      </c>
      <c r="L440" s="124"/>
      <c r="M440" s="705"/>
      <c r="N440" s="705"/>
      <c r="O440" s="705"/>
      <c r="P440" s="708"/>
    </row>
    <row r="441" spans="1:16" x14ac:dyDescent="0.25">
      <c r="A441" t="s">
        <v>180</v>
      </c>
      <c r="B441" s="11" t="s">
        <v>685</v>
      </c>
      <c r="C441" s="12"/>
      <c r="D441" s="100">
        <v>610000004320</v>
      </c>
      <c r="E441" s="100">
        <v>346024</v>
      </c>
      <c r="F441" s="100">
        <f>VLOOKUP(E441,'[1]Task list &amp; Maintenace plan'!$B:$G,6,FALSE)</f>
        <v>100754</v>
      </c>
      <c r="G441" s="101" t="s">
        <v>693</v>
      </c>
      <c r="H441" s="107" t="s">
        <v>426</v>
      </c>
      <c r="I441" s="107" t="s">
        <v>435</v>
      </c>
      <c r="J441" s="124">
        <v>30</v>
      </c>
      <c r="K441" s="124">
        <v>1</v>
      </c>
      <c r="L441" s="124"/>
      <c r="M441" s="705"/>
      <c r="N441" s="705"/>
      <c r="O441" s="705"/>
      <c r="P441" s="708"/>
    </row>
    <row r="442" spans="1:16" x14ac:dyDescent="0.25">
      <c r="A442" t="s">
        <v>180</v>
      </c>
      <c r="B442" s="11" t="s">
        <v>685</v>
      </c>
      <c r="C442" s="12"/>
      <c r="D442" s="100">
        <v>610000004320</v>
      </c>
      <c r="E442" s="100">
        <v>346024</v>
      </c>
      <c r="F442" s="100">
        <f>VLOOKUP(E442,'[1]Task list &amp; Maintenace plan'!$B:$G,6,FALSE)</f>
        <v>100754</v>
      </c>
      <c r="G442" s="101" t="s">
        <v>693</v>
      </c>
      <c r="H442" s="107" t="s">
        <v>695</v>
      </c>
      <c r="I442" s="107" t="s">
        <v>701</v>
      </c>
      <c r="J442" s="124">
        <v>30</v>
      </c>
      <c r="K442" s="124">
        <v>1</v>
      </c>
      <c r="L442" s="124"/>
      <c r="M442" s="705"/>
      <c r="N442" s="705"/>
      <c r="O442" s="705"/>
      <c r="P442" s="708"/>
    </row>
    <row r="443" spans="1:16" x14ac:dyDescent="0.25">
      <c r="A443" t="s">
        <v>180</v>
      </c>
      <c r="B443" s="11" t="s">
        <v>685</v>
      </c>
      <c r="C443" s="12"/>
      <c r="D443" s="100">
        <v>610000004320</v>
      </c>
      <c r="E443" s="100">
        <v>346024</v>
      </c>
      <c r="F443" s="100">
        <f>VLOOKUP(E443,'[1]Task list &amp; Maintenace plan'!$B:$G,6,FALSE)</f>
        <v>100754</v>
      </c>
      <c r="G443" s="101" t="s">
        <v>693</v>
      </c>
      <c r="H443" s="107" t="s">
        <v>696</v>
      </c>
      <c r="I443" s="107" t="s">
        <v>702</v>
      </c>
      <c r="J443" s="124">
        <v>30</v>
      </c>
      <c r="K443" s="124">
        <v>1</v>
      </c>
      <c r="L443" s="124"/>
      <c r="M443" s="705"/>
      <c r="N443" s="705"/>
      <c r="O443" s="705"/>
      <c r="P443" s="708"/>
    </row>
    <row r="444" spans="1:16" x14ac:dyDescent="0.25">
      <c r="A444" t="s">
        <v>180</v>
      </c>
      <c r="B444" s="11" t="s">
        <v>685</v>
      </c>
      <c r="C444" s="12"/>
      <c r="D444" s="103">
        <v>610000004320</v>
      </c>
      <c r="E444" s="103">
        <v>346024</v>
      </c>
      <c r="F444" s="103">
        <f>VLOOKUP(E444,'[1]Task list &amp; Maintenace plan'!$B:$G,6,FALSE)</f>
        <v>100754</v>
      </c>
      <c r="G444" s="85" t="s">
        <v>693</v>
      </c>
      <c r="H444" s="84" t="s">
        <v>687</v>
      </c>
      <c r="I444" s="84" t="s">
        <v>703</v>
      </c>
      <c r="J444" s="85">
        <v>30</v>
      </c>
      <c r="K444" s="85">
        <v>1</v>
      </c>
      <c r="L444" s="85"/>
      <c r="M444" s="706"/>
      <c r="N444" s="706"/>
      <c r="O444" s="706"/>
      <c r="P444" s="709"/>
    </row>
    <row r="445" spans="1:16" x14ac:dyDescent="0.25">
      <c r="A445" t="s">
        <v>180</v>
      </c>
      <c r="B445" s="11" t="s">
        <v>685</v>
      </c>
      <c r="C445" s="12"/>
      <c r="D445" s="117">
        <v>610000004321</v>
      </c>
      <c r="E445" s="117">
        <v>346025</v>
      </c>
      <c r="F445" s="117">
        <f>VLOOKUP(E445,'[1]Task list &amp; Maintenace plan'!$B:$G,6,FALSE)</f>
        <v>100755</v>
      </c>
      <c r="G445" s="118" t="s">
        <v>704</v>
      </c>
      <c r="H445" s="119" t="s">
        <v>414</v>
      </c>
      <c r="I445" s="119" t="s">
        <v>438</v>
      </c>
      <c r="J445" s="118">
        <v>60</v>
      </c>
      <c r="K445" s="118">
        <v>1</v>
      </c>
      <c r="L445" s="118"/>
      <c r="M445" s="710">
        <v>90</v>
      </c>
      <c r="N445" s="710">
        <v>1</v>
      </c>
      <c r="O445" s="710">
        <f>N445*M445</f>
        <v>90</v>
      </c>
      <c r="P445" s="712" t="s">
        <v>34</v>
      </c>
    </row>
    <row r="446" spans="1:16" x14ac:dyDescent="0.25">
      <c r="A446" t="s">
        <v>180</v>
      </c>
      <c r="B446" s="11" t="s">
        <v>685</v>
      </c>
      <c r="C446" s="12"/>
      <c r="D446" s="123">
        <v>610000004321</v>
      </c>
      <c r="E446" s="123">
        <v>346025</v>
      </c>
      <c r="F446" s="123">
        <f>VLOOKUP(E446,'[1]Task list &amp; Maintenace plan'!$B:$G,6,FALSE)</f>
        <v>100755</v>
      </c>
      <c r="G446" s="124" t="s">
        <v>704</v>
      </c>
      <c r="H446" s="107" t="s">
        <v>689</v>
      </c>
      <c r="I446" s="107" t="s">
        <v>705</v>
      </c>
      <c r="J446" s="124">
        <v>60</v>
      </c>
      <c r="K446" s="124">
        <v>1</v>
      </c>
      <c r="L446" s="124"/>
      <c r="M446" s="705"/>
      <c r="N446" s="705"/>
      <c r="O446" s="705"/>
      <c r="P446" s="708"/>
    </row>
    <row r="447" spans="1:16" x14ac:dyDescent="0.25">
      <c r="A447" t="s">
        <v>180</v>
      </c>
      <c r="B447" s="11" t="s">
        <v>685</v>
      </c>
      <c r="C447" s="12"/>
      <c r="D447" s="123">
        <v>610000004321</v>
      </c>
      <c r="E447" s="123">
        <v>346025</v>
      </c>
      <c r="F447" s="123">
        <f>VLOOKUP(E447,'[1]Task list &amp; Maintenace plan'!$B:$G,6,FALSE)</f>
        <v>100755</v>
      </c>
      <c r="G447" s="124" t="s">
        <v>704</v>
      </c>
      <c r="H447" s="107" t="s">
        <v>417</v>
      </c>
      <c r="I447" s="107" t="s">
        <v>439</v>
      </c>
      <c r="J447" s="124">
        <v>60</v>
      </c>
      <c r="K447" s="124">
        <v>1</v>
      </c>
      <c r="L447" s="124"/>
      <c r="M447" s="705"/>
      <c r="N447" s="705"/>
      <c r="O447" s="705"/>
      <c r="P447" s="708"/>
    </row>
    <row r="448" spans="1:16" x14ac:dyDescent="0.25">
      <c r="A448" t="s">
        <v>180</v>
      </c>
      <c r="B448" s="11" t="s">
        <v>685</v>
      </c>
      <c r="C448" s="12"/>
      <c r="D448" s="123">
        <v>610000004321</v>
      </c>
      <c r="E448" s="123">
        <v>346025</v>
      </c>
      <c r="F448" s="123">
        <f>VLOOKUP(E448,'[1]Task list &amp; Maintenace plan'!$B:$G,6,FALSE)</f>
        <v>100755</v>
      </c>
      <c r="G448" s="124" t="s">
        <v>704</v>
      </c>
      <c r="H448" s="107" t="s">
        <v>419</v>
      </c>
      <c r="I448" s="107" t="s">
        <v>440</v>
      </c>
      <c r="J448" s="124">
        <v>60</v>
      </c>
      <c r="K448" s="124">
        <v>1</v>
      </c>
      <c r="L448" s="124"/>
      <c r="M448" s="705"/>
      <c r="N448" s="705"/>
      <c r="O448" s="705"/>
      <c r="P448" s="708"/>
    </row>
    <row r="449" spans="1:16" x14ac:dyDescent="0.25">
      <c r="A449" t="s">
        <v>180</v>
      </c>
      <c r="B449" s="11" t="s">
        <v>685</v>
      </c>
      <c r="C449" s="12"/>
      <c r="D449" s="123">
        <v>610000004321</v>
      </c>
      <c r="E449" s="123">
        <v>346025</v>
      </c>
      <c r="F449" s="123">
        <f>VLOOKUP(E449,'[1]Task list &amp; Maintenace plan'!$B:$G,6,FALSE)</f>
        <v>100755</v>
      </c>
      <c r="G449" s="124" t="s">
        <v>704</v>
      </c>
      <c r="H449" s="107" t="s">
        <v>426</v>
      </c>
      <c r="I449" s="107" t="s">
        <v>441</v>
      </c>
      <c r="J449" s="124">
        <v>60</v>
      </c>
      <c r="K449" s="124">
        <v>1</v>
      </c>
      <c r="L449" s="124"/>
      <c r="M449" s="705"/>
      <c r="N449" s="705"/>
      <c r="O449" s="705"/>
      <c r="P449" s="708"/>
    </row>
    <row r="450" spans="1:16" x14ac:dyDescent="0.25">
      <c r="A450" t="s">
        <v>180</v>
      </c>
      <c r="B450" s="11" t="s">
        <v>685</v>
      </c>
      <c r="C450" s="12"/>
      <c r="D450" s="123">
        <v>610000004321</v>
      </c>
      <c r="E450" s="123">
        <v>346025</v>
      </c>
      <c r="F450" s="123">
        <f>VLOOKUP(E450,'[1]Task list &amp; Maintenace plan'!$B:$G,6,FALSE)</f>
        <v>100755</v>
      </c>
      <c r="G450" s="124" t="s">
        <v>704</v>
      </c>
      <c r="H450" s="107" t="s">
        <v>695</v>
      </c>
      <c r="I450" s="107" t="s">
        <v>706</v>
      </c>
      <c r="J450" s="124">
        <v>60</v>
      </c>
      <c r="K450" s="124">
        <v>1</v>
      </c>
      <c r="L450" s="124"/>
      <c r="M450" s="705"/>
      <c r="N450" s="705"/>
      <c r="O450" s="705"/>
      <c r="P450" s="708"/>
    </row>
    <row r="451" spans="1:16" x14ac:dyDescent="0.25">
      <c r="A451" t="s">
        <v>180</v>
      </c>
      <c r="B451" s="11" t="s">
        <v>685</v>
      </c>
      <c r="C451" s="12"/>
      <c r="D451" s="123">
        <v>610000004321</v>
      </c>
      <c r="E451" s="123">
        <v>346025</v>
      </c>
      <c r="F451" s="123">
        <f>VLOOKUP(E451,'[1]Task list &amp; Maintenace plan'!$B:$G,6,FALSE)</f>
        <v>100755</v>
      </c>
      <c r="G451" s="124" t="s">
        <v>704</v>
      </c>
      <c r="H451" s="107" t="s">
        <v>696</v>
      </c>
      <c r="I451" s="107" t="s">
        <v>707</v>
      </c>
      <c r="J451" s="124">
        <v>60</v>
      </c>
      <c r="K451" s="124">
        <v>1</v>
      </c>
      <c r="L451" s="124"/>
      <c r="M451" s="705"/>
      <c r="N451" s="705"/>
      <c r="O451" s="705"/>
      <c r="P451" s="708"/>
    </row>
    <row r="452" spans="1:16" x14ac:dyDescent="0.25">
      <c r="A452" t="s">
        <v>180</v>
      </c>
      <c r="B452" s="11" t="s">
        <v>685</v>
      </c>
      <c r="C452" s="12"/>
      <c r="D452" s="103">
        <v>610000004321</v>
      </c>
      <c r="E452" s="103">
        <v>346025</v>
      </c>
      <c r="F452" s="103">
        <f>VLOOKUP(E452,'[1]Task list &amp; Maintenace plan'!$B:$G,6,FALSE)</f>
        <v>100755</v>
      </c>
      <c r="G452" s="85" t="s">
        <v>704</v>
      </c>
      <c r="H452" s="84" t="s">
        <v>687</v>
      </c>
      <c r="I452" s="84" t="s">
        <v>708</v>
      </c>
      <c r="J452" s="85">
        <v>60</v>
      </c>
      <c r="K452" s="85">
        <v>1</v>
      </c>
      <c r="L452" s="85"/>
      <c r="M452" s="706"/>
      <c r="N452" s="706"/>
      <c r="O452" s="706"/>
      <c r="P452" s="709"/>
    </row>
    <row r="453" spans="1:16" x14ac:dyDescent="0.25">
      <c r="A453" t="s">
        <v>180</v>
      </c>
      <c r="B453" s="11" t="s">
        <v>685</v>
      </c>
      <c r="C453" s="12"/>
      <c r="D453" s="36">
        <v>342512</v>
      </c>
      <c r="E453" s="36">
        <v>342512</v>
      </c>
      <c r="F453" s="36">
        <f>VLOOKUP(E453,'[1]Task list &amp; Maintenace plan'!$B:$G,6,FALSE)</f>
        <v>556</v>
      </c>
      <c r="G453" s="45" t="s">
        <v>709</v>
      </c>
      <c r="H453" s="8" t="s">
        <v>687</v>
      </c>
      <c r="I453" s="46" t="s">
        <v>710</v>
      </c>
      <c r="J453" s="45">
        <v>180</v>
      </c>
      <c r="K453" s="45">
        <v>1</v>
      </c>
      <c r="L453" s="45"/>
      <c r="M453" s="45">
        <v>30</v>
      </c>
      <c r="N453" s="45">
        <v>1</v>
      </c>
      <c r="O453" s="45">
        <f>N453*M453</f>
        <v>30</v>
      </c>
      <c r="P453" s="49" t="s">
        <v>468</v>
      </c>
    </row>
    <row r="454" spans="1:16" x14ac:dyDescent="0.25">
      <c r="A454" t="s">
        <v>180</v>
      </c>
      <c r="B454" s="11" t="s">
        <v>685</v>
      </c>
      <c r="C454" s="12"/>
      <c r="D454" s="156">
        <v>342284</v>
      </c>
      <c r="E454" s="156">
        <v>342284</v>
      </c>
      <c r="F454" s="156">
        <f>VLOOKUP(E454,'[1]Task list &amp; Maintenace plan'!$B:$G,6,FALSE)</f>
        <v>469</v>
      </c>
      <c r="G454" s="157" t="s">
        <v>711</v>
      </c>
      <c r="H454" s="158" t="s">
        <v>687</v>
      </c>
      <c r="I454" s="158" t="s">
        <v>446</v>
      </c>
      <c r="J454" s="157">
        <v>180</v>
      </c>
      <c r="K454" s="157">
        <v>1</v>
      </c>
      <c r="L454" s="157"/>
      <c r="M454" s="157">
        <v>10</v>
      </c>
      <c r="N454" s="157">
        <v>1</v>
      </c>
      <c r="O454" s="157">
        <f>N454*M454</f>
        <v>10</v>
      </c>
      <c r="P454" s="159" t="s">
        <v>34</v>
      </c>
    </row>
    <row r="455" spans="1:16" x14ac:dyDescent="0.25">
      <c r="A455" t="s">
        <v>180</v>
      </c>
      <c r="B455" s="11" t="s">
        <v>685</v>
      </c>
      <c r="C455" s="12"/>
      <c r="D455" s="209"/>
      <c r="E455" s="209">
        <v>342853</v>
      </c>
      <c r="F455" s="209">
        <v>100757</v>
      </c>
      <c r="G455" s="210" t="s">
        <v>712</v>
      </c>
      <c r="H455" s="211" t="s">
        <v>429</v>
      </c>
      <c r="I455" s="211" t="s">
        <v>448</v>
      </c>
      <c r="J455" s="210">
        <v>365</v>
      </c>
      <c r="K455" s="210">
        <v>1</v>
      </c>
      <c r="L455" s="210"/>
      <c r="M455" s="210">
        <v>60</v>
      </c>
      <c r="N455" s="210">
        <v>1</v>
      </c>
      <c r="O455" s="210">
        <v>60</v>
      </c>
      <c r="P455" s="212" t="s">
        <v>117</v>
      </c>
    </row>
    <row r="456" spans="1:16" ht="15.75" thickBot="1" x14ac:dyDescent="0.3">
      <c r="A456" t="s">
        <v>180</v>
      </c>
      <c r="B456" s="11" t="s">
        <v>685</v>
      </c>
      <c r="C456" s="27"/>
      <c r="D456" s="167">
        <v>342853</v>
      </c>
      <c r="E456" s="167">
        <v>351958</v>
      </c>
      <c r="F456" s="167">
        <v>1431</v>
      </c>
      <c r="G456" s="168" t="s">
        <v>713</v>
      </c>
      <c r="H456" s="169" t="s">
        <v>429</v>
      </c>
      <c r="I456" s="169" t="s">
        <v>451</v>
      </c>
      <c r="J456" s="168">
        <v>365</v>
      </c>
      <c r="K456" s="168">
        <v>1</v>
      </c>
      <c r="L456" s="168"/>
      <c r="M456" s="168">
        <v>60</v>
      </c>
      <c r="N456" s="168">
        <v>1</v>
      </c>
      <c r="O456" s="168">
        <f>N456*M456</f>
        <v>60</v>
      </c>
      <c r="P456" s="170" t="s">
        <v>452</v>
      </c>
    </row>
    <row r="457" spans="1:16" x14ac:dyDescent="0.25">
      <c r="A457" t="s">
        <v>180</v>
      </c>
      <c r="B457" s="11" t="s">
        <v>714</v>
      </c>
      <c r="C457" s="12"/>
      <c r="D457" s="140">
        <v>610000004325</v>
      </c>
      <c r="E457" s="140">
        <v>346026</v>
      </c>
      <c r="F457" s="140">
        <f>VLOOKUP(E457,'[1]Task list &amp; Maintenace plan'!$B:$G,6,FALSE)</f>
        <v>100759</v>
      </c>
      <c r="G457" s="141" t="s">
        <v>716</v>
      </c>
      <c r="H457" s="142" t="s">
        <v>715</v>
      </c>
      <c r="I457" s="107" t="s">
        <v>717</v>
      </c>
      <c r="J457" s="141">
        <v>30</v>
      </c>
      <c r="K457" s="141">
        <v>1</v>
      </c>
      <c r="L457" s="141"/>
      <c r="M457" s="724">
        <v>60</v>
      </c>
      <c r="N457" s="724">
        <v>1</v>
      </c>
      <c r="O457" s="724">
        <f>N457*M457</f>
        <v>60</v>
      </c>
      <c r="P457" s="725" t="s">
        <v>20</v>
      </c>
    </row>
    <row r="458" spans="1:16" x14ac:dyDescent="0.25">
      <c r="A458" t="s">
        <v>180</v>
      </c>
      <c r="B458" s="11" t="s">
        <v>714</v>
      </c>
      <c r="C458" s="12"/>
      <c r="D458" s="104">
        <v>610000004325</v>
      </c>
      <c r="E458" s="104">
        <v>346026</v>
      </c>
      <c r="F458" s="104">
        <f>VLOOKUP(E458,'[1]Task list &amp; Maintenace plan'!$B:$G,6,FALSE)</f>
        <v>100759</v>
      </c>
      <c r="G458" s="105" t="s">
        <v>716</v>
      </c>
      <c r="H458" s="106" t="s">
        <v>718</v>
      </c>
      <c r="I458" s="106" t="s">
        <v>719</v>
      </c>
      <c r="J458" s="105">
        <v>30</v>
      </c>
      <c r="K458" s="105">
        <v>1</v>
      </c>
      <c r="L458" s="105"/>
      <c r="M458" s="705"/>
      <c r="N458" s="705"/>
      <c r="O458" s="705"/>
      <c r="P458" s="708"/>
    </row>
    <row r="459" spans="1:16" x14ac:dyDescent="0.25">
      <c r="A459" t="s">
        <v>180</v>
      </c>
      <c r="B459" s="11" t="s">
        <v>714</v>
      </c>
      <c r="C459" s="12"/>
      <c r="D459" s="104">
        <v>610000004325</v>
      </c>
      <c r="E459" s="104">
        <v>346026</v>
      </c>
      <c r="F459" s="104">
        <f>VLOOKUP(E459,'[1]Task list &amp; Maintenace plan'!$B:$G,6,FALSE)</f>
        <v>100759</v>
      </c>
      <c r="G459" s="105" t="s">
        <v>716</v>
      </c>
      <c r="H459" s="106" t="s">
        <v>487</v>
      </c>
      <c r="I459" s="106" t="s">
        <v>720</v>
      </c>
      <c r="J459" s="105">
        <v>30</v>
      </c>
      <c r="K459" s="105">
        <v>1</v>
      </c>
      <c r="L459" s="105"/>
      <c r="M459" s="705"/>
      <c r="N459" s="705"/>
      <c r="O459" s="705"/>
      <c r="P459" s="708"/>
    </row>
    <row r="460" spans="1:16" x14ac:dyDescent="0.25">
      <c r="A460" t="s">
        <v>180</v>
      </c>
      <c r="B460" s="11" t="s">
        <v>714</v>
      </c>
      <c r="C460" s="12"/>
      <c r="D460" s="104">
        <v>610000004325</v>
      </c>
      <c r="E460" s="104">
        <v>346026</v>
      </c>
      <c r="F460" s="104">
        <f>VLOOKUP(E460,'[1]Task list &amp; Maintenace plan'!$B:$G,6,FALSE)</f>
        <v>100759</v>
      </c>
      <c r="G460" s="105" t="s">
        <v>716</v>
      </c>
      <c r="H460" s="106" t="s">
        <v>721</v>
      </c>
      <c r="I460" s="106" t="s">
        <v>722</v>
      </c>
      <c r="J460" s="105">
        <v>30</v>
      </c>
      <c r="K460" s="105">
        <v>1</v>
      </c>
      <c r="L460" s="105"/>
      <c r="M460" s="705"/>
      <c r="N460" s="705"/>
      <c r="O460" s="705"/>
      <c r="P460" s="708"/>
    </row>
    <row r="461" spans="1:16" x14ac:dyDescent="0.25">
      <c r="A461" t="s">
        <v>180</v>
      </c>
      <c r="B461" s="11" t="s">
        <v>714</v>
      </c>
      <c r="C461" s="12"/>
      <c r="D461" s="104">
        <v>610000004325</v>
      </c>
      <c r="E461" s="104">
        <v>346026</v>
      </c>
      <c r="F461" s="104">
        <f>VLOOKUP(E461,'[1]Task list &amp; Maintenace plan'!$B:$G,6,FALSE)</f>
        <v>100759</v>
      </c>
      <c r="G461" s="105" t="s">
        <v>716</v>
      </c>
      <c r="H461" s="106" t="s">
        <v>723</v>
      </c>
      <c r="I461" s="106" t="s">
        <v>724</v>
      </c>
      <c r="J461" s="105">
        <v>30</v>
      </c>
      <c r="K461" s="105">
        <v>1</v>
      </c>
      <c r="L461" s="105"/>
      <c r="M461" s="705"/>
      <c r="N461" s="705"/>
      <c r="O461" s="705"/>
      <c r="P461" s="708"/>
    </row>
    <row r="462" spans="1:16" x14ac:dyDescent="0.25">
      <c r="A462" t="s">
        <v>180</v>
      </c>
      <c r="B462" s="11" t="s">
        <v>714</v>
      </c>
      <c r="C462" s="12"/>
      <c r="D462" s="104">
        <v>610000004325</v>
      </c>
      <c r="E462" s="104">
        <v>346026</v>
      </c>
      <c r="F462" s="104">
        <f>VLOOKUP(E462,'[1]Task list &amp; Maintenace plan'!$B:$G,6,FALSE)</f>
        <v>100759</v>
      </c>
      <c r="G462" s="105" t="s">
        <v>716</v>
      </c>
      <c r="H462" s="106" t="s">
        <v>725</v>
      </c>
      <c r="I462" s="106" t="s">
        <v>726</v>
      </c>
      <c r="J462" s="105">
        <v>30</v>
      </c>
      <c r="K462" s="105">
        <v>1</v>
      </c>
      <c r="L462" s="105"/>
      <c r="M462" s="705"/>
      <c r="N462" s="705"/>
      <c r="O462" s="705"/>
      <c r="P462" s="708"/>
    </row>
    <row r="463" spans="1:16" x14ac:dyDescent="0.25">
      <c r="A463" t="s">
        <v>180</v>
      </c>
      <c r="B463" s="11" t="s">
        <v>714</v>
      </c>
      <c r="C463" s="12"/>
      <c r="D463" s="104">
        <v>610000004325</v>
      </c>
      <c r="E463" s="104">
        <v>346026</v>
      </c>
      <c r="F463" s="104">
        <f>VLOOKUP(E463,'[1]Task list &amp; Maintenace plan'!$B:$G,6,FALSE)</f>
        <v>100759</v>
      </c>
      <c r="G463" s="105" t="s">
        <v>716</v>
      </c>
      <c r="H463" s="106" t="s">
        <v>727</v>
      </c>
      <c r="I463" s="106" t="s">
        <v>728</v>
      </c>
      <c r="J463" s="105">
        <v>30</v>
      </c>
      <c r="K463" s="105">
        <v>1</v>
      </c>
      <c r="L463" s="105"/>
      <c r="M463" s="705"/>
      <c r="N463" s="705"/>
      <c r="O463" s="705"/>
      <c r="P463" s="708"/>
    </row>
    <row r="464" spans="1:16" x14ac:dyDescent="0.25">
      <c r="A464" t="s">
        <v>180</v>
      </c>
      <c r="B464" s="11" t="s">
        <v>714</v>
      </c>
      <c r="C464" s="12"/>
      <c r="D464" s="104">
        <v>610000004325</v>
      </c>
      <c r="E464" s="104">
        <v>346026</v>
      </c>
      <c r="F464" s="104">
        <f>VLOOKUP(E464,'[1]Task list &amp; Maintenace plan'!$B:$G,6,FALSE)</f>
        <v>100759</v>
      </c>
      <c r="G464" s="105" t="s">
        <v>716</v>
      </c>
      <c r="H464" s="106" t="s">
        <v>729</v>
      </c>
      <c r="I464" s="106" t="s">
        <v>730</v>
      </c>
      <c r="J464" s="105">
        <v>30</v>
      </c>
      <c r="K464" s="105">
        <v>1</v>
      </c>
      <c r="L464" s="105"/>
      <c r="M464" s="705"/>
      <c r="N464" s="705"/>
      <c r="O464" s="705"/>
      <c r="P464" s="708"/>
    </row>
    <row r="465" spans="1:16" x14ac:dyDescent="0.25">
      <c r="A465" t="s">
        <v>180</v>
      </c>
      <c r="B465" s="11" t="s">
        <v>714</v>
      </c>
      <c r="C465" s="12"/>
      <c r="D465" s="104">
        <v>610000004325</v>
      </c>
      <c r="E465" s="104">
        <v>346026</v>
      </c>
      <c r="F465" s="104">
        <f>VLOOKUP(E465,'[1]Task list &amp; Maintenace plan'!$B:$G,6,FALSE)</f>
        <v>100759</v>
      </c>
      <c r="G465" s="105" t="s">
        <v>716</v>
      </c>
      <c r="H465" s="106" t="s">
        <v>731</v>
      </c>
      <c r="I465" s="106" t="s">
        <v>732</v>
      </c>
      <c r="J465" s="105">
        <v>30</v>
      </c>
      <c r="K465" s="105">
        <v>1</v>
      </c>
      <c r="L465" s="105"/>
      <c r="M465" s="705"/>
      <c r="N465" s="705"/>
      <c r="O465" s="705"/>
      <c r="P465" s="708"/>
    </row>
    <row r="466" spans="1:16" x14ac:dyDescent="0.25">
      <c r="A466" t="s">
        <v>180</v>
      </c>
      <c r="B466" s="11" t="s">
        <v>714</v>
      </c>
      <c r="C466" s="12"/>
      <c r="D466" s="104">
        <v>610000004325</v>
      </c>
      <c r="E466" s="104">
        <v>346026</v>
      </c>
      <c r="F466" s="104">
        <f>VLOOKUP(E466,'[1]Task list &amp; Maintenace plan'!$B:$G,6,FALSE)</f>
        <v>100759</v>
      </c>
      <c r="G466" s="105" t="s">
        <v>716</v>
      </c>
      <c r="H466" s="106" t="s">
        <v>733</v>
      </c>
      <c r="I466" s="106" t="s">
        <v>734</v>
      </c>
      <c r="J466" s="105">
        <v>30</v>
      </c>
      <c r="K466" s="105">
        <v>1</v>
      </c>
      <c r="L466" s="105"/>
      <c r="M466" s="705"/>
      <c r="N466" s="705"/>
      <c r="O466" s="705"/>
      <c r="P466" s="708"/>
    </row>
    <row r="467" spans="1:16" x14ac:dyDescent="0.25">
      <c r="A467" t="s">
        <v>180</v>
      </c>
      <c r="B467" s="11" t="s">
        <v>714</v>
      </c>
      <c r="C467" s="12"/>
      <c r="D467" s="104">
        <v>610000004325</v>
      </c>
      <c r="E467" s="104">
        <v>346026</v>
      </c>
      <c r="F467" s="104">
        <f>VLOOKUP(E467,'[1]Task list &amp; Maintenace plan'!$B:$G,6,FALSE)</f>
        <v>100759</v>
      </c>
      <c r="G467" s="105" t="s">
        <v>716</v>
      </c>
      <c r="H467" s="106" t="s">
        <v>735</v>
      </c>
      <c r="I467" s="106" t="s">
        <v>736</v>
      </c>
      <c r="J467" s="105">
        <v>30</v>
      </c>
      <c r="K467" s="105">
        <v>1</v>
      </c>
      <c r="L467" s="105"/>
      <c r="M467" s="705"/>
      <c r="N467" s="705"/>
      <c r="O467" s="705"/>
      <c r="P467" s="708"/>
    </row>
    <row r="468" spans="1:16" x14ac:dyDescent="0.25">
      <c r="A468" t="s">
        <v>180</v>
      </c>
      <c r="B468" s="11" t="s">
        <v>714</v>
      </c>
      <c r="C468" s="12"/>
      <c r="D468" s="104">
        <v>610000004325</v>
      </c>
      <c r="E468" s="104">
        <v>346026</v>
      </c>
      <c r="F468" s="104">
        <f>VLOOKUP(E468,'[1]Task list &amp; Maintenace plan'!$B:$G,6,FALSE)</f>
        <v>100759</v>
      </c>
      <c r="G468" s="105" t="s">
        <v>716</v>
      </c>
      <c r="H468" s="106" t="s">
        <v>715</v>
      </c>
      <c r="I468" s="106" t="s">
        <v>737</v>
      </c>
      <c r="J468" s="105">
        <v>30</v>
      </c>
      <c r="K468" s="105">
        <v>1</v>
      </c>
      <c r="L468" s="105"/>
      <c r="M468" s="705"/>
      <c r="N468" s="705"/>
      <c r="O468" s="705"/>
      <c r="P468" s="708"/>
    </row>
    <row r="469" spans="1:16" x14ac:dyDescent="0.25">
      <c r="A469" t="s">
        <v>180</v>
      </c>
      <c r="B469" s="11" t="s">
        <v>714</v>
      </c>
      <c r="C469" s="12"/>
      <c r="D469" s="104">
        <v>610000004325</v>
      </c>
      <c r="E469" s="104">
        <v>346026</v>
      </c>
      <c r="F469" s="104">
        <f>VLOOKUP(E469,'[1]Task list &amp; Maintenace plan'!$B:$G,6,FALSE)</f>
        <v>100759</v>
      </c>
      <c r="G469" s="105" t="s">
        <v>716</v>
      </c>
      <c r="H469" s="106" t="s">
        <v>718</v>
      </c>
      <c r="I469" s="106" t="s">
        <v>738</v>
      </c>
      <c r="J469" s="105">
        <v>30</v>
      </c>
      <c r="K469" s="105">
        <v>1</v>
      </c>
      <c r="L469" s="105"/>
      <c r="M469" s="705"/>
      <c r="N469" s="705"/>
      <c r="O469" s="705"/>
      <c r="P469" s="708"/>
    </row>
    <row r="470" spans="1:16" x14ac:dyDescent="0.25">
      <c r="A470" t="s">
        <v>180</v>
      </c>
      <c r="B470" s="11" t="s">
        <v>714</v>
      </c>
      <c r="C470" s="12"/>
      <c r="D470" s="104">
        <v>610000004325</v>
      </c>
      <c r="E470" s="104">
        <v>346026</v>
      </c>
      <c r="F470" s="104">
        <f>VLOOKUP(E470,'[1]Task list &amp; Maintenace plan'!$B:$G,6,FALSE)</f>
        <v>100759</v>
      </c>
      <c r="G470" s="105" t="s">
        <v>716</v>
      </c>
      <c r="H470" s="106" t="s">
        <v>487</v>
      </c>
      <c r="I470" s="106" t="s">
        <v>739</v>
      </c>
      <c r="J470" s="105">
        <v>30</v>
      </c>
      <c r="K470" s="105">
        <v>1</v>
      </c>
      <c r="L470" s="105"/>
      <c r="M470" s="705"/>
      <c r="N470" s="705"/>
      <c r="O470" s="705"/>
      <c r="P470" s="708"/>
    </row>
    <row r="471" spans="1:16" x14ac:dyDescent="0.25">
      <c r="A471" t="s">
        <v>180</v>
      </c>
      <c r="B471" s="11" t="s">
        <v>714</v>
      </c>
      <c r="C471" s="12"/>
      <c r="D471" s="104">
        <v>610000004325</v>
      </c>
      <c r="E471" s="104">
        <v>346026</v>
      </c>
      <c r="F471" s="104">
        <f>VLOOKUP(E471,'[1]Task list &amp; Maintenace plan'!$B:$G,6,FALSE)</f>
        <v>100759</v>
      </c>
      <c r="G471" s="105" t="s">
        <v>716</v>
      </c>
      <c r="H471" s="106" t="s">
        <v>721</v>
      </c>
      <c r="I471" s="106" t="s">
        <v>740</v>
      </c>
      <c r="J471" s="105">
        <v>30</v>
      </c>
      <c r="K471" s="105">
        <v>1</v>
      </c>
      <c r="L471" s="105"/>
      <c r="M471" s="705"/>
      <c r="N471" s="705"/>
      <c r="O471" s="705"/>
      <c r="P471" s="708"/>
    </row>
    <row r="472" spans="1:16" x14ac:dyDescent="0.25">
      <c r="A472" t="s">
        <v>180</v>
      </c>
      <c r="B472" s="11" t="s">
        <v>714</v>
      </c>
      <c r="C472" s="12"/>
      <c r="D472" s="104">
        <v>610000004325</v>
      </c>
      <c r="E472" s="104">
        <v>346026</v>
      </c>
      <c r="F472" s="104">
        <f>VLOOKUP(E472,'[1]Task list &amp; Maintenace plan'!$B:$G,6,FALSE)</f>
        <v>100759</v>
      </c>
      <c r="G472" s="105" t="s">
        <v>716</v>
      </c>
      <c r="H472" s="106" t="s">
        <v>723</v>
      </c>
      <c r="I472" s="106" t="s">
        <v>741</v>
      </c>
      <c r="J472" s="105">
        <v>30</v>
      </c>
      <c r="K472" s="105">
        <v>1</v>
      </c>
      <c r="L472" s="105"/>
      <c r="M472" s="705"/>
      <c r="N472" s="705"/>
      <c r="O472" s="705"/>
      <c r="P472" s="708"/>
    </row>
    <row r="473" spans="1:16" x14ac:dyDescent="0.25">
      <c r="A473" t="s">
        <v>180</v>
      </c>
      <c r="B473" s="11" t="s">
        <v>714</v>
      </c>
      <c r="C473" s="12"/>
      <c r="D473" s="104">
        <v>610000004325</v>
      </c>
      <c r="E473" s="104">
        <v>346026</v>
      </c>
      <c r="F473" s="104">
        <f>VLOOKUP(E473,'[1]Task list &amp; Maintenace plan'!$B:$G,6,FALSE)</f>
        <v>100759</v>
      </c>
      <c r="G473" s="105" t="s">
        <v>716</v>
      </c>
      <c r="H473" s="106" t="s">
        <v>725</v>
      </c>
      <c r="I473" s="106" t="s">
        <v>742</v>
      </c>
      <c r="J473" s="105">
        <v>30</v>
      </c>
      <c r="K473" s="105">
        <v>1</v>
      </c>
      <c r="L473" s="105"/>
      <c r="M473" s="705"/>
      <c r="N473" s="705"/>
      <c r="O473" s="705"/>
      <c r="P473" s="708"/>
    </row>
    <row r="474" spans="1:16" x14ac:dyDescent="0.25">
      <c r="A474" t="s">
        <v>180</v>
      </c>
      <c r="B474" s="11" t="s">
        <v>714</v>
      </c>
      <c r="C474" s="12"/>
      <c r="D474" s="104">
        <v>610000004325</v>
      </c>
      <c r="E474" s="104">
        <v>346026</v>
      </c>
      <c r="F474" s="104">
        <f>VLOOKUP(E474,'[1]Task list &amp; Maintenace plan'!$B:$G,6,FALSE)</f>
        <v>100759</v>
      </c>
      <c r="G474" s="105" t="s">
        <v>716</v>
      </c>
      <c r="H474" s="106" t="s">
        <v>727</v>
      </c>
      <c r="I474" s="106" t="s">
        <v>743</v>
      </c>
      <c r="J474" s="105">
        <v>30</v>
      </c>
      <c r="K474" s="105">
        <v>1</v>
      </c>
      <c r="L474" s="105"/>
      <c r="M474" s="705"/>
      <c r="N474" s="705"/>
      <c r="O474" s="705"/>
      <c r="P474" s="708"/>
    </row>
    <row r="475" spans="1:16" x14ac:dyDescent="0.25">
      <c r="A475" t="s">
        <v>180</v>
      </c>
      <c r="B475" s="11" t="s">
        <v>714</v>
      </c>
      <c r="C475" s="12"/>
      <c r="D475" s="104">
        <v>610000004325</v>
      </c>
      <c r="E475" s="104">
        <v>346026</v>
      </c>
      <c r="F475" s="104">
        <f>VLOOKUP(E475,'[1]Task list &amp; Maintenace plan'!$B:$G,6,FALSE)</f>
        <v>100759</v>
      </c>
      <c r="G475" s="105" t="s">
        <v>716</v>
      </c>
      <c r="H475" s="106" t="s">
        <v>729</v>
      </c>
      <c r="I475" s="106" t="s">
        <v>744</v>
      </c>
      <c r="J475" s="105">
        <v>30</v>
      </c>
      <c r="K475" s="105">
        <v>1</v>
      </c>
      <c r="L475" s="105"/>
      <c r="M475" s="705"/>
      <c r="N475" s="705"/>
      <c r="O475" s="705"/>
      <c r="P475" s="708"/>
    </row>
    <row r="476" spans="1:16" x14ac:dyDescent="0.25">
      <c r="A476" t="s">
        <v>180</v>
      </c>
      <c r="B476" s="11" t="s">
        <v>714</v>
      </c>
      <c r="C476" s="12"/>
      <c r="D476" s="104">
        <v>610000004325</v>
      </c>
      <c r="E476" s="104">
        <v>346026</v>
      </c>
      <c r="F476" s="104">
        <f>VLOOKUP(E476,'[1]Task list &amp; Maintenace plan'!$B:$G,6,FALSE)</f>
        <v>100759</v>
      </c>
      <c r="G476" s="105" t="s">
        <v>716</v>
      </c>
      <c r="H476" s="106" t="s">
        <v>731</v>
      </c>
      <c r="I476" s="106" t="s">
        <v>745</v>
      </c>
      <c r="J476" s="105">
        <v>30</v>
      </c>
      <c r="K476" s="105">
        <v>1</v>
      </c>
      <c r="L476" s="105"/>
      <c r="M476" s="705"/>
      <c r="N476" s="705"/>
      <c r="O476" s="705"/>
      <c r="P476" s="708"/>
    </row>
    <row r="477" spans="1:16" x14ac:dyDescent="0.25">
      <c r="A477" t="s">
        <v>180</v>
      </c>
      <c r="B477" s="11" t="s">
        <v>714</v>
      </c>
      <c r="C477" s="12"/>
      <c r="D477" s="104">
        <v>610000004325</v>
      </c>
      <c r="E477" s="104">
        <v>346026</v>
      </c>
      <c r="F477" s="104">
        <f>VLOOKUP(E477,'[1]Task list &amp; Maintenace plan'!$B:$G,6,FALSE)</f>
        <v>100759</v>
      </c>
      <c r="G477" s="105" t="s">
        <v>716</v>
      </c>
      <c r="H477" s="106" t="s">
        <v>733</v>
      </c>
      <c r="I477" s="106" t="s">
        <v>746</v>
      </c>
      <c r="J477" s="105">
        <v>30</v>
      </c>
      <c r="K477" s="105">
        <v>1</v>
      </c>
      <c r="L477" s="105"/>
      <c r="M477" s="705"/>
      <c r="N477" s="705"/>
      <c r="O477" s="705"/>
      <c r="P477" s="708"/>
    </row>
    <row r="478" spans="1:16" x14ac:dyDescent="0.25">
      <c r="A478" t="s">
        <v>180</v>
      </c>
      <c r="B478" s="11" t="s">
        <v>714</v>
      </c>
      <c r="C478" s="12"/>
      <c r="D478" s="103">
        <v>610000004325</v>
      </c>
      <c r="E478" s="103">
        <v>346026</v>
      </c>
      <c r="F478" s="103">
        <f>VLOOKUP(E478,'[1]Task list &amp; Maintenace plan'!$B:$G,6,FALSE)</f>
        <v>100759</v>
      </c>
      <c r="G478" s="85" t="s">
        <v>716</v>
      </c>
      <c r="H478" s="84" t="s">
        <v>735</v>
      </c>
      <c r="I478" s="84" t="s">
        <v>747</v>
      </c>
      <c r="J478" s="85">
        <v>30</v>
      </c>
      <c r="K478" s="85">
        <v>1</v>
      </c>
      <c r="L478" s="85"/>
      <c r="M478" s="706"/>
      <c r="N478" s="706"/>
      <c r="O478" s="706"/>
      <c r="P478" s="709"/>
    </row>
    <row r="479" spans="1:16" x14ac:dyDescent="0.25">
      <c r="A479" t="s">
        <v>180</v>
      </c>
      <c r="B479" s="11" t="s">
        <v>714</v>
      </c>
      <c r="C479" s="12"/>
      <c r="D479" s="140">
        <v>610000004326</v>
      </c>
      <c r="E479" s="140">
        <v>346027</v>
      </c>
      <c r="F479" s="140">
        <f>VLOOKUP(E479,'[1]Task list &amp; Maintenace plan'!$B:$G,6,FALSE)</f>
        <v>100760</v>
      </c>
      <c r="G479" s="141" t="s">
        <v>748</v>
      </c>
      <c r="H479" s="142" t="s">
        <v>715</v>
      </c>
      <c r="I479" s="102" t="s">
        <v>749</v>
      </c>
      <c r="J479" s="141">
        <v>60</v>
      </c>
      <c r="K479" s="141">
        <v>1</v>
      </c>
      <c r="L479" s="141"/>
      <c r="M479" s="710">
        <v>60</v>
      </c>
      <c r="N479" s="710">
        <v>1</v>
      </c>
      <c r="O479" s="710">
        <f>N479*M479</f>
        <v>60</v>
      </c>
      <c r="P479" s="712" t="s">
        <v>34</v>
      </c>
    </row>
    <row r="480" spans="1:16" x14ac:dyDescent="0.25">
      <c r="A480" t="s">
        <v>180</v>
      </c>
      <c r="B480" s="11" t="s">
        <v>714</v>
      </c>
      <c r="C480" s="12"/>
      <c r="D480" s="104">
        <v>610000004326</v>
      </c>
      <c r="E480" s="104">
        <v>346027</v>
      </c>
      <c r="F480" s="104">
        <f>VLOOKUP(E480,'[1]Task list &amp; Maintenace plan'!$B:$G,6,FALSE)</f>
        <v>100760</v>
      </c>
      <c r="G480" s="105" t="s">
        <v>748</v>
      </c>
      <c r="H480" s="106" t="s">
        <v>718</v>
      </c>
      <c r="I480" s="106" t="s">
        <v>750</v>
      </c>
      <c r="J480" s="105">
        <v>60</v>
      </c>
      <c r="K480" s="105">
        <v>1</v>
      </c>
      <c r="L480" s="105"/>
      <c r="M480" s="705"/>
      <c r="N480" s="705"/>
      <c r="O480" s="705"/>
      <c r="P480" s="708"/>
    </row>
    <row r="481" spans="1:16" x14ac:dyDescent="0.25">
      <c r="A481" t="s">
        <v>180</v>
      </c>
      <c r="B481" s="11" t="s">
        <v>714</v>
      </c>
      <c r="C481" s="12"/>
      <c r="D481" s="104">
        <v>610000004326</v>
      </c>
      <c r="E481" s="104">
        <v>346027</v>
      </c>
      <c r="F481" s="104">
        <f>VLOOKUP(E481,'[1]Task list &amp; Maintenace plan'!$B:$G,6,FALSE)</f>
        <v>100760</v>
      </c>
      <c r="G481" s="105" t="s">
        <v>748</v>
      </c>
      <c r="H481" s="106" t="s">
        <v>487</v>
      </c>
      <c r="I481" s="106" t="s">
        <v>751</v>
      </c>
      <c r="J481" s="105">
        <v>60</v>
      </c>
      <c r="K481" s="105">
        <v>1</v>
      </c>
      <c r="L481" s="105"/>
      <c r="M481" s="705"/>
      <c r="N481" s="705"/>
      <c r="O481" s="705"/>
      <c r="P481" s="708"/>
    </row>
    <row r="482" spans="1:16" x14ac:dyDescent="0.25">
      <c r="A482" t="s">
        <v>180</v>
      </c>
      <c r="B482" s="11" t="s">
        <v>714</v>
      </c>
      <c r="C482" s="12"/>
      <c r="D482" s="104">
        <v>610000004326</v>
      </c>
      <c r="E482" s="104">
        <v>346027</v>
      </c>
      <c r="F482" s="104">
        <f>VLOOKUP(E482,'[1]Task list &amp; Maintenace plan'!$B:$G,6,FALSE)</f>
        <v>100760</v>
      </c>
      <c r="G482" s="105" t="s">
        <v>748</v>
      </c>
      <c r="H482" s="106" t="s">
        <v>721</v>
      </c>
      <c r="I482" s="106" t="s">
        <v>752</v>
      </c>
      <c r="J482" s="105">
        <v>60</v>
      </c>
      <c r="K482" s="105">
        <v>1</v>
      </c>
      <c r="L482" s="105"/>
      <c r="M482" s="705"/>
      <c r="N482" s="705"/>
      <c r="O482" s="705"/>
      <c r="P482" s="708"/>
    </row>
    <row r="483" spans="1:16" x14ac:dyDescent="0.25">
      <c r="A483" t="s">
        <v>180</v>
      </c>
      <c r="B483" s="11" t="s">
        <v>714</v>
      </c>
      <c r="C483" s="12"/>
      <c r="D483" s="104">
        <v>610000004326</v>
      </c>
      <c r="E483" s="104">
        <v>346027</v>
      </c>
      <c r="F483" s="104">
        <f>VLOOKUP(E483,'[1]Task list &amp; Maintenace plan'!$B:$G,6,FALSE)</f>
        <v>100760</v>
      </c>
      <c r="G483" s="105" t="s">
        <v>748</v>
      </c>
      <c r="H483" s="106" t="s">
        <v>723</v>
      </c>
      <c r="I483" s="106" t="s">
        <v>753</v>
      </c>
      <c r="J483" s="105">
        <v>60</v>
      </c>
      <c r="K483" s="105">
        <v>1</v>
      </c>
      <c r="L483" s="105"/>
      <c r="M483" s="705"/>
      <c r="N483" s="705"/>
      <c r="O483" s="705"/>
      <c r="P483" s="708"/>
    </row>
    <row r="484" spans="1:16" x14ac:dyDescent="0.25">
      <c r="A484" t="s">
        <v>180</v>
      </c>
      <c r="B484" s="11" t="s">
        <v>714</v>
      </c>
      <c r="C484" s="12"/>
      <c r="D484" s="104">
        <v>610000004326</v>
      </c>
      <c r="E484" s="104">
        <v>346027</v>
      </c>
      <c r="F484" s="104">
        <f>VLOOKUP(E484,'[1]Task list &amp; Maintenace plan'!$B:$G,6,FALSE)</f>
        <v>100760</v>
      </c>
      <c r="G484" s="105" t="s">
        <v>748</v>
      </c>
      <c r="H484" s="106" t="s">
        <v>725</v>
      </c>
      <c r="I484" s="106" t="s">
        <v>754</v>
      </c>
      <c r="J484" s="105">
        <v>60</v>
      </c>
      <c r="K484" s="105">
        <v>1</v>
      </c>
      <c r="L484" s="105"/>
      <c r="M484" s="705"/>
      <c r="N484" s="705"/>
      <c r="O484" s="705"/>
      <c r="P484" s="708"/>
    </row>
    <row r="485" spans="1:16" x14ac:dyDescent="0.25">
      <c r="A485" t="s">
        <v>180</v>
      </c>
      <c r="B485" s="11" t="s">
        <v>714</v>
      </c>
      <c r="C485" s="12"/>
      <c r="D485" s="104">
        <v>610000004326</v>
      </c>
      <c r="E485" s="104">
        <v>346027</v>
      </c>
      <c r="F485" s="104">
        <f>VLOOKUP(E485,'[1]Task list &amp; Maintenace plan'!$B:$G,6,FALSE)</f>
        <v>100760</v>
      </c>
      <c r="G485" s="105" t="s">
        <v>748</v>
      </c>
      <c r="H485" s="106" t="s">
        <v>727</v>
      </c>
      <c r="I485" s="106" t="s">
        <v>755</v>
      </c>
      <c r="J485" s="105">
        <v>60</v>
      </c>
      <c r="K485" s="105">
        <v>1</v>
      </c>
      <c r="L485" s="105"/>
      <c r="M485" s="705"/>
      <c r="N485" s="705"/>
      <c r="O485" s="705"/>
      <c r="P485" s="708"/>
    </row>
    <row r="486" spans="1:16" x14ac:dyDescent="0.25">
      <c r="A486" t="s">
        <v>180</v>
      </c>
      <c r="B486" s="11" t="s">
        <v>714</v>
      </c>
      <c r="C486" s="12"/>
      <c r="D486" s="104">
        <v>610000004326</v>
      </c>
      <c r="E486" s="104">
        <v>346027</v>
      </c>
      <c r="F486" s="104">
        <f>VLOOKUP(E486,'[1]Task list &amp; Maintenace plan'!$B:$G,6,FALSE)</f>
        <v>100760</v>
      </c>
      <c r="G486" s="105" t="s">
        <v>748</v>
      </c>
      <c r="H486" s="106" t="s">
        <v>729</v>
      </c>
      <c r="I486" s="106" t="s">
        <v>756</v>
      </c>
      <c r="J486" s="105">
        <v>60</v>
      </c>
      <c r="K486" s="105">
        <v>1</v>
      </c>
      <c r="L486" s="105"/>
      <c r="M486" s="705"/>
      <c r="N486" s="705"/>
      <c r="O486" s="705"/>
      <c r="P486" s="708"/>
    </row>
    <row r="487" spans="1:16" x14ac:dyDescent="0.25">
      <c r="A487" t="s">
        <v>180</v>
      </c>
      <c r="B487" s="11" t="s">
        <v>714</v>
      </c>
      <c r="C487" s="12"/>
      <c r="D487" s="104">
        <v>610000004326</v>
      </c>
      <c r="E487" s="104">
        <v>346027</v>
      </c>
      <c r="F487" s="104">
        <f>VLOOKUP(E487,'[1]Task list &amp; Maintenace plan'!$B:$G,6,FALSE)</f>
        <v>100760</v>
      </c>
      <c r="G487" s="105" t="s">
        <v>748</v>
      </c>
      <c r="H487" s="106" t="s">
        <v>731</v>
      </c>
      <c r="I487" s="106" t="s">
        <v>757</v>
      </c>
      <c r="J487" s="105">
        <v>60</v>
      </c>
      <c r="K487" s="105">
        <v>1</v>
      </c>
      <c r="L487" s="105"/>
      <c r="M487" s="705"/>
      <c r="N487" s="705"/>
      <c r="O487" s="705"/>
      <c r="P487" s="708"/>
    </row>
    <row r="488" spans="1:16" x14ac:dyDescent="0.25">
      <c r="A488" t="s">
        <v>180</v>
      </c>
      <c r="B488" s="11" t="s">
        <v>714</v>
      </c>
      <c r="C488" s="12"/>
      <c r="D488" s="104">
        <v>610000004326</v>
      </c>
      <c r="E488" s="104">
        <v>346027</v>
      </c>
      <c r="F488" s="104">
        <f>VLOOKUP(E488,'[1]Task list &amp; Maintenace plan'!$B:$G,6,FALSE)</f>
        <v>100760</v>
      </c>
      <c r="G488" s="105" t="s">
        <v>748</v>
      </c>
      <c r="H488" s="106" t="s">
        <v>733</v>
      </c>
      <c r="I488" s="106" t="s">
        <v>758</v>
      </c>
      <c r="J488" s="105">
        <v>60</v>
      </c>
      <c r="K488" s="105">
        <v>1</v>
      </c>
      <c r="L488" s="105"/>
      <c r="M488" s="705"/>
      <c r="N488" s="705"/>
      <c r="O488" s="705"/>
      <c r="P488" s="708"/>
    </row>
    <row r="489" spans="1:16" x14ac:dyDescent="0.25">
      <c r="A489" t="s">
        <v>180</v>
      </c>
      <c r="B489" s="11" t="s">
        <v>714</v>
      </c>
      <c r="C489" s="12"/>
      <c r="D489" s="103">
        <v>610000004326</v>
      </c>
      <c r="E489" s="103">
        <v>346027</v>
      </c>
      <c r="F489" s="103">
        <f>VLOOKUP(E489,'[1]Task list &amp; Maintenace plan'!$B:$G,6,FALSE)</f>
        <v>100760</v>
      </c>
      <c r="G489" s="85" t="s">
        <v>748</v>
      </c>
      <c r="H489" s="84" t="s">
        <v>735</v>
      </c>
      <c r="I489" s="84" t="s">
        <v>759</v>
      </c>
      <c r="J489" s="85">
        <v>60</v>
      </c>
      <c r="K489" s="85">
        <v>1</v>
      </c>
      <c r="L489" s="85"/>
      <c r="M489" s="706"/>
      <c r="N489" s="706"/>
      <c r="O489" s="706"/>
      <c r="P489" s="709"/>
    </row>
    <row r="490" spans="1:16" ht="15.75" thickBot="1" x14ac:dyDescent="0.3">
      <c r="A490" t="s">
        <v>180</v>
      </c>
      <c r="B490" s="11" t="s">
        <v>714</v>
      </c>
      <c r="C490" s="27"/>
      <c r="D490" s="213"/>
      <c r="E490" s="213">
        <v>357812</v>
      </c>
      <c r="F490" s="213">
        <f>VLOOKUP(E490,'[1]Task list &amp; Maintenace plan'!$B:$G,6,FALSE)</f>
        <v>2738</v>
      </c>
      <c r="G490" s="201" t="s">
        <v>760</v>
      </c>
      <c r="H490" s="202" t="s">
        <v>487</v>
      </c>
      <c r="I490" s="202" t="s">
        <v>488</v>
      </c>
      <c r="J490" s="201">
        <v>180</v>
      </c>
      <c r="K490" s="201">
        <v>1</v>
      </c>
      <c r="L490" s="201"/>
      <c r="M490" s="201">
        <v>30</v>
      </c>
      <c r="N490" s="201">
        <v>1</v>
      </c>
      <c r="O490" s="201">
        <v>30</v>
      </c>
      <c r="P490" s="203" t="s">
        <v>20</v>
      </c>
    </row>
    <row r="491" spans="1:16" x14ac:dyDescent="0.25">
      <c r="A491" t="s">
        <v>180</v>
      </c>
      <c r="B491" s="11" t="s">
        <v>761</v>
      </c>
      <c r="C491" s="12"/>
      <c r="D491" s="140">
        <v>610000004329</v>
      </c>
      <c r="E491" s="140">
        <v>346028</v>
      </c>
      <c r="F491" s="140">
        <f>VLOOKUP(E491,'[1]Task list &amp; Maintenace plan'!$B:$G,6,FALSE)</f>
        <v>100763</v>
      </c>
      <c r="G491" s="141" t="s">
        <v>763</v>
      </c>
      <c r="H491" s="142" t="s">
        <v>762</v>
      </c>
      <c r="I491" s="107" t="s">
        <v>764</v>
      </c>
      <c r="J491" s="141">
        <v>30</v>
      </c>
      <c r="K491" s="141">
        <v>1</v>
      </c>
      <c r="L491" s="141"/>
      <c r="M491" s="724">
        <v>60</v>
      </c>
      <c r="N491" s="724">
        <v>1</v>
      </c>
      <c r="O491" s="724">
        <f>N491*M491</f>
        <v>60</v>
      </c>
      <c r="P491" s="725" t="s">
        <v>20</v>
      </c>
    </row>
    <row r="492" spans="1:16" x14ac:dyDescent="0.25">
      <c r="A492" t="s">
        <v>180</v>
      </c>
      <c r="B492" s="11" t="s">
        <v>761</v>
      </c>
      <c r="C492" s="12"/>
      <c r="D492" s="104">
        <v>610000004329</v>
      </c>
      <c r="E492" s="104">
        <v>346028</v>
      </c>
      <c r="F492" s="104">
        <f>VLOOKUP(E492,'[1]Task list &amp; Maintenace plan'!$B:$G,6,FALSE)</f>
        <v>100763</v>
      </c>
      <c r="G492" s="105" t="s">
        <v>763</v>
      </c>
      <c r="H492" s="106" t="s">
        <v>765</v>
      </c>
      <c r="I492" s="106" t="s">
        <v>766</v>
      </c>
      <c r="J492" s="105">
        <v>30</v>
      </c>
      <c r="K492" s="105">
        <v>1</v>
      </c>
      <c r="L492" s="105"/>
      <c r="M492" s="705"/>
      <c r="N492" s="705"/>
      <c r="O492" s="705"/>
      <c r="P492" s="708"/>
    </row>
    <row r="493" spans="1:16" x14ac:dyDescent="0.25">
      <c r="A493" t="s">
        <v>180</v>
      </c>
      <c r="B493" s="11" t="s">
        <v>761</v>
      </c>
      <c r="C493" s="12"/>
      <c r="D493" s="104">
        <v>610000004329</v>
      </c>
      <c r="E493" s="104">
        <v>346028</v>
      </c>
      <c r="F493" s="104">
        <f>VLOOKUP(E493,'[1]Task list &amp; Maintenace plan'!$B:$G,6,FALSE)</f>
        <v>100763</v>
      </c>
      <c r="G493" s="105" t="s">
        <v>763</v>
      </c>
      <c r="H493" s="106" t="s">
        <v>767</v>
      </c>
      <c r="I493" s="106" t="s">
        <v>768</v>
      </c>
      <c r="J493" s="105">
        <v>30</v>
      </c>
      <c r="K493" s="105">
        <v>1</v>
      </c>
      <c r="L493" s="105"/>
      <c r="M493" s="705"/>
      <c r="N493" s="705"/>
      <c r="O493" s="705"/>
      <c r="P493" s="708"/>
    </row>
    <row r="494" spans="1:16" x14ac:dyDescent="0.25">
      <c r="A494" t="s">
        <v>180</v>
      </c>
      <c r="B494" s="11" t="s">
        <v>761</v>
      </c>
      <c r="C494" s="12"/>
      <c r="D494" s="104">
        <v>610000004329</v>
      </c>
      <c r="E494" s="104">
        <v>346028</v>
      </c>
      <c r="F494" s="104">
        <f>VLOOKUP(E494,'[1]Task list &amp; Maintenace plan'!$B:$G,6,FALSE)</f>
        <v>100763</v>
      </c>
      <c r="G494" s="105" t="s">
        <v>763</v>
      </c>
      <c r="H494" s="106" t="s">
        <v>769</v>
      </c>
      <c r="I494" s="106" t="s">
        <v>770</v>
      </c>
      <c r="J494" s="105">
        <v>30</v>
      </c>
      <c r="K494" s="105">
        <v>1</v>
      </c>
      <c r="L494" s="105"/>
      <c r="M494" s="705"/>
      <c r="N494" s="705"/>
      <c r="O494" s="705"/>
      <c r="P494" s="708"/>
    </row>
    <row r="495" spans="1:16" x14ac:dyDescent="0.25">
      <c r="A495" t="s">
        <v>180</v>
      </c>
      <c r="B495" s="11" t="s">
        <v>761</v>
      </c>
      <c r="C495" s="12"/>
      <c r="D495" s="104">
        <v>610000004329</v>
      </c>
      <c r="E495" s="104">
        <v>346028</v>
      </c>
      <c r="F495" s="104">
        <f>VLOOKUP(E495,'[1]Task list &amp; Maintenace plan'!$B:$G,6,FALSE)</f>
        <v>100763</v>
      </c>
      <c r="G495" s="105" t="s">
        <v>763</v>
      </c>
      <c r="H495" s="106" t="s">
        <v>771</v>
      </c>
      <c r="I495" s="106" t="s">
        <v>772</v>
      </c>
      <c r="J495" s="105">
        <v>30</v>
      </c>
      <c r="K495" s="105">
        <v>1</v>
      </c>
      <c r="L495" s="105"/>
      <c r="M495" s="705"/>
      <c r="N495" s="705"/>
      <c r="O495" s="705"/>
      <c r="P495" s="708"/>
    </row>
    <row r="496" spans="1:16" x14ac:dyDescent="0.25">
      <c r="A496" t="s">
        <v>180</v>
      </c>
      <c r="B496" s="11" t="s">
        <v>761</v>
      </c>
      <c r="C496" s="12"/>
      <c r="D496" s="104">
        <v>610000004329</v>
      </c>
      <c r="E496" s="104">
        <v>346028</v>
      </c>
      <c r="F496" s="104">
        <f>VLOOKUP(E496,'[1]Task list &amp; Maintenace plan'!$B:$G,6,FALSE)</f>
        <v>100763</v>
      </c>
      <c r="G496" s="105" t="s">
        <v>763</v>
      </c>
      <c r="H496" s="106" t="s">
        <v>773</v>
      </c>
      <c r="I496" s="106" t="s">
        <v>774</v>
      </c>
      <c r="J496" s="105">
        <v>30</v>
      </c>
      <c r="K496" s="105">
        <v>1</v>
      </c>
      <c r="L496" s="105"/>
      <c r="M496" s="705"/>
      <c r="N496" s="705"/>
      <c r="O496" s="705"/>
      <c r="P496" s="708"/>
    </row>
    <row r="497" spans="1:16" x14ac:dyDescent="0.25">
      <c r="A497" t="s">
        <v>180</v>
      </c>
      <c r="B497" s="11" t="s">
        <v>761</v>
      </c>
      <c r="C497" s="12"/>
      <c r="D497" s="104">
        <v>610000004329</v>
      </c>
      <c r="E497" s="104">
        <v>346028</v>
      </c>
      <c r="F497" s="104">
        <f>VLOOKUP(E497,'[1]Task list &amp; Maintenace plan'!$B:$G,6,FALSE)</f>
        <v>100763</v>
      </c>
      <c r="G497" s="105" t="s">
        <v>763</v>
      </c>
      <c r="H497" s="106" t="s">
        <v>775</v>
      </c>
      <c r="I497" s="106" t="s">
        <v>776</v>
      </c>
      <c r="J497" s="105">
        <v>30</v>
      </c>
      <c r="K497" s="105">
        <v>1</v>
      </c>
      <c r="L497" s="105"/>
      <c r="M497" s="705"/>
      <c r="N497" s="705"/>
      <c r="O497" s="705"/>
      <c r="P497" s="708"/>
    </row>
    <row r="498" spans="1:16" x14ac:dyDescent="0.25">
      <c r="A498" t="s">
        <v>180</v>
      </c>
      <c r="B498" s="11" t="s">
        <v>761</v>
      </c>
      <c r="C498" s="12"/>
      <c r="D498" s="104">
        <v>610000004329</v>
      </c>
      <c r="E498" s="104">
        <v>346028</v>
      </c>
      <c r="F498" s="104">
        <f>VLOOKUP(E498,'[1]Task list &amp; Maintenace plan'!$B:$G,6,FALSE)</f>
        <v>100763</v>
      </c>
      <c r="G498" s="105" t="s">
        <v>763</v>
      </c>
      <c r="H498" s="106" t="s">
        <v>777</v>
      </c>
      <c r="I498" s="106" t="s">
        <v>778</v>
      </c>
      <c r="J498" s="105">
        <v>30</v>
      </c>
      <c r="K498" s="105">
        <v>1</v>
      </c>
      <c r="L498" s="105"/>
      <c r="M498" s="705"/>
      <c r="N498" s="705"/>
      <c r="O498" s="705"/>
      <c r="P498" s="708"/>
    </row>
    <row r="499" spans="1:16" x14ac:dyDescent="0.25">
      <c r="A499" t="s">
        <v>180</v>
      </c>
      <c r="B499" s="11" t="s">
        <v>761</v>
      </c>
      <c r="C499" s="12"/>
      <c r="D499" s="104">
        <v>610000004329</v>
      </c>
      <c r="E499" s="104">
        <v>346028</v>
      </c>
      <c r="F499" s="104">
        <f>VLOOKUP(E499,'[1]Task list &amp; Maintenace plan'!$B:$G,6,FALSE)</f>
        <v>100763</v>
      </c>
      <c r="G499" s="105" t="s">
        <v>763</v>
      </c>
      <c r="H499" s="106" t="s">
        <v>779</v>
      </c>
      <c r="I499" s="106" t="s">
        <v>780</v>
      </c>
      <c r="J499" s="105">
        <v>30</v>
      </c>
      <c r="K499" s="105">
        <v>1</v>
      </c>
      <c r="L499" s="105"/>
      <c r="M499" s="705"/>
      <c r="N499" s="705"/>
      <c r="O499" s="705"/>
      <c r="P499" s="708"/>
    </row>
    <row r="500" spans="1:16" x14ac:dyDescent="0.25">
      <c r="A500" t="s">
        <v>180</v>
      </c>
      <c r="B500" s="11" t="s">
        <v>761</v>
      </c>
      <c r="C500" s="12"/>
      <c r="D500" s="104">
        <v>610000004329</v>
      </c>
      <c r="E500" s="104">
        <v>346028</v>
      </c>
      <c r="F500" s="104">
        <f>VLOOKUP(E500,'[1]Task list &amp; Maintenace plan'!$B:$G,6,FALSE)</f>
        <v>100763</v>
      </c>
      <c r="G500" s="105" t="s">
        <v>763</v>
      </c>
      <c r="H500" s="106" t="s">
        <v>781</v>
      </c>
      <c r="I500" s="106" t="s">
        <v>782</v>
      </c>
      <c r="J500" s="105">
        <v>30</v>
      </c>
      <c r="K500" s="105">
        <v>1</v>
      </c>
      <c r="L500" s="105"/>
      <c r="M500" s="705"/>
      <c r="N500" s="705"/>
      <c r="O500" s="705"/>
      <c r="P500" s="708"/>
    </row>
    <row r="501" spans="1:16" x14ac:dyDescent="0.25">
      <c r="A501" t="s">
        <v>180</v>
      </c>
      <c r="B501" s="11" t="s">
        <v>761</v>
      </c>
      <c r="C501" s="12"/>
      <c r="D501" s="104">
        <v>610000004329</v>
      </c>
      <c r="E501" s="104">
        <v>346028</v>
      </c>
      <c r="F501" s="104">
        <f>VLOOKUP(E501,'[1]Task list &amp; Maintenace plan'!$B:$G,6,FALSE)</f>
        <v>100763</v>
      </c>
      <c r="G501" s="105" t="s">
        <v>763</v>
      </c>
      <c r="H501" s="106" t="s">
        <v>783</v>
      </c>
      <c r="I501" s="106" t="s">
        <v>784</v>
      </c>
      <c r="J501" s="105">
        <v>30</v>
      </c>
      <c r="K501" s="105">
        <v>1</v>
      </c>
      <c r="L501" s="105"/>
      <c r="M501" s="705"/>
      <c r="N501" s="705"/>
      <c r="O501" s="705"/>
      <c r="P501" s="708"/>
    </row>
    <row r="502" spans="1:16" x14ac:dyDescent="0.25">
      <c r="A502" t="s">
        <v>180</v>
      </c>
      <c r="B502" s="11" t="s">
        <v>761</v>
      </c>
      <c r="C502" s="12"/>
      <c r="D502" s="123">
        <v>610000004329</v>
      </c>
      <c r="E502" s="123">
        <v>346028</v>
      </c>
      <c r="F502" s="123">
        <f>VLOOKUP(E502,'[1]Task list &amp; Maintenace plan'!$B:$G,6,FALSE)</f>
        <v>100763</v>
      </c>
      <c r="G502" s="124" t="s">
        <v>763</v>
      </c>
      <c r="H502" s="107" t="s">
        <v>785</v>
      </c>
      <c r="I502" s="107" t="s">
        <v>786</v>
      </c>
      <c r="J502" s="124">
        <v>30</v>
      </c>
      <c r="K502" s="124">
        <v>1</v>
      </c>
      <c r="L502" s="124"/>
      <c r="M502" s="705"/>
      <c r="N502" s="705"/>
      <c r="O502" s="705"/>
      <c r="P502" s="708"/>
    </row>
    <row r="503" spans="1:16" x14ac:dyDescent="0.25">
      <c r="A503" t="s">
        <v>180</v>
      </c>
      <c r="B503" s="11" t="s">
        <v>761</v>
      </c>
      <c r="C503" s="12"/>
      <c r="D503" s="123">
        <v>610000004329</v>
      </c>
      <c r="E503" s="123">
        <v>346028</v>
      </c>
      <c r="F503" s="123">
        <f>VLOOKUP(E503,'[1]Task list &amp; Maintenace plan'!$B:$G,6,FALSE)</f>
        <v>100763</v>
      </c>
      <c r="G503" s="124" t="s">
        <v>763</v>
      </c>
      <c r="H503" s="107" t="s">
        <v>762</v>
      </c>
      <c r="I503" s="107" t="s">
        <v>787</v>
      </c>
      <c r="J503" s="124">
        <v>30</v>
      </c>
      <c r="K503" s="124">
        <v>1</v>
      </c>
      <c r="L503" s="124"/>
      <c r="M503" s="705"/>
      <c r="N503" s="705"/>
      <c r="O503" s="705"/>
      <c r="P503" s="708"/>
    </row>
    <row r="504" spans="1:16" x14ac:dyDescent="0.25">
      <c r="A504" t="s">
        <v>180</v>
      </c>
      <c r="B504" s="11" t="s">
        <v>761</v>
      </c>
      <c r="C504" s="12"/>
      <c r="D504" s="104">
        <v>610000004329</v>
      </c>
      <c r="E504" s="104">
        <v>346028</v>
      </c>
      <c r="F504" s="104">
        <f>VLOOKUP(E504,'[1]Task list &amp; Maintenace plan'!$B:$G,6,FALSE)</f>
        <v>100763</v>
      </c>
      <c r="G504" s="105" t="s">
        <v>763</v>
      </c>
      <c r="H504" s="106" t="s">
        <v>765</v>
      </c>
      <c r="I504" s="106" t="s">
        <v>788</v>
      </c>
      <c r="J504" s="105">
        <v>30</v>
      </c>
      <c r="K504" s="105">
        <v>1</v>
      </c>
      <c r="L504" s="105"/>
      <c r="M504" s="705"/>
      <c r="N504" s="705"/>
      <c r="O504" s="705"/>
      <c r="P504" s="708"/>
    </row>
    <row r="505" spans="1:16" x14ac:dyDescent="0.25">
      <c r="A505" t="s">
        <v>180</v>
      </c>
      <c r="B505" s="11" t="s">
        <v>761</v>
      </c>
      <c r="C505" s="12"/>
      <c r="D505" s="104">
        <v>610000004329</v>
      </c>
      <c r="E505" s="104">
        <v>346028</v>
      </c>
      <c r="F505" s="104">
        <f>VLOOKUP(E505,'[1]Task list &amp; Maintenace plan'!$B:$G,6,FALSE)</f>
        <v>100763</v>
      </c>
      <c r="G505" s="105" t="s">
        <v>763</v>
      </c>
      <c r="H505" s="106" t="s">
        <v>767</v>
      </c>
      <c r="I505" s="106" t="s">
        <v>789</v>
      </c>
      <c r="J505" s="105">
        <v>30</v>
      </c>
      <c r="K505" s="105">
        <v>1</v>
      </c>
      <c r="L505" s="105"/>
      <c r="M505" s="705"/>
      <c r="N505" s="705"/>
      <c r="O505" s="705"/>
      <c r="P505" s="708"/>
    </row>
    <row r="506" spans="1:16" x14ac:dyDescent="0.25">
      <c r="A506" t="s">
        <v>180</v>
      </c>
      <c r="B506" s="11" t="s">
        <v>761</v>
      </c>
      <c r="C506" s="12"/>
      <c r="D506" s="104">
        <v>610000004329</v>
      </c>
      <c r="E506" s="104">
        <v>346028</v>
      </c>
      <c r="F506" s="104">
        <f>VLOOKUP(E506,'[1]Task list &amp; Maintenace plan'!$B:$G,6,FALSE)</f>
        <v>100763</v>
      </c>
      <c r="G506" s="105" t="s">
        <v>763</v>
      </c>
      <c r="H506" s="106" t="s">
        <v>769</v>
      </c>
      <c r="I506" s="106" t="s">
        <v>790</v>
      </c>
      <c r="J506" s="105">
        <v>30</v>
      </c>
      <c r="K506" s="105">
        <v>1</v>
      </c>
      <c r="L506" s="105"/>
      <c r="M506" s="705"/>
      <c r="N506" s="705"/>
      <c r="O506" s="705"/>
      <c r="P506" s="708"/>
    </row>
    <row r="507" spans="1:16" x14ac:dyDescent="0.25">
      <c r="A507" t="s">
        <v>180</v>
      </c>
      <c r="B507" s="11" t="s">
        <v>761</v>
      </c>
      <c r="C507" s="12"/>
      <c r="D507" s="104">
        <v>610000004329</v>
      </c>
      <c r="E507" s="104">
        <v>346028</v>
      </c>
      <c r="F507" s="104">
        <f>VLOOKUP(E507,'[1]Task list &amp; Maintenace plan'!$B:$G,6,FALSE)</f>
        <v>100763</v>
      </c>
      <c r="G507" s="105" t="s">
        <v>763</v>
      </c>
      <c r="H507" s="106" t="s">
        <v>771</v>
      </c>
      <c r="I507" s="106" t="s">
        <v>791</v>
      </c>
      <c r="J507" s="105">
        <v>30</v>
      </c>
      <c r="K507" s="105">
        <v>1</v>
      </c>
      <c r="L507" s="105"/>
      <c r="M507" s="705"/>
      <c r="N507" s="705"/>
      <c r="O507" s="705"/>
      <c r="P507" s="708"/>
    </row>
    <row r="508" spans="1:16" x14ac:dyDescent="0.25">
      <c r="A508" t="s">
        <v>180</v>
      </c>
      <c r="B508" s="11" t="s">
        <v>761</v>
      </c>
      <c r="C508" s="12"/>
      <c r="D508" s="104">
        <v>610000004329</v>
      </c>
      <c r="E508" s="104">
        <v>346028</v>
      </c>
      <c r="F508" s="104">
        <f>VLOOKUP(E508,'[1]Task list &amp; Maintenace plan'!$B:$G,6,FALSE)</f>
        <v>100763</v>
      </c>
      <c r="G508" s="105" t="s">
        <v>763</v>
      </c>
      <c r="H508" s="106" t="s">
        <v>773</v>
      </c>
      <c r="I508" s="106" t="s">
        <v>792</v>
      </c>
      <c r="J508" s="105">
        <v>30</v>
      </c>
      <c r="K508" s="105">
        <v>1</v>
      </c>
      <c r="L508" s="105"/>
      <c r="M508" s="705"/>
      <c r="N508" s="705"/>
      <c r="O508" s="705"/>
      <c r="P508" s="708"/>
    </row>
    <row r="509" spans="1:16" x14ac:dyDescent="0.25">
      <c r="A509" t="s">
        <v>180</v>
      </c>
      <c r="B509" s="11" t="s">
        <v>761</v>
      </c>
      <c r="C509" s="12"/>
      <c r="D509" s="104">
        <v>610000004329</v>
      </c>
      <c r="E509" s="104">
        <v>346028</v>
      </c>
      <c r="F509" s="104">
        <f>VLOOKUP(E509,'[1]Task list &amp; Maintenace plan'!$B:$G,6,FALSE)</f>
        <v>100763</v>
      </c>
      <c r="G509" s="105" t="s">
        <v>763</v>
      </c>
      <c r="H509" s="106" t="s">
        <v>775</v>
      </c>
      <c r="I509" s="106" t="s">
        <v>793</v>
      </c>
      <c r="J509" s="105">
        <v>30</v>
      </c>
      <c r="K509" s="105">
        <v>1</v>
      </c>
      <c r="L509" s="105"/>
      <c r="M509" s="705"/>
      <c r="N509" s="705"/>
      <c r="O509" s="705"/>
      <c r="P509" s="708"/>
    </row>
    <row r="510" spans="1:16" x14ac:dyDescent="0.25">
      <c r="A510" t="s">
        <v>180</v>
      </c>
      <c r="B510" s="11" t="s">
        <v>761</v>
      </c>
      <c r="C510" s="12"/>
      <c r="D510" s="104">
        <v>610000004329</v>
      </c>
      <c r="E510" s="104">
        <v>346028</v>
      </c>
      <c r="F510" s="104">
        <f>VLOOKUP(E510,'[1]Task list &amp; Maintenace plan'!$B:$G,6,FALSE)</f>
        <v>100763</v>
      </c>
      <c r="G510" s="105" t="s">
        <v>763</v>
      </c>
      <c r="H510" s="106" t="s">
        <v>777</v>
      </c>
      <c r="I510" s="106" t="s">
        <v>794</v>
      </c>
      <c r="J510" s="105">
        <v>30</v>
      </c>
      <c r="K510" s="105">
        <v>1</v>
      </c>
      <c r="L510" s="105"/>
      <c r="M510" s="705"/>
      <c r="N510" s="705"/>
      <c r="O510" s="705"/>
      <c r="P510" s="708"/>
    </row>
    <row r="511" spans="1:16" x14ac:dyDescent="0.25">
      <c r="A511" t="s">
        <v>180</v>
      </c>
      <c r="B511" s="11" t="s">
        <v>761</v>
      </c>
      <c r="C511" s="12"/>
      <c r="D511" s="104">
        <v>610000004329</v>
      </c>
      <c r="E511" s="104">
        <v>346028</v>
      </c>
      <c r="F511" s="104">
        <f>VLOOKUP(E511,'[1]Task list &amp; Maintenace plan'!$B:$G,6,FALSE)</f>
        <v>100763</v>
      </c>
      <c r="G511" s="105" t="s">
        <v>763</v>
      </c>
      <c r="H511" s="106" t="s">
        <v>779</v>
      </c>
      <c r="I511" s="106" t="s">
        <v>795</v>
      </c>
      <c r="J511" s="105">
        <v>30</v>
      </c>
      <c r="K511" s="105">
        <v>1</v>
      </c>
      <c r="L511" s="105"/>
      <c r="M511" s="705"/>
      <c r="N511" s="705"/>
      <c r="O511" s="705"/>
      <c r="P511" s="708"/>
    </row>
    <row r="512" spans="1:16" x14ac:dyDescent="0.25">
      <c r="A512" t="s">
        <v>180</v>
      </c>
      <c r="B512" s="11" t="s">
        <v>761</v>
      </c>
      <c r="C512" s="12"/>
      <c r="D512" s="104">
        <v>610000004329</v>
      </c>
      <c r="E512" s="104">
        <v>346028</v>
      </c>
      <c r="F512" s="104">
        <f>VLOOKUP(E512,'[1]Task list &amp; Maintenace plan'!$B:$G,6,FALSE)</f>
        <v>100763</v>
      </c>
      <c r="G512" s="105" t="s">
        <v>763</v>
      </c>
      <c r="H512" s="106" t="s">
        <v>781</v>
      </c>
      <c r="I512" s="106" t="s">
        <v>796</v>
      </c>
      <c r="J512" s="105">
        <v>30</v>
      </c>
      <c r="K512" s="105">
        <v>1</v>
      </c>
      <c r="L512" s="105"/>
      <c r="M512" s="705"/>
      <c r="N512" s="705"/>
      <c r="O512" s="705"/>
      <c r="P512" s="708"/>
    </row>
    <row r="513" spans="1:16" x14ac:dyDescent="0.25">
      <c r="A513" t="s">
        <v>180</v>
      </c>
      <c r="B513" s="11" t="s">
        <v>761</v>
      </c>
      <c r="C513" s="12"/>
      <c r="D513" s="104">
        <v>610000004329</v>
      </c>
      <c r="E513" s="104">
        <v>346028</v>
      </c>
      <c r="F513" s="104">
        <f>VLOOKUP(E513,'[1]Task list &amp; Maintenace plan'!$B:$G,6,FALSE)</f>
        <v>100763</v>
      </c>
      <c r="G513" s="105" t="s">
        <v>763</v>
      </c>
      <c r="H513" s="106" t="s">
        <v>783</v>
      </c>
      <c r="I513" s="106" t="s">
        <v>797</v>
      </c>
      <c r="J513" s="105">
        <v>30</v>
      </c>
      <c r="K513" s="105">
        <v>1</v>
      </c>
      <c r="L513" s="105"/>
      <c r="M513" s="705"/>
      <c r="N513" s="705"/>
      <c r="O513" s="705"/>
      <c r="P513" s="708"/>
    </row>
    <row r="514" spans="1:16" x14ac:dyDescent="0.25">
      <c r="A514" t="s">
        <v>180</v>
      </c>
      <c r="B514" s="11" t="s">
        <v>761</v>
      </c>
      <c r="C514" s="12"/>
      <c r="D514" s="103">
        <v>610000004329</v>
      </c>
      <c r="E514" s="103">
        <v>346028</v>
      </c>
      <c r="F514" s="103">
        <f>VLOOKUP(E514,'[1]Task list &amp; Maintenace plan'!$B:$G,6,FALSE)</f>
        <v>100763</v>
      </c>
      <c r="G514" s="85" t="s">
        <v>763</v>
      </c>
      <c r="H514" s="84" t="s">
        <v>785</v>
      </c>
      <c r="I514" s="84" t="s">
        <v>798</v>
      </c>
      <c r="J514" s="85">
        <v>30</v>
      </c>
      <c r="K514" s="85">
        <v>1</v>
      </c>
      <c r="L514" s="85"/>
      <c r="M514" s="706"/>
      <c r="N514" s="706"/>
      <c r="O514" s="706"/>
      <c r="P514" s="709"/>
    </row>
    <row r="515" spans="1:16" x14ac:dyDescent="0.25">
      <c r="A515" t="s">
        <v>180</v>
      </c>
      <c r="B515" s="11" t="s">
        <v>761</v>
      </c>
      <c r="C515" s="12"/>
      <c r="D515" s="140">
        <v>610000004330</v>
      </c>
      <c r="E515" s="140">
        <v>346029</v>
      </c>
      <c r="F515" s="140">
        <f>VLOOKUP(E515,'[1]Task list &amp; Maintenace plan'!$B:$G,6,FALSE)</f>
        <v>100764</v>
      </c>
      <c r="G515" s="141" t="s">
        <v>799</v>
      </c>
      <c r="H515" s="142" t="s">
        <v>762</v>
      </c>
      <c r="I515" s="102" t="s">
        <v>800</v>
      </c>
      <c r="J515" s="141">
        <v>60</v>
      </c>
      <c r="K515" s="141">
        <v>1</v>
      </c>
      <c r="L515" s="141"/>
      <c r="M515" s="710">
        <v>60</v>
      </c>
      <c r="N515" s="710">
        <v>1</v>
      </c>
      <c r="O515" s="710">
        <f>N515*M515</f>
        <v>60</v>
      </c>
      <c r="P515" s="712"/>
    </row>
    <row r="516" spans="1:16" x14ac:dyDescent="0.25">
      <c r="A516" t="s">
        <v>180</v>
      </c>
      <c r="B516" s="11" t="s">
        <v>761</v>
      </c>
      <c r="C516" s="12"/>
      <c r="D516" s="104">
        <v>610000004330</v>
      </c>
      <c r="E516" s="104">
        <v>346029</v>
      </c>
      <c r="F516" s="104">
        <f>VLOOKUP(E516,'[1]Task list &amp; Maintenace plan'!$B:$G,6,FALSE)</f>
        <v>100764</v>
      </c>
      <c r="G516" s="105" t="s">
        <v>799</v>
      </c>
      <c r="H516" s="106" t="s">
        <v>765</v>
      </c>
      <c r="I516" s="106" t="s">
        <v>801</v>
      </c>
      <c r="J516" s="105">
        <v>60</v>
      </c>
      <c r="K516" s="105">
        <v>1</v>
      </c>
      <c r="L516" s="105"/>
      <c r="M516" s="705"/>
      <c r="N516" s="705"/>
      <c r="O516" s="705"/>
      <c r="P516" s="708"/>
    </row>
    <row r="517" spans="1:16" x14ac:dyDescent="0.25">
      <c r="A517" t="s">
        <v>180</v>
      </c>
      <c r="B517" s="11" t="s">
        <v>761</v>
      </c>
      <c r="C517" s="12"/>
      <c r="D517" s="104">
        <v>610000004330</v>
      </c>
      <c r="E517" s="104">
        <v>346029</v>
      </c>
      <c r="F517" s="104">
        <f>VLOOKUP(E517,'[1]Task list &amp; Maintenace plan'!$B:$G,6,FALSE)</f>
        <v>100764</v>
      </c>
      <c r="G517" s="105" t="s">
        <v>799</v>
      </c>
      <c r="H517" s="106" t="s">
        <v>767</v>
      </c>
      <c r="I517" s="106" t="s">
        <v>802</v>
      </c>
      <c r="J517" s="105">
        <v>60</v>
      </c>
      <c r="K517" s="105">
        <v>1</v>
      </c>
      <c r="L517" s="105"/>
      <c r="M517" s="705"/>
      <c r="N517" s="705"/>
      <c r="O517" s="705"/>
      <c r="P517" s="708"/>
    </row>
    <row r="518" spans="1:16" x14ac:dyDescent="0.25">
      <c r="A518" t="s">
        <v>180</v>
      </c>
      <c r="B518" s="11" t="s">
        <v>761</v>
      </c>
      <c r="C518" s="12"/>
      <c r="D518" s="104">
        <v>610000004330</v>
      </c>
      <c r="E518" s="104">
        <v>346029</v>
      </c>
      <c r="F518" s="104">
        <f>VLOOKUP(E518,'[1]Task list &amp; Maintenace plan'!$B:$G,6,FALSE)</f>
        <v>100764</v>
      </c>
      <c r="G518" s="105" t="s">
        <v>799</v>
      </c>
      <c r="H518" s="106" t="s">
        <v>769</v>
      </c>
      <c r="I518" s="106" t="s">
        <v>803</v>
      </c>
      <c r="J518" s="105">
        <v>60</v>
      </c>
      <c r="K518" s="105">
        <v>1</v>
      </c>
      <c r="L518" s="105"/>
      <c r="M518" s="705"/>
      <c r="N518" s="705"/>
      <c r="O518" s="705"/>
      <c r="P518" s="708"/>
    </row>
    <row r="519" spans="1:16" x14ac:dyDescent="0.25">
      <c r="A519" t="s">
        <v>180</v>
      </c>
      <c r="B519" s="11" t="s">
        <v>761</v>
      </c>
      <c r="C519" s="12"/>
      <c r="D519" s="104">
        <v>610000004330</v>
      </c>
      <c r="E519" s="104">
        <v>346029</v>
      </c>
      <c r="F519" s="104">
        <f>VLOOKUP(E519,'[1]Task list &amp; Maintenace plan'!$B:$G,6,FALSE)</f>
        <v>100764</v>
      </c>
      <c r="G519" s="105" t="s">
        <v>799</v>
      </c>
      <c r="H519" s="106" t="s">
        <v>771</v>
      </c>
      <c r="I519" s="106" t="s">
        <v>804</v>
      </c>
      <c r="J519" s="105">
        <v>60</v>
      </c>
      <c r="K519" s="105">
        <v>1</v>
      </c>
      <c r="L519" s="105"/>
      <c r="M519" s="705"/>
      <c r="N519" s="705"/>
      <c r="O519" s="705"/>
      <c r="P519" s="708"/>
    </row>
    <row r="520" spans="1:16" x14ac:dyDescent="0.25">
      <c r="A520" t="s">
        <v>180</v>
      </c>
      <c r="B520" s="11" t="s">
        <v>761</v>
      </c>
      <c r="C520" s="12"/>
      <c r="D520" s="104">
        <v>610000004330</v>
      </c>
      <c r="E520" s="104">
        <v>346029</v>
      </c>
      <c r="F520" s="104">
        <f>VLOOKUP(E520,'[1]Task list &amp; Maintenace plan'!$B:$G,6,FALSE)</f>
        <v>100764</v>
      </c>
      <c r="G520" s="105" t="s">
        <v>799</v>
      </c>
      <c r="H520" s="106" t="s">
        <v>773</v>
      </c>
      <c r="I520" s="106" t="s">
        <v>805</v>
      </c>
      <c r="J520" s="105">
        <v>60</v>
      </c>
      <c r="K520" s="105">
        <v>1</v>
      </c>
      <c r="L520" s="105"/>
      <c r="M520" s="705"/>
      <c r="N520" s="705"/>
      <c r="O520" s="705"/>
      <c r="P520" s="708"/>
    </row>
    <row r="521" spans="1:16" x14ac:dyDescent="0.25">
      <c r="A521" t="s">
        <v>180</v>
      </c>
      <c r="B521" s="11" t="s">
        <v>761</v>
      </c>
      <c r="C521" s="12"/>
      <c r="D521" s="104">
        <v>610000004330</v>
      </c>
      <c r="E521" s="104">
        <v>346029</v>
      </c>
      <c r="F521" s="104">
        <f>VLOOKUP(E521,'[1]Task list &amp; Maintenace plan'!$B:$G,6,FALSE)</f>
        <v>100764</v>
      </c>
      <c r="G521" s="105" t="s">
        <v>799</v>
      </c>
      <c r="H521" s="106" t="s">
        <v>775</v>
      </c>
      <c r="I521" s="106" t="s">
        <v>806</v>
      </c>
      <c r="J521" s="105">
        <v>60</v>
      </c>
      <c r="K521" s="105">
        <v>1</v>
      </c>
      <c r="L521" s="105"/>
      <c r="M521" s="705"/>
      <c r="N521" s="705"/>
      <c r="O521" s="705"/>
      <c r="P521" s="708"/>
    </row>
    <row r="522" spans="1:16" x14ac:dyDescent="0.25">
      <c r="A522" t="s">
        <v>180</v>
      </c>
      <c r="B522" s="11" t="s">
        <v>761</v>
      </c>
      <c r="C522" s="12"/>
      <c r="D522" s="104">
        <v>610000004330</v>
      </c>
      <c r="E522" s="104">
        <v>346029</v>
      </c>
      <c r="F522" s="104">
        <f>VLOOKUP(E522,'[1]Task list &amp; Maintenace plan'!$B:$G,6,FALSE)</f>
        <v>100764</v>
      </c>
      <c r="G522" s="105" t="s">
        <v>799</v>
      </c>
      <c r="H522" s="106" t="s">
        <v>777</v>
      </c>
      <c r="I522" s="106" t="s">
        <v>807</v>
      </c>
      <c r="J522" s="105">
        <v>60</v>
      </c>
      <c r="K522" s="105">
        <v>1</v>
      </c>
      <c r="L522" s="105"/>
      <c r="M522" s="705"/>
      <c r="N522" s="705"/>
      <c r="O522" s="705"/>
      <c r="P522" s="708"/>
    </row>
    <row r="523" spans="1:16" x14ac:dyDescent="0.25">
      <c r="A523" t="s">
        <v>180</v>
      </c>
      <c r="B523" s="11" t="s">
        <v>761</v>
      </c>
      <c r="C523" s="12"/>
      <c r="D523" s="104">
        <v>610000004330</v>
      </c>
      <c r="E523" s="104">
        <v>346029</v>
      </c>
      <c r="F523" s="104">
        <f>VLOOKUP(E523,'[1]Task list &amp; Maintenace plan'!$B:$G,6,FALSE)</f>
        <v>100764</v>
      </c>
      <c r="G523" s="105" t="s">
        <v>799</v>
      </c>
      <c r="H523" s="106" t="s">
        <v>779</v>
      </c>
      <c r="I523" s="106" t="s">
        <v>808</v>
      </c>
      <c r="J523" s="105">
        <v>60</v>
      </c>
      <c r="K523" s="105">
        <v>1</v>
      </c>
      <c r="L523" s="105"/>
      <c r="M523" s="705"/>
      <c r="N523" s="705"/>
      <c r="O523" s="705"/>
      <c r="P523" s="708"/>
    </row>
    <row r="524" spans="1:16" x14ac:dyDescent="0.25">
      <c r="A524" t="s">
        <v>180</v>
      </c>
      <c r="B524" s="11" t="s">
        <v>761</v>
      </c>
      <c r="C524" s="12"/>
      <c r="D524" s="104">
        <v>610000004330</v>
      </c>
      <c r="E524" s="104">
        <v>346029</v>
      </c>
      <c r="F524" s="104">
        <f>VLOOKUP(E524,'[1]Task list &amp; Maintenace plan'!$B:$G,6,FALSE)</f>
        <v>100764</v>
      </c>
      <c r="G524" s="105" t="s">
        <v>799</v>
      </c>
      <c r="H524" s="106" t="s">
        <v>781</v>
      </c>
      <c r="I524" s="106" t="s">
        <v>809</v>
      </c>
      <c r="J524" s="105">
        <v>60</v>
      </c>
      <c r="K524" s="105">
        <v>1</v>
      </c>
      <c r="L524" s="105"/>
      <c r="M524" s="705"/>
      <c r="N524" s="705"/>
      <c r="O524" s="705"/>
      <c r="P524" s="708"/>
    </row>
    <row r="525" spans="1:16" x14ac:dyDescent="0.25">
      <c r="A525" t="s">
        <v>180</v>
      </c>
      <c r="B525" s="11" t="s">
        <v>761</v>
      </c>
      <c r="C525" s="12"/>
      <c r="D525" s="104">
        <v>610000004330</v>
      </c>
      <c r="E525" s="104">
        <v>346029</v>
      </c>
      <c r="F525" s="104">
        <f>VLOOKUP(E525,'[1]Task list &amp; Maintenace plan'!$B:$G,6,FALSE)</f>
        <v>100764</v>
      </c>
      <c r="G525" s="105" t="s">
        <v>799</v>
      </c>
      <c r="H525" s="106" t="s">
        <v>783</v>
      </c>
      <c r="I525" s="106" t="s">
        <v>810</v>
      </c>
      <c r="J525" s="105">
        <v>60</v>
      </c>
      <c r="K525" s="105">
        <v>1</v>
      </c>
      <c r="L525" s="105"/>
      <c r="M525" s="705"/>
      <c r="N525" s="705"/>
      <c r="O525" s="705"/>
      <c r="P525" s="708"/>
    </row>
    <row r="526" spans="1:16" ht="15.75" thickBot="1" x14ac:dyDescent="0.3">
      <c r="A526" t="s">
        <v>180</v>
      </c>
      <c r="B526" s="11" t="s">
        <v>761</v>
      </c>
      <c r="C526" s="27"/>
      <c r="D526" s="147">
        <v>610000004330</v>
      </c>
      <c r="E526" s="147">
        <v>346029</v>
      </c>
      <c r="F526" s="147">
        <f>VLOOKUP(E526,'[1]Task list &amp; Maintenace plan'!$B:$G,6,FALSE)</f>
        <v>100764</v>
      </c>
      <c r="G526" s="148" t="s">
        <v>799</v>
      </c>
      <c r="H526" s="149" t="s">
        <v>785</v>
      </c>
      <c r="I526" s="149" t="s">
        <v>811</v>
      </c>
      <c r="J526" s="148">
        <v>60</v>
      </c>
      <c r="K526" s="148">
        <v>1</v>
      </c>
      <c r="L526" s="148"/>
      <c r="M526" s="714"/>
      <c r="N526" s="714"/>
      <c r="O526" s="714"/>
      <c r="P526" s="715"/>
    </row>
    <row r="527" spans="1:16" x14ac:dyDescent="0.25">
      <c r="A527" t="s">
        <v>180</v>
      </c>
      <c r="B527" s="11" t="s">
        <v>812</v>
      </c>
      <c r="C527" s="12"/>
      <c r="D527" s="140">
        <v>610000004333</v>
      </c>
      <c r="E527" s="140">
        <v>346030</v>
      </c>
      <c r="F527" s="140">
        <f>VLOOKUP(E527,'[1]Task list &amp; Maintenace plan'!$B:$G,6,FALSE)</f>
        <v>100767</v>
      </c>
      <c r="G527" s="141" t="s">
        <v>814</v>
      </c>
      <c r="H527" s="142" t="s">
        <v>813</v>
      </c>
      <c r="I527" s="107" t="s">
        <v>815</v>
      </c>
      <c r="J527" s="141">
        <v>30</v>
      </c>
      <c r="K527" s="141">
        <v>1</v>
      </c>
      <c r="L527" s="141"/>
      <c r="M527" s="724">
        <v>90</v>
      </c>
      <c r="N527" s="724">
        <v>1</v>
      </c>
      <c r="O527" s="724">
        <f>N527*M527</f>
        <v>90</v>
      </c>
      <c r="P527" s="725"/>
    </row>
    <row r="528" spans="1:16" x14ac:dyDescent="0.25">
      <c r="A528" t="s">
        <v>180</v>
      </c>
      <c r="B528" s="11" t="s">
        <v>812</v>
      </c>
      <c r="C528" s="12"/>
      <c r="D528" s="104">
        <v>610000004333</v>
      </c>
      <c r="E528" s="104">
        <v>346030</v>
      </c>
      <c r="F528" s="104">
        <f>VLOOKUP(E528,'[1]Task list &amp; Maintenace plan'!$B:$G,6,FALSE)</f>
        <v>100767</v>
      </c>
      <c r="G528" s="105" t="s">
        <v>814</v>
      </c>
      <c r="H528" s="106" t="s">
        <v>816</v>
      </c>
      <c r="I528" s="106" t="s">
        <v>817</v>
      </c>
      <c r="J528" s="105">
        <v>30</v>
      </c>
      <c r="K528" s="105">
        <v>1</v>
      </c>
      <c r="L528" s="105"/>
      <c r="M528" s="705"/>
      <c r="N528" s="705"/>
      <c r="O528" s="705"/>
      <c r="P528" s="708"/>
    </row>
    <row r="529" spans="1:16" x14ac:dyDescent="0.25">
      <c r="A529" t="s">
        <v>180</v>
      </c>
      <c r="B529" s="11" t="s">
        <v>812</v>
      </c>
      <c r="C529" s="12"/>
      <c r="D529" s="104">
        <v>610000004333</v>
      </c>
      <c r="E529" s="104">
        <v>346030</v>
      </c>
      <c r="F529" s="104">
        <f>VLOOKUP(E529,'[1]Task list &amp; Maintenace plan'!$B:$G,6,FALSE)</f>
        <v>100767</v>
      </c>
      <c r="G529" s="105" t="s">
        <v>814</v>
      </c>
      <c r="H529" s="106" t="s">
        <v>818</v>
      </c>
      <c r="I529" s="106" t="s">
        <v>819</v>
      </c>
      <c r="J529" s="105">
        <v>30</v>
      </c>
      <c r="K529" s="105">
        <v>1</v>
      </c>
      <c r="L529" s="105"/>
      <c r="M529" s="705"/>
      <c r="N529" s="705"/>
      <c r="O529" s="705"/>
      <c r="P529" s="708"/>
    </row>
    <row r="530" spans="1:16" x14ac:dyDescent="0.25">
      <c r="A530" t="s">
        <v>180</v>
      </c>
      <c r="B530" s="11" t="s">
        <v>812</v>
      </c>
      <c r="C530" s="12"/>
      <c r="D530" s="104">
        <v>610000004333</v>
      </c>
      <c r="E530" s="104">
        <v>346030</v>
      </c>
      <c r="F530" s="104">
        <f>VLOOKUP(E530,'[1]Task list &amp; Maintenace plan'!$B:$G,6,FALSE)</f>
        <v>100767</v>
      </c>
      <c r="G530" s="105" t="s">
        <v>814</v>
      </c>
      <c r="H530" s="106" t="s">
        <v>820</v>
      </c>
      <c r="I530" s="106" t="s">
        <v>821</v>
      </c>
      <c r="J530" s="105">
        <v>30</v>
      </c>
      <c r="K530" s="105">
        <v>1</v>
      </c>
      <c r="L530" s="105"/>
      <c r="M530" s="705"/>
      <c r="N530" s="705"/>
      <c r="O530" s="705"/>
      <c r="P530" s="708"/>
    </row>
    <row r="531" spans="1:16" x14ac:dyDescent="0.25">
      <c r="A531" t="s">
        <v>180</v>
      </c>
      <c r="B531" s="11" t="s">
        <v>812</v>
      </c>
      <c r="C531" s="12"/>
      <c r="D531" s="104">
        <v>610000004333</v>
      </c>
      <c r="E531" s="104">
        <v>346030</v>
      </c>
      <c r="F531" s="104">
        <f>VLOOKUP(E531,'[1]Task list &amp; Maintenace plan'!$B:$G,6,FALSE)</f>
        <v>100767</v>
      </c>
      <c r="G531" s="105" t="s">
        <v>814</v>
      </c>
      <c r="H531" s="106" t="s">
        <v>822</v>
      </c>
      <c r="I531" s="106" t="s">
        <v>823</v>
      </c>
      <c r="J531" s="105">
        <v>30</v>
      </c>
      <c r="K531" s="105">
        <v>1</v>
      </c>
      <c r="L531" s="105"/>
      <c r="M531" s="705"/>
      <c r="N531" s="705"/>
      <c r="O531" s="705"/>
      <c r="P531" s="708"/>
    </row>
    <row r="532" spans="1:16" x14ac:dyDescent="0.25">
      <c r="A532" t="s">
        <v>180</v>
      </c>
      <c r="B532" s="11" t="s">
        <v>812</v>
      </c>
      <c r="C532" s="12"/>
      <c r="D532" s="104">
        <v>610000004333</v>
      </c>
      <c r="E532" s="104">
        <v>346030</v>
      </c>
      <c r="F532" s="104">
        <f>VLOOKUP(E532,'[1]Task list &amp; Maintenace plan'!$B:$G,6,FALSE)</f>
        <v>100767</v>
      </c>
      <c r="G532" s="105" t="s">
        <v>814</v>
      </c>
      <c r="H532" s="106" t="s">
        <v>824</v>
      </c>
      <c r="I532" s="106" t="s">
        <v>825</v>
      </c>
      <c r="J532" s="105">
        <v>30</v>
      </c>
      <c r="K532" s="105">
        <v>1</v>
      </c>
      <c r="L532" s="105"/>
      <c r="M532" s="705"/>
      <c r="N532" s="705"/>
      <c r="O532" s="705"/>
      <c r="P532" s="708"/>
    </row>
    <row r="533" spans="1:16" x14ac:dyDescent="0.25">
      <c r="A533" t="s">
        <v>180</v>
      </c>
      <c r="B533" s="11" t="s">
        <v>812</v>
      </c>
      <c r="C533" s="12"/>
      <c r="D533" s="104">
        <v>610000004333</v>
      </c>
      <c r="E533" s="104">
        <v>346030</v>
      </c>
      <c r="F533" s="104">
        <f>VLOOKUP(E533,'[1]Task list &amp; Maintenace plan'!$B:$G,6,FALSE)</f>
        <v>100767</v>
      </c>
      <c r="G533" s="105" t="s">
        <v>814</v>
      </c>
      <c r="H533" s="106" t="s">
        <v>826</v>
      </c>
      <c r="I533" s="106" t="s">
        <v>827</v>
      </c>
      <c r="J533" s="105">
        <v>30</v>
      </c>
      <c r="K533" s="105">
        <v>1</v>
      </c>
      <c r="L533" s="105"/>
      <c r="M533" s="705"/>
      <c r="N533" s="705"/>
      <c r="O533" s="705"/>
      <c r="P533" s="708"/>
    </row>
    <row r="534" spans="1:16" x14ac:dyDescent="0.25">
      <c r="A534" t="s">
        <v>180</v>
      </c>
      <c r="B534" s="11" t="s">
        <v>812</v>
      </c>
      <c r="C534" s="12"/>
      <c r="D534" s="104">
        <v>610000004333</v>
      </c>
      <c r="E534" s="104">
        <v>346030</v>
      </c>
      <c r="F534" s="104">
        <f>VLOOKUP(E534,'[1]Task list &amp; Maintenace plan'!$B:$G,6,FALSE)</f>
        <v>100767</v>
      </c>
      <c r="G534" s="105" t="s">
        <v>814</v>
      </c>
      <c r="H534" s="106" t="s">
        <v>828</v>
      </c>
      <c r="I534" s="106" t="s">
        <v>829</v>
      </c>
      <c r="J534" s="105">
        <v>30</v>
      </c>
      <c r="K534" s="105">
        <v>1</v>
      </c>
      <c r="L534" s="105"/>
      <c r="M534" s="705"/>
      <c r="N534" s="705"/>
      <c r="O534" s="705"/>
      <c r="P534" s="708"/>
    </row>
    <row r="535" spans="1:16" x14ac:dyDescent="0.25">
      <c r="A535" t="s">
        <v>180</v>
      </c>
      <c r="B535" s="11" t="s">
        <v>812</v>
      </c>
      <c r="C535" s="12"/>
      <c r="D535" s="104">
        <v>610000004333</v>
      </c>
      <c r="E535" s="104">
        <v>346030</v>
      </c>
      <c r="F535" s="104">
        <f>VLOOKUP(E535,'[1]Task list &amp; Maintenace plan'!$B:$G,6,FALSE)</f>
        <v>100767</v>
      </c>
      <c r="G535" s="105" t="s">
        <v>814</v>
      </c>
      <c r="H535" s="106" t="s">
        <v>830</v>
      </c>
      <c r="I535" s="106" t="s">
        <v>831</v>
      </c>
      <c r="J535" s="105">
        <v>30</v>
      </c>
      <c r="K535" s="105">
        <v>1</v>
      </c>
      <c r="L535" s="105"/>
      <c r="M535" s="705"/>
      <c r="N535" s="705"/>
      <c r="O535" s="705"/>
      <c r="P535" s="708"/>
    </row>
    <row r="536" spans="1:16" x14ac:dyDescent="0.25">
      <c r="A536" t="s">
        <v>180</v>
      </c>
      <c r="B536" s="11" t="s">
        <v>812</v>
      </c>
      <c r="C536" s="12"/>
      <c r="D536" s="104">
        <v>610000004333</v>
      </c>
      <c r="E536" s="104">
        <v>346030</v>
      </c>
      <c r="F536" s="104">
        <f>VLOOKUP(E536,'[1]Task list &amp; Maintenace plan'!$B:$G,6,FALSE)</f>
        <v>100767</v>
      </c>
      <c r="G536" s="105" t="s">
        <v>814</v>
      </c>
      <c r="H536" s="106" t="s">
        <v>832</v>
      </c>
      <c r="I536" s="106" t="s">
        <v>833</v>
      </c>
      <c r="J536" s="105">
        <v>30</v>
      </c>
      <c r="K536" s="105">
        <v>1</v>
      </c>
      <c r="L536" s="105"/>
      <c r="M536" s="705"/>
      <c r="N536" s="705"/>
      <c r="O536" s="705"/>
      <c r="P536" s="708"/>
    </row>
    <row r="537" spans="1:16" x14ac:dyDescent="0.25">
      <c r="A537" t="s">
        <v>180</v>
      </c>
      <c r="B537" s="11" t="s">
        <v>812</v>
      </c>
      <c r="C537" s="12"/>
      <c r="D537" s="104">
        <v>610000004333</v>
      </c>
      <c r="E537" s="104">
        <v>346030</v>
      </c>
      <c r="F537" s="104">
        <f>VLOOKUP(E537,'[1]Task list &amp; Maintenace plan'!$B:$G,6,FALSE)</f>
        <v>100767</v>
      </c>
      <c r="G537" s="105" t="s">
        <v>814</v>
      </c>
      <c r="H537" s="106" t="s">
        <v>813</v>
      </c>
      <c r="I537" s="106" t="s">
        <v>834</v>
      </c>
      <c r="J537" s="105">
        <v>30</v>
      </c>
      <c r="K537" s="105">
        <v>1</v>
      </c>
      <c r="L537" s="105"/>
      <c r="M537" s="705"/>
      <c r="N537" s="705"/>
      <c r="O537" s="705"/>
      <c r="P537" s="708"/>
    </row>
    <row r="538" spans="1:16" x14ac:dyDescent="0.25">
      <c r="A538" t="s">
        <v>180</v>
      </c>
      <c r="B538" s="11" t="s">
        <v>812</v>
      </c>
      <c r="C538" s="12"/>
      <c r="D538" s="104">
        <v>610000004333</v>
      </c>
      <c r="E538" s="104">
        <v>346030</v>
      </c>
      <c r="F538" s="104">
        <f>VLOOKUP(E538,'[1]Task list &amp; Maintenace plan'!$B:$G,6,FALSE)</f>
        <v>100767</v>
      </c>
      <c r="G538" s="105" t="s">
        <v>814</v>
      </c>
      <c r="H538" s="106" t="s">
        <v>816</v>
      </c>
      <c r="I538" s="106" t="s">
        <v>835</v>
      </c>
      <c r="J538" s="105">
        <v>30</v>
      </c>
      <c r="K538" s="105">
        <v>1</v>
      </c>
      <c r="L538" s="105"/>
      <c r="M538" s="705"/>
      <c r="N538" s="705"/>
      <c r="O538" s="705"/>
      <c r="P538" s="708"/>
    </row>
    <row r="539" spans="1:16" x14ac:dyDescent="0.25">
      <c r="A539" t="s">
        <v>180</v>
      </c>
      <c r="B539" s="11" t="s">
        <v>812</v>
      </c>
      <c r="C539" s="12"/>
      <c r="D539" s="104">
        <v>610000004333</v>
      </c>
      <c r="E539" s="104">
        <v>346030</v>
      </c>
      <c r="F539" s="104">
        <f>VLOOKUP(E539,'[1]Task list &amp; Maintenace plan'!$B:$G,6,FALSE)</f>
        <v>100767</v>
      </c>
      <c r="G539" s="105" t="s">
        <v>814</v>
      </c>
      <c r="H539" s="106" t="s">
        <v>818</v>
      </c>
      <c r="I539" s="106" t="s">
        <v>836</v>
      </c>
      <c r="J539" s="105">
        <v>30</v>
      </c>
      <c r="K539" s="105">
        <v>1</v>
      </c>
      <c r="L539" s="105"/>
      <c r="M539" s="705"/>
      <c r="N539" s="705"/>
      <c r="O539" s="705"/>
      <c r="P539" s="708"/>
    </row>
    <row r="540" spans="1:16" x14ac:dyDescent="0.25">
      <c r="A540" t="s">
        <v>180</v>
      </c>
      <c r="B540" s="11" t="s">
        <v>812</v>
      </c>
      <c r="C540" s="12"/>
      <c r="D540" s="104">
        <v>610000004333</v>
      </c>
      <c r="E540" s="104">
        <v>346030</v>
      </c>
      <c r="F540" s="104">
        <f>VLOOKUP(E540,'[1]Task list &amp; Maintenace plan'!$B:$G,6,FALSE)</f>
        <v>100767</v>
      </c>
      <c r="G540" s="105" t="s">
        <v>814</v>
      </c>
      <c r="H540" s="106" t="s">
        <v>820</v>
      </c>
      <c r="I540" s="106" t="s">
        <v>837</v>
      </c>
      <c r="J540" s="105">
        <v>30</v>
      </c>
      <c r="K540" s="105">
        <v>1</v>
      </c>
      <c r="L540" s="105"/>
      <c r="M540" s="705"/>
      <c r="N540" s="705"/>
      <c r="O540" s="705"/>
      <c r="P540" s="708"/>
    </row>
    <row r="541" spans="1:16" x14ac:dyDescent="0.25">
      <c r="A541" t="s">
        <v>180</v>
      </c>
      <c r="B541" s="11" t="s">
        <v>812</v>
      </c>
      <c r="C541" s="12"/>
      <c r="D541" s="104">
        <v>610000004333</v>
      </c>
      <c r="E541" s="104">
        <v>346030</v>
      </c>
      <c r="F541" s="104">
        <f>VLOOKUP(E541,'[1]Task list &amp; Maintenace plan'!$B:$G,6,FALSE)</f>
        <v>100767</v>
      </c>
      <c r="G541" s="105" t="s">
        <v>814</v>
      </c>
      <c r="H541" s="106" t="s">
        <v>822</v>
      </c>
      <c r="I541" s="106" t="s">
        <v>838</v>
      </c>
      <c r="J541" s="105">
        <v>30</v>
      </c>
      <c r="K541" s="105">
        <v>1</v>
      </c>
      <c r="L541" s="105"/>
      <c r="M541" s="705"/>
      <c r="N541" s="705"/>
      <c r="O541" s="705"/>
      <c r="P541" s="708"/>
    </row>
    <row r="542" spans="1:16" x14ac:dyDescent="0.25">
      <c r="A542" t="s">
        <v>180</v>
      </c>
      <c r="B542" s="11" t="s">
        <v>812</v>
      </c>
      <c r="C542" s="12"/>
      <c r="D542" s="104">
        <v>610000004333</v>
      </c>
      <c r="E542" s="104">
        <v>346030</v>
      </c>
      <c r="F542" s="104">
        <f>VLOOKUP(E542,'[1]Task list &amp; Maintenace plan'!$B:$G,6,FALSE)</f>
        <v>100767</v>
      </c>
      <c r="G542" s="105" t="s">
        <v>814</v>
      </c>
      <c r="H542" s="106" t="s">
        <v>824</v>
      </c>
      <c r="I542" s="106" t="s">
        <v>839</v>
      </c>
      <c r="J542" s="105">
        <v>30</v>
      </c>
      <c r="K542" s="105">
        <v>1</v>
      </c>
      <c r="L542" s="105"/>
      <c r="M542" s="705"/>
      <c r="N542" s="705"/>
      <c r="O542" s="705"/>
      <c r="P542" s="708"/>
    </row>
    <row r="543" spans="1:16" x14ac:dyDescent="0.25">
      <c r="A543" t="s">
        <v>180</v>
      </c>
      <c r="B543" s="11" t="s">
        <v>812</v>
      </c>
      <c r="C543" s="12"/>
      <c r="D543" s="104">
        <v>610000004333</v>
      </c>
      <c r="E543" s="104">
        <v>346030</v>
      </c>
      <c r="F543" s="104">
        <f>VLOOKUP(E543,'[1]Task list &amp; Maintenace plan'!$B:$G,6,FALSE)</f>
        <v>100767</v>
      </c>
      <c r="G543" s="105" t="s">
        <v>814</v>
      </c>
      <c r="H543" s="106" t="s">
        <v>826</v>
      </c>
      <c r="I543" s="106" t="s">
        <v>840</v>
      </c>
      <c r="J543" s="105">
        <v>30</v>
      </c>
      <c r="K543" s="105">
        <v>1</v>
      </c>
      <c r="L543" s="105"/>
      <c r="M543" s="705"/>
      <c r="N543" s="705"/>
      <c r="O543" s="705"/>
      <c r="P543" s="708"/>
    </row>
    <row r="544" spans="1:16" x14ac:dyDescent="0.25">
      <c r="A544" t="s">
        <v>180</v>
      </c>
      <c r="B544" s="11" t="s">
        <v>812</v>
      </c>
      <c r="C544" s="12"/>
      <c r="D544" s="104">
        <v>610000004333</v>
      </c>
      <c r="E544" s="104">
        <v>346030</v>
      </c>
      <c r="F544" s="104">
        <f>VLOOKUP(E544,'[1]Task list &amp; Maintenace plan'!$B:$G,6,FALSE)</f>
        <v>100767</v>
      </c>
      <c r="G544" s="105" t="s">
        <v>814</v>
      </c>
      <c r="H544" s="106" t="s">
        <v>828</v>
      </c>
      <c r="I544" s="106" t="s">
        <v>841</v>
      </c>
      <c r="J544" s="105">
        <v>30</v>
      </c>
      <c r="K544" s="105">
        <v>1</v>
      </c>
      <c r="L544" s="105"/>
      <c r="M544" s="705"/>
      <c r="N544" s="705"/>
      <c r="O544" s="705"/>
      <c r="P544" s="708"/>
    </row>
    <row r="545" spans="1:16" x14ac:dyDescent="0.25">
      <c r="A545" t="s">
        <v>180</v>
      </c>
      <c r="B545" s="11" t="s">
        <v>812</v>
      </c>
      <c r="C545" s="12"/>
      <c r="D545" s="104">
        <v>610000004333</v>
      </c>
      <c r="E545" s="104">
        <v>346030</v>
      </c>
      <c r="F545" s="104">
        <f>VLOOKUP(E545,'[1]Task list &amp; Maintenace plan'!$B:$G,6,FALSE)</f>
        <v>100767</v>
      </c>
      <c r="G545" s="105" t="s">
        <v>814</v>
      </c>
      <c r="H545" s="106" t="s">
        <v>830</v>
      </c>
      <c r="I545" s="106" t="s">
        <v>842</v>
      </c>
      <c r="J545" s="105">
        <v>30</v>
      </c>
      <c r="K545" s="105">
        <v>1</v>
      </c>
      <c r="L545" s="105"/>
      <c r="M545" s="705"/>
      <c r="N545" s="705"/>
      <c r="O545" s="705"/>
      <c r="P545" s="708"/>
    </row>
    <row r="546" spans="1:16" x14ac:dyDescent="0.25">
      <c r="A546" t="s">
        <v>180</v>
      </c>
      <c r="B546" s="11" t="s">
        <v>812</v>
      </c>
      <c r="C546" s="12"/>
      <c r="D546" s="103">
        <v>610000004333</v>
      </c>
      <c r="E546" s="103">
        <v>346030</v>
      </c>
      <c r="F546" s="103">
        <f>VLOOKUP(E546,'[1]Task list &amp; Maintenace plan'!$B:$G,6,FALSE)</f>
        <v>100767</v>
      </c>
      <c r="G546" s="85" t="s">
        <v>814</v>
      </c>
      <c r="H546" s="84" t="s">
        <v>832</v>
      </c>
      <c r="I546" s="84" t="s">
        <v>843</v>
      </c>
      <c r="J546" s="85">
        <v>30</v>
      </c>
      <c r="K546" s="85">
        <v>1</v>
      </c>
      <c r="L546" s="85"/>
      <c r="M546" s="706"/>
      <c r="N546" s="706"/>
      <c r="O546" s="706"/>
      <c r="P546" s="709"/>
    </row>
    <row r="547" spans="1:16" x14ac:dyDescent="0.25">
      <c r="A547" t="s">
        <v>180</v>
      </c>
      <c r="B547" s="11" t="s">
        <v>812</v>
      </c>
      <c r="C547" s="12"/>
      <c r="D547" s="140">
        <v>610000004334</v>
      </c>
      <c r="E547" s="140">
        <v>346031</v>
      </c>
      <c r="F547" s="140">
        <f>VLOOKUP(E547,'[1]Task list &amp; Maintenace plan'!$B:$G,6,FALSE)</f>
        <v>100768</v>
      </c>
      <c r="G547" s="141" t="s">
        <v>844</v>
      </c>
      <c r="H547" s="142" t="s">
        <v>813</v>
      </c>
      <c r="I547" s="102" t="s">
        <v>845</v>
      </c>
      <c r="J547" s="141">
        <v>60</v>
      </c>
      <c r="K547" s="141">
        <v>1</v>
      </c>
      <c r="L547" s="141"/>
      <c r="M547" s="710">
        <v>90</v>
      </c>
      <c r="N547" s="710">
        <v>1</v>
      </c>
      <c r="O547" s="710">
        <f>N547*M547</f>
        <v>90</v>
      </c>
      <c r="P547" s="712" t="s">
        <v>34</v>
      </c>
    </row>
    <row r="548" spans="1:16" x14ac:dyDescent="0.25">
      <c r="A548" t="s">
        <v>180</v>
      </c>
      <c r="B548" s="11" t="s">
        <v>812</v>
      </c>
      <c r="C548" s="12"/>
      <c r="D548" s="104">
        <v>610000004334</v>
      </c>
      <c r="E548" s="104">
        <v>346031</v>
      </c>
      <c r="F548" s="104">
        <f>VLOOKUP(E548,'[1]Task list &amp; Maintenace plan'!$B:$G,6,FALSE)</f>
        <v>100768</v>
      </c>
      <c r="G548" s="105" t="s">
        <v>844</v>
      </c>
      <c r="H548" s="106" t="s">
        <v>816</v>
      </c>
      <c r="I548" s="106" t="s">
        <v>846</v>
      </c>
      <c r="J548" s="105">
        <v>60</v>
      </c>
      <c r="K548" s="105">
        <v>1</v>
      </c>
      <c r="L548" s="105"/>
      <c r="M548" s="705"/>
      <c r="N548" s="705"/>
      <c r="O548" s="705"/>
      <c r="P548" s="708"/>
    </row>
    <row r="549" spans="1:16" x14ac:dyDescent="0.25">
      <c r="A549" t="s">
        <v>180</v>
      </c>
      <c r="B549" s="11" t="s">
        <v>812</v>
      </c>
      <c r="C549" s="12"/>
      <c r="D549" s="104">
        <v>610000004334</v>
      </c>
      <c r="E549" s="104">
        <v>346031</v>
      </c>
      <c r="F549" s="104">
        <f>VLOOKUP(E549,'[1]Task list &amp; Maintenace plan'!$B:$G,6,FALSE)</f>
        <v>100768</v>
      </c>
      <c r="G549" s="105" t="s">
        <v>844</v>
      </c>
      <c r="H549" s="106" t="s">
        <v>818</v>
      </c>
      <c r="I549" s="106" t="s">
        <v>847</v>
      </c>
      <c r="J549" s="105">
        <v>60</v>
      </c>
      <c r="K549" s="105">
        <v>1</v>
      </c>
      <c r="L549" s="105"/>
      <c r="M549" s="705"/>
      <c r="N549" s="705"/>
      <c r="O549" s="705"/>
      <c r="P549" s="708"/>
    </row>
    <row r="550" spans="1:16" x14ac:dyDescent="0.25">
      <c r="A550" t="s">
        <v>180</v>
      </c>
      <c r="B550" s="11" t="s">
        <v>812</v>
      </c>
      <c r="C550" s="12"/>
      <c r="D550" s="104">
        <v>610000004334</v>
      </c>
      <c r="E550" s="104">
        <v>346031</v>
      </c>
      <c r="F550" s="104">
        <f>VLOOKUP(E550,'[1]Task list &amp; Maintenace plan'!$B:$G,6,FALSE)</f>
        <v>100768</v>
      </c>
      <c r="G550" s="105" t="s">
        <v>844</v>
      </c>
      <c r="H550" s="106" t="s">
        <v>820</v>
      </c>
      <c r="I550" s="106" t="s">
        <v>848</v>
      </c>
      <c r="J550" s="105">
        <v>60</v>
      </c>
      <c r="K550" s="105">
        <v>1</v>
      </c>
      <c r="L550" s="105"/>
      <c r="M550" s="705"/>
      <c r="N550" s="705"/>
      <c r="O550" s="705"/>
      <c r="P550" s="708"/>
    </row>
    <row r="551" spans="1:16" x14ac:dyDescent="0.25">
      <c r="A551" t="s">
        <v>180</v>
      </c>
      <c r="B551" s="11" t="s">
        <v>812</v>
      </c>
      <c r="C551" s="12"/>
      <c r="D551" s="104">
        <v>610000004334</v>
      </c>
      <c r="E551" s="104">
        <v>346031</v>
      </c>
      <c r="F551" s="104">
        <f>VLOOKUP(E551,'[1]Task list &amp; Maintenace plan'!$B:$G,6,FALSE)</f>
        <v>100768</v>
      </c>
      <c r="G551" s="105" t="s">
        <v>844</v>
      </c>
      <c r="H551" s="106" t="s">
        <v>822</v>
      </c>
      <c r="I551" s="106" t="s">
        <v>849</v>
      </c>
      <c r="J551" s="105">
        <v>60</v>
      </c>
      <c r="K551" s="105">
        <v>1</v>
      </c>
      <c r="L551" s="105"/>
      <c r="M551" s="705"/>
      <c r="N551" s="705"/>
      <c r="O551" s="705"/>
      <c r="P551" s="708"/>
    </row>
    <row r="552" spans="1:16" x14ac:dyDescent="0.25">
      <c r="A552" t="s">
        <v>180</v>
      </c>
      <c r="B552" s="11" t="s">
        <v>812</v>
      </c>
      <c r="C552" s="12"/>
      <c r="D552" s="104">
        <v>610000004334</v>
      </c>
      <c r="E552" s="104">
        <v>346031</v>
      </c>
      <c r="F552" s="104">
        <f>VLOOKUP(E552,'[1]Task list &amp; Maintenace plan'!$B:$G,6,FALSE)</f>
        <v>100768</v>
      </c>
      <c r="G552" s="105" t="s">
        <v>844</v>
      </c>
      <c r="H552" s="106" t="s">
        <v>824</v>
      </c>
      <c r="I552" s="106" t="s">
        <v>850</v>
      </c>
      <c r="J552" s="105">
        <v>60</v>
      </c>
      <c r="K552" s="105">
        <v>1</v>
      </c>
      <c r="L552" s="105"/>
      <c r="M552" s="705"/>
      <c r="N552" s="705"/>
      <c r="O552" s="705"/>
      <c r="P552" s="708"/>
    </row>
    <row r="553" spans="1:16" x14ac:dyDescent="0.25">
      <c r="A553" t="s">
        <v>180</v>
      </c>
      <c r="B553" s="11" t="s">
        <v>812</v>
      </c>
      <c r="C553" s="12"/>
      <c r="D553" s="104">
        <v>610000004334</v>
      </c>
      <c r="E553" s="104">
        <v>346031</v>
      </c>
      <c r="F553" s="104">
        <f>VLOOKUP(E553,'[1]Task list &amp; Maintenace plan'!$B:$G,6,FALSE)</f>
        <v>100768</v>
      </c>
      <c r="G553" s="105" t="s">
        <v>844</v>
      </c>
      <c r="H553" s="106" t="s">
        <v>826</v>
      </c>
      <c r="I553" s="106" t="s">
        <v>851</v>
      </c>
      <c r="J553" s="105">
        <v>60</v>
      </c>
      <c r="K553" s="105">
        <v>1</v>
      </c>
      <c r="L553" s="105"/>
      <c r="M553" s="705"/>
      <c r="N553" s="705"/>
      <c r="O553" s="705"/>
      <c r="P553" s="708"/>
    </row>
    <row r="554" spans="1:16" x14ac:dyDescent="0.25">
      <c r="A554" t="s">
        <v>180</v>
      </c>
      <c r="B554" s="11" t="s">
        <v>812</v>
      </c>
      <c r="C554" s="12"/>
      <c r="D554" s="104">
        <v>610000004334</v>
      </c>
      <c r="E554" s="104">
        <v>346031</v>
      </c>
      <c r="F554" s="104">
        <f>VLOOKUP(E554,'[1]Task list &amp; Maintenace plan'!$B:$G,6,FALSE)</f>
        <v>100768</v>
      </c>
      <c r="G554" s="105" t="s">
        <v>844</v>
      </c>
      <c r="H554" s="106" t="s">
        <v>828</v>
      </c>
      <c r="I554" s="106" t="s">
        <v>852</v>
      </c>
      <c r="J554" s="105">
        <v>60</v>
      </c>
      <c r="K554" s="105">
        <v>1</v>
      </c>
      <c r="L554" s="105"/>
      <c r="M554" s="705"/>
      <c r="N554" s="705"/>
      <c r="O554" s="705"/>
      <c r="P554" s="708"/>
    </row>
    <row r="555" spans="1:16" x14ac:dyDescent="0.25">
      <c r="A555" t="s">
        <v>180</v>
      </c>
      <c r="B555" s="11" t="s">
        <v>812</v>
      </c>
      <c r="C555" s="12"/>
      <c r="D555" s="104">
        <v>610000004334</v>
      </c>
      <c r="E555" s="104">
        <v>346031</v>
      </c>
      <c r="F555" s="104">
        <f>VLOOKUP(E555,'[1]Task list &amp; Maintenace plan'!$B:$G,6,FALSE)</f>
        <v>100768</v>
      </c>
      <c r="G555" s="105" t="s">
        <v>844</v>
      </c>
      <c r="H555" s="106" t="s">
        <v>830</v>
      </c>
      <c r="I555" s="106" t="s">
        <v>853</v>
      </c>
      <c r="J555" s="105">
        <v>60</v>
      </c>
      <c r="K555" s="105">
        <v>1</v>
      </c>
      <c r="L555" s="105"/>
      <c r="M555" s="705"/>
      <c r="N555" s="705"/>
      <c r="O555" s="705"/>
      <c r="P555" s="708"/>
    </row>
    <row r="556" spans="1:16" ht="15.75" thickBot="1" x14ac:dyDescent="0.3">
      <c r="A556" t="s">
        <v>180</v>
      </c>
      <c r="B556" s="11" t="s">
        <v>812</v>
      </c>
      <c r="C556" s="27"/>
      <c r="D556" s="147">
        <v>610000004334</v>
      </c>
      <c r="E556" s="147">
        <v>346031</v>
      </c>
      <c r="F556" s="147">
        <f>VLOOKUP(E556,'[1]Task list &amp; Maintenace plan'!$B:$G,6,FALSE)</f>
        <v>100768</v>
      </c>
      <c r="G556" s="148" t="s">
        <v>844</v>
      </c>
      <c r="H556" s="149" t="s">
        <v>832</v>
      </c>
      <c r="I556" s="149" t="s">
        <v>854</v>
      </c>
      <c r="J556" s="148">
        <v>60</v>
      </c>
      <c r="K556" s="148">
        <v>1</v>
      </c>
      <c r="L556" s="148"/>
      <c r="M556" s="714"/>
      <c r="N556" s="714"/>
      <c r="O556" s="714"/>
      <c r="P556" s="715"/>
    </row>
    <row r="557" spans="1:16" x14ac:dyDescent="0.25">
      <c r="A557" t="s">
        <v>180</v>
      </c>
      <c r="B557" s="11" t="s">
        <v>855</v>
      </c>
      <c r="C557" s="12"/>
      <c r="D557" s="140">
        <v>610000004337</v>
      </c>
      <c r="E557" s="140">
        <v>346032</v>
      </c>
      <c r="F557" s="140">
        <f>VLOOKUP(E557,'[1]Task list &amp; Maintenace plan'!$B:$G,6,FALSE)</f>
        <v>100771</v>
      </c>
      <c r="G557" s="141" t="s">
        <v>857</v>
      </c>
      <c r="H557" s="142" t="s">
        <v>856</v>
      </c>
      <c r="I557" s="107" t="s">
        <v>858</v>
      </c>
      <c r="J557" s="141">
        <v>30</v>
      </c>
      <c r="K557" s="141">
        <v>1</v>
      </c>
      <c r="L557" s="141"/>
      <c r="M557" s="724">
        <v>90</v>
      </c>
      <c r="N557" s="724">
        <v>1</v>
      </c>
      <c r="O557" s="724">
        <f>N557*M557</f>
        <v>90</v>
      </c>
      <c r="P557" s="725" t="s">
        <v>20</v>
      </c>
    </row>
    <row r="558" spans="1:16" x14ac:dyDescent="0.25">
      <c r="A558" t="s">
        <v>180</v>
      </c>
      <c r="B558" s="11" t="s">
        <v>855</v>
      </c>
      <c r="C558" s="12"/>
      <c r="D558" s="104">
        <v>610000004337</v>
      </c>
      <c r="E558" s="104">
        <v>346032</v>
      </c>
      <c r="F558" s="104">
        <f>VLOOKUP(E558,'[1]Task list &amp; Maintenace plan'!$B:$G,6,FALSE)</f>
        <v>100771</v>
      </c>
      <c r="G558" s="105" t="s">
        <v>857</v>
      </c>
      <c r="H558" s="106" t="s">
        <v>859</v>
      </c>
      <c r="I558" s="106" t="s">
        <v>860</v>
      </c>
      <c r="J558" s="105">
        <v>30</v>
      </c>
      <c r="K558" s="105">
        <v>1</v>
      </c>
      <c r="L558" s="105"/>
      <c r="M558" s="705"/>
      <c r="N558" s="705"/>
      <c r="O558" s="705"/>
      <c r="P558" s="708"/>
    </row>
    <row r="559" spans="1:16" x14ac:dyDescent="0.25">
      <c r="A559" t="s">
        <v>180</v>
      </c>
      <c r="B559" s="11" t="s">
        <v>855</v>
      </c>
      <c r="C559" s="12"/>
      <c r="D559" s="104">
        <v>610000004337</v>
      </c>
      <c r="E559" s="104">
        <v>346032</v>
      </c>
      <c r="F559" s="104">
        <f>VLOOKUP(E559,'[1]Task list &amp; Maintenace plan'!$B:$G,6,FALSE)</f>
        <v>100771</v>
      </c>
      <c r="G559" s="105" t="s">
        <v>857</v>
      </c>
      <c r="H559" s="106" t="s">
        <v>861</v>
      </c>
      <c r="I559" s="106" t="s">
        <v>862</v>
      </c>
      <c r="J559" s="105">
        <v>30</v>
      </c>
      <c r="K559" s="105">
        <v>1</v>
      </c>
      <c r="L559" s="105"/>
      <c r="M559" s="705"/>
      <c r="N559" s="705"/>
      <c r="O559" s="705"/>
      <c r="P559" s="708"/>
    </row>
    <row r="560" spans="1:16" x14ac:dyDescent="0.25">
      <c r="A560" t="s">
        <v>180</v>
      </c>
      <c r="B560" s="11" t="s">
        <v>855</v>
      </c>
      <c r="C560" s="12"/>
      <c r="D560" s="104">
        <v>610000004337</v>
      </c>
      <c r="E560" s="104">
        <v>346032</v>
      </c>
      <c r="F560" s="104">
        <f>VLOOKUP(E560,'[1]Task list &amp; Maintenace plan'!$B:$G,6,FALSE)</f>
        <v>100771</v>
      </c>
      <c r="G560" s="105" t="s">
        <v>857</v>
      </c>
      <c r="H560" s="106" t="s">
        <v>863</v>
      </c>
      <c r="I560" s="106" t="s">
        <v>864</v>
      </c>
      <c r="J560" s="105">
        <v>30</v>
      </c>
      <c r="K560" s="105">
        <v>1</v>
      </c>
      <c r="L560" s="105"/>
      <c r="M560" s="705"/>
      <c r="N560" s="705"/>
      <c r="O560" s="705"/>
      <c r="P560" s="708"/>
    </row>
    <row r="561" spans="1:16" x14ac:dyDescent="0.25">
      <c r="A561" t="s">
        <v>180</v>
      </c>
      <c r="B561" s="11" t="s">
        <v>855</v>
      </c>
      <c r="C561" s="12"/>
      <c r="D561" s="104">
        <v>610000004337</v>
      </c>
      <c r="E561" s="104">
        <v>346032</v>
      </c>
      <c r="F561" s="104">
        <f>VLOOKUP(E561,'[1]Task list &amp; Maintenace plan'!$B:$G,6,FALSE)</f>
        <v>100771</v>
      </c>
      <c r="G561" s="105" t="s">
        <v>857</v>
      </c>
      <c r="H561" s="106" t="s">
        <v>865</v>
      </c>
      <c r="I561" s="106" t="s">
        <v>866</v>
      </c>
      <c r="J561" s="105">
        <v>30</v>
      </c>
      <c r="K561" s="105">
        <v>1</v>
      </c>
      <c r="L561" s="105"/>
      <c r="M561" s="705"/>
      <c r="N561" s="705"/>
      <c r="O561" s="705"/>
      <c r="P561" s="708"/>
    </row>
    <row r="562" spans="1:16" x14ac:dyDescent="0.25">
      <c r="A562" t="s">
        <v>180</v>
      </c>
      <c r="B562" s="11" t="s">
        <v>855</v>
      </c>
      <c r="C562" s="12"/>
      <c r="D562" s="104">
        <v>610000004337</v>
      </c>
      <c r="E562" s="104">
        <v>346032</v>
      </c>
      <c r="F562" s="104">
        <f>VLOOKUP(E562,'[1]Task list &amp; Maintenace plan'!$B:$G,6,FALSE)</f>
        <v>100771</v>
      </c>
      <c r="G562" s="105" t="s">
        <v>857</v>
      </c>
      <c r="H562" s="106" t="s">
        <v>867</v>
      </c>
      <c r="I562" s="106" t="s">
        <v>868</v>
      </c>
      <c r="J562" s="105">
        <v>30</v>
      </c>
      <c r="K562" s="105">
        <v>1</v>
      </c>
      <c r="L562" s="105"/>
      <c r="M562" s="705"/>
      <c r="N562" s="705"/>
      <c r="O562" s="705"/>
      <c r="P562" s="708"/>
    </row>
    <row r="563" spans="1:16" x14ac:dyDescent="0.25">
      <c r="A563" t="s">
        <v>180</v>
      </c>
      <c r="B563" s="11" t="s">
        <v>855</v>
      </c>
      <c r="C563" s="12"/>
      <c r="D563" s="104">
        <v>610000004337</v>
      </c>
      <c r="E563" s="104">
        <v>346032</v>
      </c>
      <c r="F563" s="104">
        <f>VLOOKUP(E563,'[1]Task list &amp; Maintenace plan'!$B:$G,6,FALSE)</f>
        <v>100771</v>
      </c>
      <c r="G563" s="105" t="s">
        <v>857</v>
      </c>
      <c r="H563" s="106" t="s">
        <v>869</v>
      </c>
      <c r="I563" s="106" t="s">
        <v>870</v>
      </c>
      <c r="J563" s="105">
        <v>30</v>
      </c>
      <c r="K563" s="105">
        <v>1</v>
      </c>
      <c r="L563" s="105"/>
      <c r="M563" s="705"/>
      <c r="N563" s="705"/>
      <c r="O563" s="705"/>
      <c r="P563" s="708"/>
    </row>
    <row r="564" spans="1:16" x14ac:dyDescent="0.25">
      <c r="A564" t="s">
        <v>180</v>
      </c>
      <c r="B564" s="11" t="s">
        <v>855</v>
      </c>
      <c r="C564" s="12"/>
      <c r="D564" s="104">
        <v>610000004337</v>
      </c>
      <c r="E564" s="104">
        <v>346032</v>
      </c>
      <c r="F564" s="104">
        <f>VLOOKUP(E564,'[1]Task list &amp; Maintenace plan'!$B:$G,6,FALSE)</f>
        <v>100771</v>
      </c>
      <c r="G564" s="105" t="s">
        <v>857</v>
      </c>
      <c r="H564" s="106" t="s">
        <v>871</v>
      </c>
      <c r="I564" s="106" t="s">
        <v>872</v>
      </c>
      <c r="J564" s="105">
        <v>30</v>
      </c>
      <c r="K564" s="105">
        <v>1</v>
      </c>
      <c r="L564" s="105"/>
      <c r="M564" s="705"/>
      <c r="N564" s="705"/>
      <c r="O564" s="705"/>
      <c r="P564" s="708"/>
    </row>
    <row r="565" spans="1:16" x14ac:dyDescent="0.25">
      <c r="A565" t="s">
        <v>180</v>
      </c>
      <c r="B565" s="11" t="s">
        <v>855</v>
      </c>
      <c r="C565" s="12"/>
      <c r="D565" s="104">
        <v>610000004337</v>
      </c>
      <c r="E565" s="104">
        <v>346032</v>
      </c>
      <c r="F565" s="104">
        <f>VLOOKUP(E565,'[1]Task list &amp; Maintenace plan'!$B:$G,6,FALSE)</f>
        <v>100771</v>
      </c>
      <c r="G565" s="105" t="s">
        <v>857</v>
      </c>
      <c r="H565" s="106" t="s">
        <v>873</v>
      </c>
      <c r="I565" s="106" t="s">
        <v>874</v>
      </c>
      <c r="J565" s="105">
        <v>30</v>
      </c>
      <c r="K565" s="105">
        <v>1</v>
      </c>
      <c r="L565" s="105"/>
      <c r="M565" s="705"/>
      <c r="N565" s="705"/>
      <c r="O565" s="705"/>
      <c r="P565" s="708"/>
    </row>
    <row r="566" spans="1:16" x14ac:dyDescent="0.25">
      <c r="A566" t="s">
        <v>180</v>
      </c>
      <c r="B566" s="11" t="s">
        <v>855</v>
      </c>
      <c r="C566" s="12"/>
      <c r="D566" s="104">
        <v>610000004337</v>
      </c>
      <c r="E566" s="104">
        <v>346032</v>
      </c>
      <c r="F566" s="104">
        <f>VLOOKUP(E566,'[1]Task list &amp; Maintenace plan'!$B:$G,6,FALSE)</f>
        <v>100771</v>
      </c>
      <c r="G566" s="105" t="s">
        <v>857</v>
      </c>
      <c r="H566" s="106" t="s">
        <v>875</v>
      </c>
      <c r="I566" s="106" t="s">
        <v>876</v>
      </c>
      <c r="J566" s="105">
        <v>30</v>
      </c>
      <c r="K566" s="105">
        <v>1</v>
      </c>
      <c r="L566" s="105"/>
      <c r="M566" s="705"/>
      <c r="N566" s="705"/>
      <c r="O566" s="705"/>
      <c r="P566" s="708"/>
    </row>
    <row r="567" spans="1:16" x14ac:dyDescent="0.25">
      <c r="A567" t="s">
        <v>180</v>
      </c>
      <c r="B567" s="11" t="s">
        <v>855</v>
      </c>
      <c r="C567" s="12"/>
      <c r="D567" s="104">
        <v>610000004337</v>
      </c>
      <c r="E567" s="104">
        <v>346032</v>
      </c>
      <c r="F567" s="104">
        <f>VLOOKUP(E567,'[1]Task list &amp; Maintenace plan'!$B:$G,6,FALSE)</f>
        <v>100771</v>
      </c>
      <c r="G567" s="105" t="s">
        <v>857</v>
      </c>
      <c r="H567" s="106" t="s">
        <v>877</v>
      </c>
      <c r="I567" s="106" t="s">
        <v>878</v>
      </c>
      <c r="J567" s="105">
        <v>30</v>
      </c>
      <c r="K567" s="105">
        <v>1</v>
      </c>
      <c r="L567" s="105"/>
      <c r="M567" s="705"/>
      <c r="N567" s="705"/>
      <c r="O567" s="705"/>
      <c r="P567" s="708"/>
    </row>
    <row r="568" spans="1:16" x14ac:dyDescent="0.25">
      <c r="A568" t="s">
        <v>180</v>
      </c>
      <c r="B568" s="11" t="s">
        <v>855</v>
      </c>
      <c r="C568" s="12"/>
      <c r="D568" s="104">
        <v>610000004337</v>
      </c>
      <c r="E568" s="104">
        <v>346032</v>
      </c>
      <c r="F568" s="104">
        <f>VLOOKUP(E568,'[1]Task list &amp; Maintenace plan'!$B:$G,6,FALSE)</f>
        <v>100771</v>
      </c>
      <c r="G568" s="105" t="s">
        <v>857</v>
      </c>
      <c r="H568" s="106" t="s">
        <v>879</v>
      </c>
      <c r="I568" s="106" t="s">
        <v>880</v>
      </c>
      <c r="J568" s="105">
        <v>30</v>
      </c>
      <c r="K568" s="105">
        <v>1</v>
      </c>
      <c r="L568" s="105"/>
      <c r="M568" s="705"/>
      <c r="N568" s="705"/>
      <c r="O568" s="705"/>
      <c r="P568" s="708"/>
    </row>
    <row r="569" spans="1:16" x14ac:dyDescent="0.25">
      <c r="A569" t="s">
        <v>180</v>
      </c>
      <c r="B569" s="11" t="s">
        <v>855</v>
      </c>
      <c r="C569" s="12"/>
      <c r="D569" s="104">
        <v>610000004337</v>
      </c>
      <c r="E569" s="104">
        <v>346032</v>
      </c>
      <c r="F569" s="104">
        <f>VLOOKUP(E569,'[1]Task list &amp; Maintenace plan'!$B:$G,6,FALSE)</f>
        <v>100771</v>
      </c>
      <c r="G569" s="105" t="s">
        <v>857</v>
      </c>
      <c r="H569" s="106" t="s">
        <v>881</v>
      </c>
      <c r="I569" s="106" t="s">
        <v>882</v>
      </c>
      <c r="J569" s="105">
        <v>30</v>
      </c>
      <c r="K569" s="105">
        <v>1</v>
      </c>
      <c r="L569" s="105"/>
      <c r="M569" s="705"/>
      <c r="N569" s="705"/>
      <c r="O569" s="705"/>
      <c r="P569" s="708"/>
    </row>
    <row r="570" spans="1:16" x14ac:dyDescent="0.25">
      <c r="A570" t="s">
        <v>180</v>
      </c>
      <c r="B570" s="11" t="s">
        <v>855</v>
      </c>
      <c r="C570" s="12"/>
      <c r="D570" s="104">
        <v>610000004337</v>
      </c>
      <c r="E570" s="104">
        <v>346032</v>
      </c>
      <c r="F570" s="104">
        <f>VLOOKUP(E570,'[1]Task list &amp; Maintenace plan'!$B:$G,6,FALSE)</f>
        <v>100771</v>
      </c>
      <c r="G570" s="105" t="s">
        <v>857</v>
      </c>
      <c r="H570" s="106" t="s">
        <v>883</v>
      </c>
      <c r="I570" s="106" t="s">
        <v>884</v>
      </c>
      <c r="J570" s="105">
        <v>30</v>
      </c>
      <c r="K570" s="105">
        <v>1</v>
      </c>
      <c r="L570" s="105"/>
      <c r="M570" s="705"/>
      <c r="N570" s="705"/>
      <c r="O570" s="705"/>
      <c r="P570" s="708"/>
    </row>
    <row r="571" spans="1:16" x14ac:dyDescent="0.25">
      <c r="A571" t="s">
        <v>180</v>
      </c>
      <c r="B571" s="11" t="s">
        <v>855</v>
      </c>
      <c r="C571" s="51"/>
      <c r="D571" s="104">
        <v>610000004337</v>
      </c>
      <c r="E571" s="104">
        <v>346032</v>
      </c>
      <c r="F571" s="104">
        <f>VLOOKUP(E571,'[1]Task list &amp; Maintenace plan'!$B:$G,6,FALSE)</f>
        <v>100771</v>
      </c>
      <c r="G571" s="105" t="s">
        <v>857</v>
      </c>
      <c r="H571" s="106" t="s">
        <v>856</v>
      </c>
      <c r="I571" s="106" t="s">
        <v>886</v>
      </c>
      <c r="J571" s="105">
        <v>30</v>
      </c>
      <c r="K571" s="105">
        <v>1</v>
      </c>
      <c r="L571" s="105"/>
      <c r="M571" s="705"/>
      <c r="N571" s="705"/>
      <c r="O571" s="705"/>
      <c r="P571" s="708"/>
    </row>
    <row r="572" spans="1:16" x14ac:dyDescent="0.25">
      <c r="A572" t="s">
        <v>180</v>
      </c>
      <c r="B572" s="11" t="s">
        <v>855</v>
      </c>
      <c r="C572" s="51"/>
      <c r="D572" s="104">
        <v>610000004337</v>
      </c>
      <c r="E572" s="104">
        <v>346032</v>
      </c>
      <c r="F572" s="104">
        <f>VLOOKUP(E572,'[1]Task list &amp; Maintenace plan'!$B:$G,6,FALSE)</f>
        <v>100771</v>
      </c>
      <c r="G572" s="105" t="s">
        <v>857</v>
      </c>
      <c r="H572" s="106" t="s">
        <v>859</v>
      </c>
      <c r="I572" s="106" t="s">
        <v>888</v>
      </c>
      <c r="J572" s="105">
        <v>30</v>
      </c>
      <c r="K572" s="105">
        <v>1</v>
      </c>
      <c r="L572" s="105"/>
      <c r="M572" s="705"/>
      <c r="N572" s="705"/>
      <c r="O572" s="705"/>
      <c r="P572" s="708"/>
    </row>
    <row r="573" spans="1:16" x14ac:dyDescent="0.25">
      <c r="A573" t="s">
        <v>180</v>
      </c>
      <c r="B573" s="11" t="s">
        <v>855</v>
      </c>
      <c r="C573" s="51"/>
      <c r="D573" s="104">
        <v>610000004337</v>
      </c>
      <c r="E573" s="104">
        <v>346032</v>
      </c>
      <c r="F573" s="104">
        <f>VLOOKUP(E573,'[1]Task list &amp; Maintenace plan'!$B:$G,6,FALSE)</f>
        <v>100771</v>
      </c>
      <c r="G573" s="105" t="s">
        <v>857</v>
      </c>
      <c r="H573" s="106" t="s">
        <v>861</v>
      </c>
      <c r="I573" s="106" t="s">
        <v>890</v>
      </c>
      <c r="J573" s="105">
        <v>30</v>
      </c>
      <c r="K573" s="105">
        <v>1</v>
      </c>
      <c r="L573" s="105"/>
      <c r="M573" s="705"/>
      <c r="N573" s="705"/>
      <c r="O573" s="705"/>
      <c r="P573" s="708"/>
    </row>
    <row r="574" spans="1:16" x14ac:dyDescent="0.25">
      <c r="A574" t="s">
        <v>180</v>
      </c>
      <c r="B574" s="11" t="s">
        <v>855</v>
      </c>
      <c r="C574" s="51"/>
      <c r="D574" s="104">
        <v>610000004337</v>
      </c>
      <c r="E574" s="104">
        <v>346032</v>
      </c>
      <c r="F574" s="104">
        <f>VLOOKUP(E574,'[1]Task list &amp; Maintenace plan'!$B:$G,6,FALSE)</f>
        <v>100771</v>
      </c>
      <c r="G574" s="105" t="s">
        <v>857</v>
      </c>
      <c r="H574" s="106" t="s">
        <v>863</v>
      </c>
      <c r="I574" s="106" t="s">
        <v>892</v>
      </c>
      <c r="J574" s="105">
        <v>30</v>
      </c>
      <c r="K574" s="105">
        <v>1</v>
      </c>
      <c r="L574" s="105"/>
      <c r="M574" s="705"/>
      <c r="N574" s="705"/>
      <c r="O574" s="705"/>
      <c r="P574" s="708"/>
    </row>
    <row r="575" spans="1:16" x14ac:dyDescent="0.25">
      <c r="A575" t="s">
        <v>180</v>
      </c>
      <c r="B575" s="11" t="s">
        <v>855</v>
      </c>
      <c r="C575" s="51"/>
      <c r="D575" s="104">
        <v>610000004337</v>
      </c>
      <c r="E575" s="104">
        <v>346032</v>
      </c>
      <c r="F575" s="104">
        <f>VLOOKUP(E575,'[1]Task list &amp; Maintenace plan'!$B:$G,6,FALSE)</f>
        <v>100771</v>
      </c>
      <c r="G575" s="105" t="s">
        <v>857</v>
      </c>
      <c r="H575" s="106" t="s">
        <v>865</v>
      </c>
      <c r="I575" s="106" t="s">
        <v>894</v>
      </c>
      <c r="J575" s="105">
        <v>30</v>
      </c>
      <c r="K575" s="105">
        <v>1</v>
      </c>
      <c r="L575" s="105"/>
      <c r="M575" s="705"/>
      <c r="N575" s="705"/>
      <c r="O575" s="705"/>
      <c r="P575" s="708"/>
    </row>
    <row r="576" spans="1:16" x14ac:dyDescent="0.25">
      <c r="A576" t="s">
        <v>180</v>
      </c>
      <c r="B576" s="11" t="s">
        <v>855</v>
      </c>
      <c r="C576" s="51"/>
      <c r="D576" s="104">
        <v>610000004337</v>
      </c>
      <c r="E576" s="104">
        <v>346032</v>
      </c>
      <c r="F576" s="104">
        <f>VLOOKUP(E576,'[1]Task list &amp; Maintenace plan'!$B:$G,6,FALSE)</f>
        <v>100771</v>
      </c>
      <c r="G576" s="105" t="s">
        <v>857</v>
      </c>
      <c r="H576" s="106" t="s">
        <v>867</v>
      </c>
      <c r="I576" s="106" t="s">
        <v>896</v>
      </c>
      <c r="J576" s="105">
        <v>30</v>
      </c>
      <c r="K576" s="105">
        <v>1</v>
      </c>
      <c r="L576" s="105"/>
      <c r="M576" s="705"/>
      <c r="N576" s="705"/>
      <c r="O576" s="705"/>
      <c r="P576" s="708"/>
    </row>
    <row r="577" spans="1:16" x14ac:dyDescent="0.25">
      <c r="A577" t="s">
        <v>180</v>
      </c>
      <c r="B577" s="11" t="s">
        <v>855</v>
      </c>
      <c r="C577" s="51"/>
      <c r="D577" s="104">
        <v>610000004337</v>
      </c>
      <c r="E577" s="104">
        <v>346032</v>
      </c>
      <c r="F577" s="104">
        <f>VLOOKUP(E577,'[1]Task list &amp; Maintenace plan'!$B:$G,6,FALSE)</f>
        <v>100771</v>
      </c>
      <c r="G577" s="105" t="s">
        <v>857</v>
      </c>
      <c r="H577" s="106" t="s">
        <v>869</v>
      </c>
      <c r="I577" s="106" t="s">
        <v>898</v>
      </c>
      <c r="J577" s="105">
        <v>30</v>
      </c>
      <c r="K577" s="105">
        <v>1</v>
      </c>
      <c r="L577" s="105"/>
      <c r="M577" s="705"/>
      <c r="N577" s="705"/>
      <c r="O577" s="705"/>
      <c r="P577" s="708"/>
    </row>
    <row r="578" spans="1:16" x14ac:dyDescent="0.25">
      <c r="A578" t="s">
        <v>180</v>
      </c>
      <c r="B578" s="11" t="s">
        <v>855</v>
      </c>
      <c r="C578" s="12"/>
      <c r="D578" s="104">
        <v>610000004337</v>
      </c>
      <c r="E578" s="104">
        <v>346032</v>
      </c>
      <c r="F578" s="104">
        <f>VLOOKUP(E578,'[1]Task list &amp; Maintenace plan'!$B:$G,6,FALSE)</f>
        <v>100771</v>
      </c>
      <c r="G578" s="105" t="s">
        <v>857</v>
      </c>
      <c r="H578" s="106" t="s">
        <v>871</v>
      </c>
      <c r="I578" s="106" t="s">
        <v>899</v>
      </c>
      <c r="J578" s="105">
        <v>30</v>
      </c>
      <c r="K578" s="105">
        <v>1</v>
      </c>
      <c r="L578" s="105"/>
      <c r="M578" s="705"/>
      <c r="N578" s="705"/>
      <c r="O578" s="705"/>
      <c r="P578" s="708"/>
    </row>
    <row r="579" spans="1:16" x14ac:dyDescent="0.25">
      <c r="A579" t="s">
        <v>180</v>
      </c>
      <c r="B579" s="11" t="s">
        <v>855</v>
      </c>
      <c r="C579" s="12"/>
      <c r="D579" s="104">
        <v>610000004337</v>
      </c>
      <c r="E579" s="104">
        <v>346032</v>
      </c>
      <c r="F579" s="104">
        <f>VLOOKUP(E579,'[1]Task list &amp; Maintenace plan'!$B:$G,6,FALSE)</f>
        <v>100771</v>
      </c>
      <c r="G579" s="105" t="s">
        <v>857</v>
      </c>
      <c r="H579" s="106" t="s">
        <v>873</v>
      </c>
      <c r="I579" s="106" t="s">
        <v>900</v>
      </c>
      <c r="J579" s="105">
        <v>30</v>
      </c>
      <c r="K579" s="105">
        <v>1</v>
      </c>
      <c r="L579" s="105"/>
      <c r="M579" s="705"/>
      <c r="N579" s="705"/>
      <c r="O579" s="705"/>
      <c r="P579" s="708"/>
    </row>
    <row r="580" spans="1:16" x14ac:dyDescent="0.25">
      <c r="A580" t="s">
        <v>180</v>
      </c>
      <c r="B580" s="11" t="s">
        <v>855</v>
      </c>
      <c r="C580" s="12"/>
      <c r="D580" s="104">
        <v>610000004337</v>
      </c>
      <c r="E580" s="104">
        <v>346032</v>
      </c>
      <c r="F580" s="104">
        <f>VLOOKUP(E580,'[1]Task list &amp; Maintenace plan'!$B:$G,6,FALSE)</f>
        <v>100771</v>
      </c>
      <c r="G580" s="105" t="s">
        <v>857</v>
      </c>
      <c r="H580" s="106" t="s">
        <v>875</v>
      </c>
      <c r="I580" s="106" t="s">
        <v>901</v>
      </c>
      <c r="J580" s="105">
        <v>30</v>
      </c>
      <c r="K580" s="105">
        <v>1</v>
      </c>
      <c r="L580" s="105"/>
      <c r="M580" s="705"/>
      <c r="N580" s="705"/>
      <c r="O580" s="705"/>
      <c r="P580" s="708"/>
    </row>
    <row r="581" spans="1:16" x14ac:dyDescent="0.25">
      <c r="A581" t="s">
        <v>180</v>
      </c>
      <c r="B581" s="11" t="s">
        <v>855</v>
      </c>
      <c r="C581" s="12"/>
      <c r="D581" s="104">
        <v>610000004337</v>
      </c>
      <c r="E581" s="104">
        <v>346032</v>
      </c>
      <c r="F581" s="104">
        <f>VLOOKUP(E581,'[1]Task list &amp; Maintenace plan'!$B:$G,6,FALSE)</f>
        <v>100771</v>
      </c>
      <c r="G581" s="105" t="s">
        <v>857</v>
      </c>
      <c r="H581" s="106" t="s">
        <v>877</v>
      </c>
      <c r="I581" s="106" t="s">
        <v>902</v>
      </c>
      <c r="J581" s="105">
        <v>30</v>
      </c>
      <c r="K581" s="105">
        <v>1</v>
      </c>
      <c r="L581" s="105"/>
      <c r="M581" s="705"/>
      <c r="N581" s="705"/>
      <c r="O581" s="705"/>
      <c r="P581" s="708"/>
    </row>
    <row r="582" spans="1:16" x14ac:dyDescent="0.25">
      <c r="A582" t="s">
        <v>180</v>
      </c>
      <c r="B582" s="11" t="s">
        <v>855</v>
      </c>
      <c r="C582" s="12"/>
      <c r="D582" s="104">
        <v>610000004337</v>
      </c>
      <c r="E582" s="104">
        <v>346032</v>
      </c>
      <c r="F582" s="104">
        <f>VLOOKUP(E582,'[1]Task list &amp; Maintenace plan'!$B:$G,6,FALSE)</f>
        <v>100771</v>
      </c>
      <c r="G582" s="105" t="s">
        <v>857</v>
      </c>
      <c r="H582" s="106" t="s">
        <v>879</v>
      </c>
      <c r="I582" s="106" t="s">
        <v>903</v>
      </c>
      <c r="J582" s="105">
        <v>30</v>
      </c>
      <c r="K582" s="105">
        <v>1</v>
      </c>
      <c r="L582" s="105"/>
      <c r="M582" s="705"/>
      <c r="N582" s="705"/>
      <c r="O582" s="705"/>
      <c r="P582" s="708"/>
    </row>
    <row r="583" spans="1:16" x14ac:dyDescent="0.25">
      <c r="A583" t="s">
        <v>180</v>
      </c>
      <c r="B583" s="11" t="s">
        <v>855</v>
      </c>
      <c r="C583" s="12"/>
      <c r="D583" s="104">
        <v>610000004337</v>
      </c>
      <c r="E583" s="104">
        <v>346032</v>
      </c>
      <c r="F583" s="104">
        <f>VLOOKUP(E583,'[1]Task list &amp; Maintenace plan'!$B:$G,6,FALSE)</f>
        <v>100771</v>
      </c>
      <c r="G583" s="105" t="s">
        <v>857</v>
      </c>
      <c r="H583" s="106" t="s">
        <v>881</v>
      </c>
      <c r="I583" s="106" t="s">
        <v>904</v>
      </c>
      <c r="J583" s="105">
        <v>30</v>
      </c>
      <c r="K583" s="105">
        <v>1</v>
      </c>
      <c r="L583" s="105"/>
      <c r="M583" s="705"/>
      <c r="N583" s="705"/>
      <c r="O583" s="705"/>
      <c r="P583" s="708"/>
    </row>
    <row r="584" spans="1:16" x14ac:dyDescent="0.25">
      <c r="A584" t="s">
        <v>180</v>
      </c>
      <c r="B584" s="11" t="s">
        <v>855</v>
      </c>
      <c r="C584" s="12"/>
      <c r="D584" s="103">
        <v>610000004337</v>
      </c>
      <c r="E584" s="103">
        <v>346032</v>
      </c>
      <c r="F584" s="103">
        <f>VLOOKUP(E584,'[1]Task list &amp; Maintenace plan'!$B:$G,6,FALSE)</f>
        <v>100771</v>
      </c>
      <c r="G584" s="85" t="s">
        <v>857</v>
      </c>
      <c r="H584" s="84" t="s">
        <v>883</v>
      </c>
      <c r="I584" s="84" t="s">
        <v>905</v>
      </c>
      <c r="J584" s="85">
        <v>30</v>
      </c>
      <c r="K584" s="85">
        <v>1</v>
      </c>
      <c r="L584" s="85"/>
      <c r="M584" s="706"/>
      <c r="N584" s="706"/>
      <c r="O584" s="706"/>
      <c r="P584" s="709"/>
    </row>
    <row r="585" spans="1:16" x14ac:dyDescent="0.25">
      <c r="A585" t="s">
        <v>180</v>
      </c>
      <c r="B585" s="11" t="s">
        <v>855</v>
      </c>
      <c r="C585" s="12"/>
      <c r="D585" s="140">
        <v>610000004338</v>
      </c>
      <c r="E585" s="140">
        <v>346111</v>
      </c>
      <c r="F585" s="140">
        <f>VLOOKUP(E585,'[1]Task list &amp; Maintenace plan'!$B:$G,6,FALSE)</f>
        <v>100772</v>
      </c>
      <c r="G585" s="141" t="s">
        <v>906</v>
      </c>
      <c r="H585" s="142" t="s">
        <v>856</v>
      </c>
      <c r="I585" s="119" t="s">
        <v>907</v>
      </c>
      <c r="J585" s="141">
        <v>60</v>
      </c>
      <c r="K585" s="141">
        <v>1</v>
      </c>
      <c r="L585" s="141"/>
      <c r="M585" s="710">
        <v>120</v>
      </c>
      <c r="N585" s="710">
        <v>1</v>
      </c>
      <c r="O585" s="710">
        <v>120</v>
      </c>
      <c r="P585" s="712" t="s">
        <v>34</v>
      </c>
    </row>
    <row r="586" spans="1:16" x14ac:dyDescent="0.25">
      <c r="A586" t="s">
        <v>180</v>
      </c>
      <c r="B586" s="11" t="s">
        <v>855</v>
      </c>
      <c r="C586" s="12"/>
      <c r="D586" s="104">
        <v>610000004338</v>
      </c>
      <c r="E586" s="104">
        <v>346111</v>
      </c>
      <c r="F586" s="104">
        <f>VLOOKUP(E586,'[1]Task list &amp; Maintenace plan'!$B:$G,6,FALSE)</f>
        <v>100772</v>
      </c>
      <c r="G586" s="105" t="s">
        <v>906</v>
      </c>
      <c r="H586" s="106" t="s">
        <v>859</v>
      </c>
      <c r="I586" s="106" t="s">
        <v>908</v>
      </c>
      <c r="J586" s="105">
        <v>60</v>
      </c>
      <c r="K586" s="105">
        <v>1</v>
      </c>
      <c r="L586" s="105"/>
      <c r="M586" s="705"/>
      <c r="N586" s="705"/>
      <c r="O586" s="705"/>
      <c r="P586" s="708"/>
    </row>
    <row r="587" spans="1:16" x14ac:dyDescent="0.25">
      <c r="A587" t="s">
        <v>180</v>
      </c>
      <c r="B587" s="11" t="s">
        <v>855</v>
      </c>
      <c r="C587" s="12"/>
      <c r="D587" s="104">
        <v>610000004338</v>
      </c>
      <c r="E587" s="104">
        <v>346111</v>
      </c>
      <c r="F587" s="104">
        <f>VLOOKUP(E587,'[1]Task list &amp; Maintenace plan'!$B:$G,6,FALSE)</f>
        <v>100772</v>
      </c>
      <c r="G587" s="105" t="s">
        <v>906</v>
      </c>
      <c r="H587" s="106" t="s">
        <v>861</v>
      </c>
      <c r="I587" s="106" t="s">
        <v>909</v>
      </c>
      <c r="J587" s="105">
        <v>60</v>
      </c>
      <c r="K587" s="105">
        <v>1</v>
      </c>
      <c r="L587" s="105"/>
      <c r="M587" s="705"/>
      <c r="N587" s="705"/>
      <c r="O587" s="705"/>
      <c r="P587" s="708"/>
    </row>
    <row r="588" spans="1:16" x14ac:dyDescent="0.25">
      <c r="A588" t="s">
        <v>180</v>
      </c>
      <c r="B588" s="11" t="s">
        <v>855</v>
      </c>
      <c r="C588" s="12"/>
      <c r="D588" s="104">
        <v>610000004338</v>
      </c>
      <c r="E588" s="104">
        <v>346111</v>
      </c>
      <c r="F588" s="104">
        <f>VLOOKUP(E588,'[1]Task list &amp; Maintenace plan'!$B:$G,6,FALSE)</f>
        <v>100772</v>
      </c>
      <c r="G588" s="105" t="s">
        <v>906</v>
      </c>
      <c r="H588" s="106" t="s">
        <v>863</v>
      </c>
      <c r="I588" s="106" t="s">
        <v>910</v>
      </c>
      <c r="J588" s="105">
        <v>60</v>
      </c>
      <c r="K588" s="105">
        <v>1</v>
      </c>
      <c r="L588" s="105"/>
      <c r="M588" s="705"/>
      <c r="N588" s="705"/>
      <c r="O588" s="705"/>
      <c r="P588" s="708"/>
    </row>
    <row r="589" spans="1:16" x14ac:dyDescent="0.25">
      <c r="A589" t="s">
        <v>180</v>
      </c>
      <c r="B589" s="11" t="s">
        <v>855</v>
      </c>
      <c r="C589" s="12"/>
      <c r="D589" s="104">
        <v>610000004338</v>
      </c>
      <c r="E589" s="104">
        <v>346111</v>
      </c>
      <c r="F589" s="104">
        <f>VLOOKUP(E589,'[1]Task list &amp; Maintenace plan'!$B:$G,6,FALSE)</f>
        <v>100772</v>
      </c>
      <c r="G589" s="105" t="s">
        <v>906</v>
      </c>
      <c r="H589" s="106" t="s">
        <v>865</v>
      </c>
      <c r="I589" s="106" t="s">
        <v>911</v>
      </c>
      <c r="J589" s="105">
        <v>60</v>
      </c>
      <c r="K589" s="105">
        <v>1</v>
      </c>
      <c r="L589" s="105"/>
      <c r="M589" s="705"/>
      <c r="N589" s="705"/>
      <c r="O589" s="705"/>
      <c r="P589" s="708"/>
    </row>
    <row r="590" spans="1:16" x14ac:dyDescent="0.25">
      <c r="A590" t="s">
        <v>180</v>
      </c>
      <c r="B590" s="11" t="s">
        <v>855</v>
      </c>
      <c r="C590" s="12"/>
      <c r="D590" s="104">
        <v>610000004338</v>
      </c>
      <c r="E590" s="104">
        <v>346111</v>
      </c>
      <c r="F590" s="104">
        <f>VLOOKUP(E590,'[1]Task list &amp; Maintenace plan'!$B:$G,6,FALSE)</f>
        <v>100772</v>
      </c>
      <c r="G590" s="105" t="s">
        <v>906</v>
      </c>
      <c r="H590" s="106" t="s">
        <v>867</v>
      </c>
      <c r="I590" s="106" t="s">
        <v>912</v>
      </c>
      <c r="J590" s="105">
        <v>60</v>
      </c>
      <c r="K590" s="105">
        <v>1</v>
      </c>
      <c r="L590" s="105"/>
      <c r="M590" s="705"/>
      <c r="N590" s="705"/>
      <c r="O590" s="705"/>
      <c r="P590" s="708"/>
    </row>
    <row r="591" spans="1:16" x14ac:dyDescent="0.25">
      <c r="A591" t="s">
        <v>180</v>
      </c>
      <c r="B591" s="11" t="s">
        <v>855</v>
      </c>
      <c r="C591" s="12"/>
      <c r="D591" s="104">
        <v>610000004338</v>
      </c>
      <c r="E591" s="104">
        <v>346111</v>
      </c>
      <c r="F591" s="104">
        <f>VLOOKUP(E591,'[1]Task list &amp; Maintenace plan'!$B:$G,6,FALSE)</f>
        <v>100772</v>
      </c>
      <c r="G591" s="105" t="s">
        <v>906</v>
      </c>
      <c r="H591" s="106" t="s">
        <v>869</v>
      </c>
      <c r="I591" s="106" t="s">
        <v>913</v>
      </c>
      <c r="J591" s="105">
        <v>60</v>
      </c>
      <c r="K591" s="105">
        <v>1</v>
      </c>
      <c r="L591" s="105"/>
      <c r="M591" s="705"/>
      <c r="N591" s="705"/>
      <c r="O591" s="705"/>
      <c r="P591" s="708"/>
    </row>
    <row r="592" spans="1:16" x14ac:dyDescent="0.25">
      <c r="A592" t="s">
        <v>180</v>
      </c>
      <c r="B592" s="11" t="s">
        <v>855</v>
      </c>
      <c r="C592" s="12"/>
      <c r="D592" s="104">
        <v>610000004338</v>
      </c>
      <c r="E592" s="104">
        <v>346111</v>
      </c>
      <c r="F592" s="104">
        <f>VLOOKUP(E592,'[1]Task list &amp; Maintenace plan'!$B:$G,6,FALSE)</f>
        <v>100772</v>
      </c>
      <c r="G592" s="105" t="s">
        <v>906</v>
      </c>
      <c r="H592" s="106" t="s">
        <v>871</v>
      </c>
      <c r="I592" s="106" t="s">
        <v>914</v>
      </c>
      <c r="J592" s="105">
        <v>60</v>
      </c>
      <c r="K592" s="105">
        <v>1</v>
      </c>
      <c r="L592" s="105"/>
      <c r="M592" s="705"/>
      <c r="N592" s="705"/>
      <c r="O592" s="705"/>
      <c r="P592" s="708"/>
    </row>
    <row r="593" spans="1:16" x14ac:dyDescent="0.25">
      <c r="A593" t="s">
        <v>180</v>
      </c>
      <c r="B593" s="11" t="s">
        <v>855</v>
      </c>
      <c r="C593" s="12"/>
      <c r="D593" s="104">
        <v>610000004338</v>
      </c>
      <c r="E593" s="104">
        <v>346111</v>
      </c>
      <c r="F593" s="104">
        <f>VLOOKUP(E593,'[1]Task list &amp; Maintenace plan'!$B:$G,6,FALSE)</f>
        <v>100772</v>
      </c>
      <c r="G593" s="105" t="s">
        <v>906</v>
      </c>
      <c r="H593" s="106" t="s">
        <v>873</v>
      </c>
      <c r="I593" s="106" t="s">
        <v>915</v>
      </c>
      <c r="J593" s="105">
        <v>60</v>
      </c>
      <c r="K593" s="105">
        <v>1</v>
      </c>
      <c r="L593" s="105"/>
      <c r="M593" s="705"/>
      <c r="N593" s="705"/>
      <c r="O593" s="705"/>
      <c r="P593" s="708"/>
    </row>
    <row r="594" spans="1:16" x14ac:dyDescent="0.25">
      <c r="A594" t="s">
        <v>180</v>
      </c>
      <c r="B594" s="11" t="s">
        <v>855</v>
      </c>
      <c r="C594" s="12"/>
      <c r="D594" s="104">
        <v>610000004338</v>
      </c>
      <c r="E594" s="104">
        <v>346111</v>
      </c>
      <c r="F594" s="104">
        <f>VLOOKUP(E594,'[1]Task list &amp; Maintenace plan'!$B:$G,6,FALSE)</f>
        <v>100772</v>
      </c>
      <c r="G594" s="105" t="s">
        <v>906</v>
      </c>
      <c r="H594" s="106" t="s">
        <v>875</v>
      </c>
      <c r="I594" s="106" t="s">
        <v>916</v>
      </c>
      <c r="J594" s="105">
        <v>60</v>
      </c>
      <c r="K594" s="105">
        <v>1</v>
      </c>
      <c r="L594" s="105"/>
      <c r="M594" s="705"/>
      <c r="N594" s="705"/>
      <c r="O594" s="705"/>
      <c r="P594" s="708"/>
    </row>
    <row r="595" spans="1:16" x14ac:dyDescent="0.25">
      <c r="A595" t="s">
        <v>180</v>
      </c>
      <c r="B595" s="11" t="s">
        <v>855</v>
      </c>
      <c r="C595" s="12"/>
      <c r="D595" s="104">
        <v>610000004338</v>
      </c>
      <c r="E595" s="104">
        <v>346111</v>
      </c>
      <c r="F595" s="104">
        <f>VLOOKUP(E595,'[1]Task list &amp; Maintenace plan'!$B:$G,6,FALSE)</f>
        <v>100772</v>
      </c>
      <c r="G595" s="105" t="s">
        <v>906</v>
      </c>
      <c r="H595" s="106" t="s">
        <v>877</v>
      </c>
      <c r="I595" s="106" t="s">
        <v>917</v>
      </c>
      <c r="J595" s="105">
        <v>60</v>
      </c>
      <c r="K595" s="105">
        <v>1</v>
      </c>
      <c r="L595" s="105"/>
      <c r="M595" s="705"/>
      <c r="N595" s="705"/>
      <c r="O595" s="705"/>
      <c r="P595" s="708"/>
    </row>
    <row r="596" spans="1:16" x14ac:dyDescent="0.25">
      <c r="A596" t="s">
        <v>180</v>
      </c>
      <c r="B596" s="11" t="s">
        <v>855</v>
      </c>
      <c r="C596" s="12"/>
      <c r="D596" s="104">
        <v>610000004338</v>
      </c>
      <c r="E596" s="104">
        <v>346111</v>
      </c>
      <c r="F596" s="104">
        <f>VLOOKUP(E596,'[1]Task list &amp; Maintenace plan'!$B:$G,6,FALSE)</f>
        <v>100772</v>
      </c>
      <c r="G596" s="105" t="s">
        <v>906</v>
      </c>
      <c r="H596" s="106" t="s">
        <v>879</v>
      </c>
      <c r="I596" s="106" t="s">
        <v>918</v>
      </c>
      <c r="J596" s="105">
        <v>60</v>
      </c>
      <c r="K596" s="105">
        <v>1</v>
      </c>
      <c r="L596" s="105"/>
      <c r="M596" s="705"/>
      <c r="N596" s="705"/>
      <c r="O596" s="705"/>
      <c r="P596" s="708"/>
    </row>
    <row r="597" spans="1:16" x14ac:dyDescent="0.25">
      <c r="A597" t="s">
        <v>180</v>
      </c>
      <c r="B597" s="11" t="s">
        <v>855</v>
      </c>
      <c r="C597" s="12"/>
      <c r="D597" s="104">
        <v>610000004338</v>
      </c>
      <c r="E597" s="104">
        <v>346111</v>
      </c>
      <c r="F597" s="104">
        <f>VLOOKUP(E597,'[1]Task list &amp; Maintenace plan'!$B:$G,6,FALSE)</f>
        <v>100772</v>
      </c>
      <c r="G597" s="105" t="s">
        <v>906</v>
      </c>
      <c r="H597" s="106" t="s">
        <v>881</v>
      </c>
      <c r="I597" s="106" t="s">
        <v>919</v>
      </c>
      <c r="J597" s="105">
        <v>60</v>
      </c>
      <c r="K597" s="105">
        <v>1</v>
      </c>
      <c r="L597" s="105"/>
      <c r="M597" s="705"/>
      <c r="N597" s="705"/>
      <c r="O597" s="705"/>
      <c r="P597" s="708"/>
    </row>
    <row r="598" spans="1:16" x14ac:dyDescent="0.25">
      <c r="A598" t="s">
        <v>180</v>
      </c>
      <c r="B598" s="11" t="s">
        <v>855</v>
      </c>
      <c r="C598" s="12"/>
      <c r="D598" s="103">
        <v>610000004338</v>
      </c>
      <c r="E598" s="103">
        <v>346111</v>
      </c>
      <c r="F598" s="103">
        <f>VLOOKUP(E598,'[1]Task list &amp; Maintenace plan'!$B:$G,6,FALSE)</f>
        <v>100772</v>
      </c>
      <c r="G598" s="85" t="s">
        <v>906</v>
      </c>
      <c r="H598" s="84" t="s">
        <v>883</v>
      </c>
      <c r="I598" s="84" t="s">
        <v>920</v>
      </c>
      <c r="J598" s="85">
        <v>60</v>
      </c>
      <c r="K598" s="85">
        <v>1</v>
      </c>
      <c r="L598" s="85"/>
      <c r="M598" s="706"/>
      <c r="N598" s="706"/>
      <c r="O598" s="706"/>
      <c r="P598" s="709"/>
    </row>
    <row r="599" spans="1:16" x14ac:dyDescent="0.25">
      <c r="A599" t="s">
        <v>180</v>
      </c>
      <c r="B599" s="11" t="s">
        <v>855</v>
      </c>
      <c r="C599" s="51"/>
      <c r="D599" s="13"/>
      <c r="E599" s="13">
        <v>341884</v>
      </c>
      <c r="F599" s="13">
        <f>VLOOKUP(E599,'[1]Task list &amp; Maintenace plan'!$B:$G,6,FALSE)</f>
        <v>398</v>
      </c>
      <c r="G599" s="14" t="s">
        <v>857</v>
      </c>
      <c r="H599" s="15" t="s">
        <v>885</v>
      </c>
      <c r="I599" s="15" t="s">
        <v>921</v>
      </c>
      <c r="J599" s="14">
        <v>30</v>
      </c>
      <c r="K599" s="14">
        <v>1</v>
      </c>
      <c r="L599" s="14"/>
      <c r="M599" s="686">
        <v>60</v>
      </c>
      <c r="N599" s="686">
        <v>1</v>
      </c>
      <c r="O599" s="686">
        <f>N599*M599</f>
        <v>60</v>
      </c>
      <c r="P599" s="689" t="s">
        <v>20</v>
      </c>
    </row>
    <row r="600" spans="1:16" x14ac:dyDescent="0.25">
      <c r="A600" t="s">
        <v>180</v>
      </c>
      <c r="B600" s="11" t="s">
        <v>855</v>
      </c>
      <c r="C600" s="51"/>
      <c r="D600" s="17"/>
      <c r="E600" s="17">
        <v>341884</v>
      </c>
      <c r="F600" s="17">
        <f>VLOOKUP(E600,'[1]Task list &amp; Maintenace plan'!$B:$G,6,FALSE)</f>
        <v>398</v>
      </c>
      <c r="G600" s="18" t="s">
        <v>857</v>
      </c>
      <c r="H600" s="15" t="s">
        <v>887</v>
      </c>
      <c r="I600" s="15" t="s">
        <v>922</v>
      </c>
      <c r="J600" s="18">
        <v>30</v>
      </c>
      <c r="K600" s="18">
        <v>1</v>
      </c>
      <c r="L600" s="18"/>
      <c r="M600" s="687"/>
      <c r="N600" s="687"/>
      <c r="O600" s="687"/>
      <c r="P600" s="690"/>
    </row>
    <row r="601" spans="1:16" x14ac:dyDescent="0.25">
      <c r="A601" t="s">
        <v>180</v>
      </c>
      <c r="B601" s="11" t="s">
        <v>855</v>
      </c>
      <c r="C601" s="51"/>
      <c r="D601" s="17"/>
      <c r="E601" s="17">
        <v>341884</v>
      </c>
      <c r="F601" s="17">
        <f>VLOOKUP(E601,'[1]Task list &amp; Maintenace plan'!$B:$G,6,FALSE)</f>
        <v>398</v>
      </c>
      <c r="G601" s="18" t="s">
        <v>857</v>
      </c>
      <c r="H601" s="15" t="s">
        <v>889</v>
      </c>
      <c r="I601" s="15" t="s">
        <v>923</v>
      </c>
      <c r="J601" s="18">
        <v>30</v>
      </c>
      <c r="K601" s="18">
        <v>1</v>
      </c>
      <c r="L601" s="18"/>
      <c r="M601" s="687"/>
      <c r="N601" s="687"/>
      <c r="O601" s="687"/>
      <c r="P601" s="690"/>
    </row>
    <row r="602" spans="1:16" x14ac:dyDescent="0.25">
      <c r="A602" t="s">
        <v>180</v>
      </c>
      <c r="B602" s="11" t="s">
        <v>855</v>
      </c>
      <c r="C602" s="51"/>
      <c r="D602" s="17"/>
      <c r="E602" s="17">
        <v>341884</v>
      </c>
      <c r="F602" s="17">
        <f>VLOOKUP(E602,'[1]Task list &amp; Maintenace plan'!$B:$G,6,FALSE)</f>
        <v>398</v>
      </c>
      <c r="G602" s="18" t="s">
        <v>857</v>
      </c>
      <c r="H602" s="15" t="s">
        <v>891</v>
      </c>
      <c r="I602" s="15" t="s">
        <v>924</v>
      </c>
      <c r="J602" s="18">
        <v>30</v>
      </c>
      <c r="K602" s="18">
        <v>1</v>
      </c>
      <c r="L602" s="18"/>
      <c r="M602" s="687"/>
      <c r="N602" s="687"/>
      <c r="O602" s="687"/>
      <c r="P602" s="690"/>
    </row>
    <row r="603" spans="1:16" x14ac:dyDescent="0.25">
      <c r="A603" t="s">
        <v>180</v>
      </c>
      <c r="B603" s="11" t="s">
        <v>855</v>
      </c>
      <c r="C603" s="51"/>
      <c r="D603" s="17"/>
      <c r="E603" s="17">
        <v>341884</v>
      </c>
      <c r="F603" s="17">
        <f>VLOOKUP(E603,'[1]Task list &amp; Maintenace plan'!$B:$G,6,FALSE)</f>
        <v>398</v>
      </c>
      <c r="G603" s="18" t="s">
        <v>857</v>
      </c>
      <c r="H603" s="15" t="s">
        <v>893</v>
      </c>
      <c r="I603" s="15" t="s">
        <v>925</v>
      </c>
      <c r="J603" s="18">
        <v>30</v>
      </c>
      <c r="K603" s="18">
        <v>1</v>
      </c>
      <c r="L603" s="18"/>
      <c r="M603" s="687"/>
      <c r="N603" s="687"/>
      <c r="O603" s="687"/>
      <c r="P603" s="690"/>
    </row>
    <row r="604" spans="1:16" x14ac:dyDescent="0.25">
      <c r="A604" t="s">
        <v>180</v>
      </c>
      <c r="B604" s="11" t="s">
        <v>855</v>
      </c>
      <c r="C604" s="51"/>
      <c r="D604" s="17"/>
      <c r="E604" s="17">
        <v>341884</v>
      </c>
      <c r="F604" s="17">
        <f>VLOOKUP(E604,'[1]Task list &amp; Maintenace plan'!$B:$G,6,FALSE)</f>
        <v>398</v>
      </c>
      <c r="G604" s="18" t="s">
        <v>857</v>
      </c>
      <c r="H604" s="15" t="s">
        <v>895</v>
      </c>
      <c r="I604" s="15" t="s">
        <v>926</v>
      </c>
      <c r="J604" s="18">
        <v>30</v>
      </c>
      <c r="K604" s="18">
        <v>1</v>
      </c>
      <c r="L604" s="18"/>
      <c r="M604" s="687"/>
      <c r="N604" s="687"/>
      <c r="O604" s="687"/>
      <c r="P604" s="690"/>
    </row>
    <row r="605" spans="1:16" x14ac:dyDescent="0.25">
      <c r="A605" t="s">
        <v>180</v>
      </c>
      <c r="B605" s="11" t="s">
        <v>855</v>
      </c>
      <c r="C605" s="51"/>
      <c r="D605" s="17"/>
      <c r="E605" s="17">
        <v>341884</v>
      </c>
      <c r="F605" s="17">
        <f>VLOOKUP(E605,'[1]Task list &amp; Maintenace plan'!$B:$G,6,FALSE)</f>
        <v>398</v>
      </c>
      <c r="G605" s="18" t="s">
        <v>857</v>
      </c>
      <c r="H605" s="15" t="s">
        <v>897</v>
      </c>
      <c r="I605" s="15" t="s">
        <v>927</v>
      </c>
      <c r="J605" s="18">
        <v>30</v>
      </c>
      <c r="K605" s="18">
        <v>1</v>
      </c>
      <c r="L605" s="18"/>
      <c r="M605" s="687"/>
      <c r="N605" s="687"/>
      <c r="O605" s="687"/>
      <c r="P605" s="690"/>
    </row>
    <row r="606" spans="1:16" x14ac:dyDescent="0.25">
      <c r="A606" t="s">
        <v>180</v>
      </c>
      <c r="B606" s="11" t="s">
        <v>855</v>
      </c>
      <c r="C606" s="51"/>
      <c r="D606" s="17"/>
      <c r="E606" s="17">
        <v>341884</v>
      </c>
      <c r="F606" s="17">
        <f>VLOOKUP(E606,'[1]Task list &amp; Maintenace plan'!$B:$G,6,FALSE)</f>
        <v>398</v>
      </c>
      <c r="G606" s="18" t="s">
        <v>857</v>
      </c>
      <c r="H606" s="180" t="s">
        <v>928</v>
      </c>
      <c r="I606" s="19" t="s">
        <v>335</v>
      </c>
      <c r="J606" s="18">
        <v>30</v>
      </c>
      <c r="K606" s="18">
        <v>1</v>
      </c>
      <c r="L606" s="18"/>
      <c r="M606" s="687"/>
      <c r="N606" s="687"/>
      <c r="O606" s="687"/>
      <c r="P606" s="690"/>
    </row>
    <row r="607" spans="1:16" x14ac:dyDescent="0.25">
      <c r="A607" t="s">
        <v>180</v>
      </c>
      <c r="B607" s="11" t="s">
        <v>855</v>
      </c>
      <c r="C607" s="51"/>
      <c r="D607" s="17"/>
      <c r="E607" s="17">
        <v>341884</v>
      </c>
      <c r="F607" s="17">
        <f>VLOOKUP(E607,'[1]Task list &amp; Maintenace plan'!$B:$G,6,FALSE)</f>
        <v>398</v>
      </c>
      <c r="G607" s="18" t="s">
        <v>857</v>
      </c>
      <c r="H607" s="180" t="s">
        <v>929</v>
      </c>
      <c r="I607" s="19" t="s">
        <v>930</v>
      </c>
      <c r="J607" s="18">
        <v>30</v>
      </c>
      <c r="K607" s="18">
        <v>1</v>
      </c>
      <c r="L607" s="18"/>
      <c r="M607" s="687"/>
      <c r="N607" s="687"/>
      <c r="O607" s="687"/>
      <c r="P607" s="690"/>
    </row>
    <row r="608" spans="1:16" x14ac:dyDescent="0.25">
      <c r="A608" t="s">
        <v>180</v>
      </c>
      <c r="B608" s="11" t="s">
        <v>855</v>
      </c>
      <c r="C608" s="51"/>
      <c r="D608" s="17"/>
      <c r="E608" s="17">
        <v>341884</v>
      </c>
      <c r="F608" s="17">
        <f>VLOOKUP(E608,'[1]Task list &amp; Maintenace plan'!$B:$G,6,FALSE)</f>
        <v>398</v>
      </c>
      <c r="G608" s="18" t="s">
        <v>857</v>
      </c>
      <c r="H608" s="19" t="s">
        <v>885</v>
      </c>
      <c r="I608" s="19" t="s">
        <v>931</v>
      </c>
      <c r="J608" s="18">
        <v>30</v>
      </c>
      <c r="K608" s="18">
        <v>1</v>
      </c>
      <c r="L608" s="18"/>
      <c r="M608" s="687"/>
      <c r="N608" s="687"/>
      <c r="O608" s="687"/>
      <c r="P608" s="690"/>
    </row>
    <row r="609" spans="1:16" x14ac:dyDescent="0.25">
      <c r="A609" t="s">
        <v>180</v>
      </c>
      <c r="B609" s="11" t="s">
        <v>855</v>
      </c>
      <c r="C609" s="51"/>
      <c r="D609" s="17"/>
      <c r="E609" s="17">
        <v>341884</v>
      </c>
      <c r="F609" s="17">
        <f>VLOOKUP(E609,'[1]Task list &amp; Maintenace plan'!$B:$G,6,FALSE)</f>
        <v>398</v>
      </c>
      <c r="G609" s="18" t="s">
        <v>857</v>
      </c>
      <c r="H609" s="19" t="s">
        <v>887</v>
      </c>
      <c r="I609" s="19" t="s">
        <v>932</v>
      </c>
      <c r="J609" s="18">
        <v>30</v>
      </c>
      <c r="K609" s="18">
        <v>1</v>
      </c>
      <c r="L609" s="18"/>
      <c r="M609" s="687"/>
      <c r="N609" s="687"/>
      <c r="O609" s="687"/>
      <c r="P609" s="690"/>
    </row>
    <row r="610" spans="1:16" x14ac:dyDescent="0.25">
      <c r="A610" t="s">
        <v>180</v>
      </c>
      <c r="B610" s="11" t="s">
        <v>855</v>
      </c>
      <c r="C610" s="51"/>
      <c r="D610" s="17"/>
      <c r="E610" s="17">
        <v>341884</v>
      </c>
      <c r="F610" s="17">
        <f>VLOOKUP(E610,'[1]Task list &amp; Maintenace plan'!$B:$G,6,FALSE)</f>
        <v>398</v>
      </c>
      <c r="G610" s="18" t="s">
        <v>857</v>
      </c>
      <c r="H610" s="19" t="s">
        <v>889</v>
      </c>
      <c r="I610" s="19" t="s">
        <v>933</v>
      </c>
      <c r="J610" s="18">
        <v>30</v>
      </c>
      <c r="K610" s="18">
        <v>1</v>
      </c>
      <c r="L610" s="18"/>
      <c r="M610" s="687"/>
      <c r="N610" s="687"/>
      <c r="O610" s="687"/>
      <c r="P610" s="690"/>
    </row>
    <row r="611" spans="1:16" x14ac:dyDescent="0.25">
      <c r="A611" t="s">
        <v>180</v>
      </c>
      <c r="B611" s="11" t="s">
        <v>855</v>
      </c>
      <c r="C611" s="51"/>
      <c r="D611" s="17"/>
      <c r="E611" s="17">
        <v>341884</v>
      </c>
      <c r="F611" s="17">
        <f>VLOOKUP(E611,'[1]Task list &amp; Maintenace plan'!$B:$G,6,FALSE)</f>
        <v>398</v>
      </c>
      <c r="G611" s="18" t="s">
        <v>857</v>
      </c>
      <c r="H611" s="19" t="s">
        <v>891</v>
      </c>
      <c r="I611" s="19" t="s">
        <v>934</v>
      </c>
      <c r="J611" s="18">
        <v>30</v>
      </c>
      <c r="K611" s="18">
        <v>1</v>
      </c>
      <c r="L611" s="18"/>
      <c r="M611" s="687"/>
      <c r="N611" s="687"/>
      <c r="O611" s="687"/>
      <c r="P611" s="690"/>
    </row>
    <row r="612" spans="1:16" x14ac:dyDescent="0.25">
      <c r="A612" t="s">
        <v>180</v>
      </c>
      <c r="B612" s="11" t="s">
        <v>855</v>
      </c>
      <c r="C612" s="51"/>
      <c r="D612" s="17"/>
      <c r="E612" s="17">
        <v>341884</v>
      </c>
      <c r="F612" s="17">
        <f>VLOOKUP(E612,'[1]Task list &amp; Maintenace plan'!$B:$G,6,FALSE)</f>
        <v>398</v>
      </c>
      <c r="G612" s="18" t="s">
        <v>857</v>
      </c>
      <c r="H612" s="19" t="s">
        <v>893</v>
      </c>
      <c r="I612" s="19" t="s">
        <v>935</v>
      </c>
      <c r="J612" s="18">
        <v>30</v>
      </c>
      <c r="K612" s="18">
        <v>1</v>
      </c>
      <c r="L612" s="18"/>
      <c r="M612" s="687"/>
      <c r="N612" s="687"/>
      <c r="O612" s="687"/>
      <c r="P612" s="690"/>
    </row>
    <row r="613" spans="1:16" x14ac:dyDescent="0.25">
      <c r="A613" t="s">
        <v>180</v>
      </c>
      <c r="B613" s="11" t="s">
        <v>855</v>
      </c>
      <c r="C613" s="51"/>
      <c r="D613" s="17"/>
      <c r="E613" s="17">
        <v>341884</v>
      </c>
      <c r="F613" s="17">
        <f>VLOOKUP(E613,'[1]Task list &amp; Maintenace plan'!$B:$G,6,FALSE)</f>
        <v>398</v>
      </c>
      <c r="G613" s="18" t="s">
        <v>857</v>
      </c>
      <c r="H613" s="19" t="s">
        <v>895</v>
      </c>
      <c r="I613" s="19" t="s">
        <v>936</v>
      </c>
      <c r="J613" s="18">
        <v>30</v>
      </c>
      <c r="K613" s="18">
        <v>1</v>
      </c>
      <c r="L613" s="18"/>
      <c r="M613" s="687"/>
      <c r="N613" s="687"/>
      <c r="O613" s="687"/>
      <c r="P613" s="690"/>
    </row>
    <row r="614" spans="1:16" x14ac:dyDescent="0.25">
      <c r="A614" t="s">
        <v>180</v>
      </c>
      <c r="B614" s="11" t="s">
        <v>855</v>
      </c>
      <c r="C614" s="51"/>
      <c r="D614" s="17"/>
      <c r="E614" s="17">
        <v>341884</v>
      </c>
      <c r="F614" s="17">
        <f>VLOOKUP(E614,'[1]Task list &amp; Maintenace plan'!$B:$G,6,FALSE)</f>
        <v>398</v>
      </c>
      <c r="G614" s="18" t="s">
        <v>857</v>
      </c>
      <c r="H614" s="19" t="s">
        <v>897</v>
      </c>
      <c r="I614" s="19" t="s">
        <v>937</v>
      </c>
      <c r="J614" s="18">
        <v>30</v>
      </c>
      <c r="K614" s="18">
        <v>1</v>
      </c>
      <c r="L614" s="18"/>
      <c r="M614" s="687"/>
      <c r="N614" s="687"/>
      <c r="O614" s="687"/>
      <c r="P614" s="690"/>
    </row>
    <row r="615" spans="1:16" x14ac:dyDescent="0.25">
      <c r="A615" t="s">
        <v>180</v>
      </c>
      <c r="B615" s="11" t="s">
        <v>855</v>
      </c>
      <c r="C615" s="51"/>
      <c r="D615" s="17"/>
      <c r="E615" s="17">
        <v>341884</v>
      </c>
      <c r="F615" s="17">
        <f>VLOOKUP(E615,'[1]Task list &amp; Maintenace plan'!$B:$G,6,FALSE)</f>
        <v>398</v>
      </c>
      <c r="G615" s="18" t="s">
        <v>857</v>
      </c>
      <c r="H615" s="180" t="s">
        <v>928</v>
      </c>
      <c r="I615" s="19" t="s">
        <v>938</v>
      </c>
      <c r="J615" s="18">
        <v>30</v>
      </c>
      <c r="K615" s="18">
        <v>1</v>
      </c>
      <c r="L615" s="18"/>
      <c r="M615" s="687"/>
      <c r="N615" s="687"/>
      <c r="O615" s="687"/>
      <c r="P615" s="690"/>
    </row>
    <row r="616" spans="1:16" x14ac:dyDescent="0.25">
      <c r="A616" t="s">
        <v>180</v>
      </c>
      <c r="B616" s="11" t="s">
        <v>855</v>
      </c>
      <c r="C616" s="51"/>
      <c r="D616" s="22"/>
      <c r="E616" s="22">
        <v>341884</v>
      </c>
      <c r="F616" s="22">
        <f>VLOOKUP(E616,'[1]Task list &amp; Maintenace plan'!$B:$G,6,FALSE)</f>
        <v>398</v>
      </c>
      <c r="G616" s="23" t="s">
        <v>857</v>
      </c>
      <c r="H616" s="182" t="s">
        <v>929</v>
      </c>
      <c r="I616" s="24" t="s">
        <v>939</v>
      </c>
      <c r="J616" s="23">
        <v>30</v>
      </c>
      <c r="K616" s="23">
        <v>1</v>
      </c>
      <c r="L616" s="23"/>
      <c r="M616" s="688"/>
      <c r="N616" s="688"/>
      <c r="O616" s="688"/>
      <c r="P616" s="691"/>
    </row>
    <row r="617" spans="1:16" x14ac:dyDescent="0.25">
      <c r="A617" t="s">
        <v>180</v>
      </c>
      <c r="B617" s="11" t="s">
        <v>855</v>
      </c>
      <c r="C617" s="51"/>
      <c r="D617" s="13"/>
      <c r="E617" s="13"/>
      <c r="F617" s="13"/>
      <c r="G617" s="14" t="s">
        <v>940</v>
      </c>
      <c r="H617" s="15" t="s">
        <v>885</v>
      </c>
      <c r="I617" s="15" t="s">
        <v>941</v>
      </c>
      <c r="J617" s="18">
        <v>30</v>
      </c>
      <c r="K617" s="18">
        <v>1</v>
      </c>
      <c r="L617" s="18"/>
      <c r="M617" s="726">
        <v>60</v>
      </c>
      <c r="N617" s="686">
        <v>1</v>
      </c>
      <c r="O617" s="686">
        <f>N617*M617</f>
        <v>60</v>
      </c>
      <c r="P617" s="689" t="s">
        <v>34</v>
      </c>
    </row>
    <row r="618" spans="1:16" x14ac:dyDescent="0.25">
      <c r="A618" t="s">
        <v>180</v>
      </c>
      <c r="B618" s="11" t="s">
        <v>855</v>
      </c>
      <c r="C618" s="51"/>
      <c r="D618" s="17"/>
      <c r="E618" s="13"/>
      <c r="F618" s="13"/>
      <c r="G618" s="14" t="s">
        <v>940</v>
      </c>
      <c r="H618" s="15" t="s">
        <v>887</v>
      </c>
      <c r="I618" s="15" t="s">
        <v>942</v>
      </c>
      <c r="J618" s="18">
        <v>30</v>
      </c>
      <c r="K618" s="18">
        <v>1</v>
      </c>
      <c r="L618" s="18"/>
      <c r="M618" s="700"/>
      <c r="N618" s="687"/>
      <c r="O618" s="687"/>
      <c r="P618" s="690"/>
    </row>
    <row r="619" spans="1:16" x14ac:dyDescent="0.25">
      <c r="A619" t="s">
        <v>180</v>
      </c>
      <c r="B619" s="11" t="s">
        <v>855</v>
      </c>
      <c r="C619" s="51"/>
      <c r="D619" s="17"/>
      <c r="E619" s="13"/>
      <c r="F619" s="13"/>
      <c r="G619" s="14" t="s">
        <v>940</v>
      </c>
      <c r="H619" s="15" t="s">
        <v>889</v>
      </c>
      <c r="I619" s="15" t="s">
        <v>943</v>
      </c>
      <c r="J619" s="18">
        <v>30</v>
      </c>
      <c r="K619" s="18">
        <v>1</v>
      </c>
      <c r="L619" s="18"/>
      <c r="M619" s="700"/>
      <c r="N619" s="687"/>
      <c r="O619" s="687"/>
      <c r="P619" s="690"/>
    </row>
    <row r="620" spans="1:16" x14ac:dyDescent="0.25">
      <c r="A620" t="s">
        <v>180</v>
      </c>
      <c r="B620" s="11" t="s">
        <v>855</v>
      </c>
      <c r="C620" s="51"/>
      <c r="D620" s="17"/>
      <c r="E620" s="13"/>
      <c r="F620" s="13"/>
      <c r="G620" s="14" t="s">
        <v>940</v>
      </c>
      <c r="H620" s="15" t="s">
        <v>891</v>
      </c>
      <c r="I620" s="15" t="s">
        <v>944</v>
      </c>
      <c r="J620" s="18">
        <v>30</v>
      </c>
      <c r="K620" s="18">
        <v>1</v>
      </c>
      <c r="L620" s="18"/>
      <c r="M620" s="700"/>
      <c r="N620" s="687"/>
      <c r="O620" s="687"/>
      <c r="P620" s="690"/>
    </row>
    <row r="621" spans="1:16" x14ac:dyDescent="0.25">
      <c r="A621" t="s">
        <v>180</v>
      </c>
      <c r="B621" s="11" t="s">
        <v>855</v>
      </c>
      <c r="C621" s="51"/>
      <c r="D621" s="17"/>
      <c r="E621" s="13"/>
      <c r="F621" s="13"/>
      <c r="G621" s="14" t="s">
        <v>940</v>
      </c>
      <c r="H621" s="15" t="s">
        <v>893</v>
      </c>
      <c r="I621" s="15" t="s">
        <v>945</v>
      </c>
      <c r="J621" s="18">
        <v>30</v>
      </c>
      <c r="K621" s="18">
        <v>1</v>
      </c>
      <c r="L621" s="18"/>
      <c r="M621" s="700"/>
      <c r="N621" s="687"/>
      <c r="O621" s="687"/>
      <c r="P621" s="690"/>
    </row>
    <row r="622" spans="1:16" x14ac:dyDescent="0.25">
      <c r="A622" t="s">
        <v>180</v>
      </c>
      <c r="B622" s="11" t="s">
        <v>855</v>
      </c>
      <c r="C622" s="51"/>
      <c r="D622" s="17"/>
      <c r="E622" s="13"/>
      <c r="F622" s="13"/>
      <c r="G622" s="14" t="s">
        <v>940</v>
      </c>
      <c r="H622" s="15" t="s">
        <v>895</v>
      </c>
      <c r="I622" s="15" t="s">
        <v>946</v>
      </c>
      <c r="J622" s="18">
        <v>30</v>
      </c>
      <c r="K622" s="18">
        <v>1</v>
      </c>
      <c r="L622" s="18"/>
      <c r="M622" s="700"/>
      <c r="N622" s="687"/>
      <c r="O622" s="687"/>
      <c r="P622" s="690"/>
    </row>
    <row r="623" spans="1:16" x14ac:dyDescent="0.25">
      <c r="A623" t="s">
        <v>180</v>
      </c>
      <c r="B623" s="11" t="s">
        <v>855</v>
      </c>
      <c r="C623" s="51"/>
      <c r="D623" s="17"/>
      <c r="E623" s="13"/>
      <c r="F623" s="13"/>
      <c r="G623" s="14" t="s">
        <v>940</v>
      </c>
      <c r="H623" s="15" t="s">
        <v>897</v>
      </c>
      <c r="I623" s="15" t="s">
        <v>947</v>
      </c>
      <c r="J623" s="18">
        <v>30</v>
      </c>
      <c r="K623" s="18">
        <v>1</v>
      </c>
      <c r="L623" s="18"/>
      <c r="M623" s="701"/>
      <c r="N623" s="688"/>
      <c r="O623" s="688"/>
      <c r="P623" s="691"/>
    </row>
    <row r="624" spans="1:16" ht="15.75" thickBot="1" x14ac:dyDescent="0.3">
      <c r="A624" t="s">
        <v>180</v>
      </c>
      <c r="B624" s="11" t="s">
        <v>855</v>
      </c>
      <c r="C624" s="214"/>
      <c r="D624" s="185"/>
      <c r="E624" s="185"/>
      <c r="F624" s="185"/>
      <c r="G624" s="186" t="s">
        <v>906</v>
      </c>
      <c r="H624" s="215" t="s">
        <v>928</v>
      </c>
      <c r="I624" s="187" t="s">
        <v>948</v>
      </c>
      <c r="J624" s="186">
        <v>60</v>
      </c>
      <c r="K624" s="186">
        <v>1</v>
      </c>
      <c r="L624" s="186"/>
      <c r="M624" s="186">
        <v>20</v>
      </c>
      <c r="N624" s="186">
        <v>1</v>
      </c>
      <c r="O624" s="186">
        <f>N624*M624</f>
        <v>20</v>
      </c>
      <c r="P624" s="188" t="s">
        <v>34</v>
      </c>
    </row>
    <row r="625" spans="1:14" x14ac:dyDescent="0.25">
      <c r="A625" t="s">
        <v>180</v>
      </c>
      <c r="B625" s="4" t="s">
        <v>949</v>
      </c>
      <c r="C625" s="5"/>
      <c r="D625" s="156">
        <v>610000004095</v>
      </c>
      <c r="E625" s="157">
        <f>VLOOKUP(D625,'[1]Task list &amp; Maintenace plan'!$B:$G,6,FALSE)</f>
        <v>100529</v>
      </c>
      <c r="F625" s="157" t="s">
        <v>951</v>
      </c>
      <c r="G625" s="62" t="s">
        <v>952</v>
      </c>
      <c r="H625" s="62" t="s">
        <v>953</v>
      </c>
      <c r="I625" s="195">
        <v>30</v>
      </c>
      <c r="J625" s="195">
        <v>1</v>
      </c>
      <c r="K625" s="195">
        <v>20</v>
      </c>
      <c r="L625" s="195">
        <v>1</v>
      </c>
      <c r="M625" s="195">
        <f>K625*L625</f>
        <v>20</v>
      </c>
      <c r="N625" s="196" t="s">
        <v>34</v>
      </c>
    </row>
    <row r="626" spans="1:14" x14ac:dyDescent="0.25">
      <c r="A626" t="s">
        <v>180</v>
      </c>
      <c r="B626" s="4" t="s">
        <v>949</v>
      </c>
      <c r="C626" s="12"/>
      <c r="D626" s="100">
        <v>610000004096</v>
      </c>
      <c r="E626" s="101">
        <f>VLOOKUP(D626,'[1]Task list &amp; Maintenace plan'!$B:$G,6,FALSE)</f>
        <v>100530</v>
      </c>
      <c r="F626" s="101" t="s">
        <v>954</v>
      </c>
      <c r="G626" s="178" t="s">
        <v>955</v>
      </c>
      <c r="H626" s="178" t="s">
        <v>956</v>
      </c>
      <c r="I626" s="179">
        <v>60</v>
      </c>
      <c r="J626" s="179"/>
      <c r="K626" s="716">
        <v>20</v>
      </c>
      <c r="L626" s="716">
        <v>1</v>
      </c>
      <c r="M626" s="716">
        <f>L626*K626</f>
        <v>20</v>
      </c>
      <c r="N626" s="719" t="s">
        <v>20</v>
      </c>
    </row>
    <row r="627" spans="1:14" x14ac:dyDescent="0.25">
      <c r="A627" t="s">
        <v>180</v>
      </c>
      <c r="B627" s="4" t="s">
        <v>949</v>
      </c>
      <c r="C627" s="12"/>
      <c r="D627" s="123">
        <v>610000004096</v>
      </c>
      <c r="E627" s="124">
        <f>VLOOKUP(D627,'[1]Task list &amp; Maintenace plan'!$B:$G,6,FALSE)</f>
        <v>100530</v>
      </c>
      <c r="F627" s="124" t="s">
        <v>954</v>
      </c>
      <c r="G627" s="180" t="s">
        <v>957</v>
      </c>
      <c r="H627" s="180" t="s">
        <v>958</v>
      </c>
      <c r="I627" s="181">
        <v>60</v>
      </c>
      <c r="J627" s="181"/>
      <c r="K627" s="717"/>
      <c r="L627" s="717"/>
      <c r="M627" s="717"/>
      <c r="N627" s="720"/>
    </row>
    <row r="628" spans="1:14" x14ac:dyDescent="0.25">
      <c r="A628" t="s">
        <v>180</v>
      </c>
      <c r="B628" s="4" t="s">
        <v>949</v>
      </c>
      <c r="C628" s="12"/>
      <c r="D628" s="123">
        <v>610000004096</v>
      </c>
      <c r="E628" s="124">
        <f>VLOOKUP(D628,'[1]Task list &amp; Maintenace plan'!$B:$G,6,FALSE)</f>
        <v>100530</v>
      </c>
      <c r="F628" s="124" t="s">
        <v>954</v>
      </c>
      <c r="G628" s="180" t="s">
        <v>960</v>
      </c>
      <c r="H628" s="180" t="s">
        <v>961</v>
      </c>
      <c r="I628" s="181">
        <v>60</v>
      </c>
      <c r="J628" s="181"/>
      <c r="K628" s="717"/>
      <c r="L628" s="717"/>
      <c r="M628" s="717"/>
      <c r="N628" s="720"/>
    </row>
    <row r="629" spans="1:14" x14ac:dyDescent="0.25">
      <c r="A629" t="s">
        <v>180</v>
      </c>
      <c r="B629" s="4" t="s">
        <v>949</v>
      </c>
      <c r="C629" s="12"/>
      <c r="D629" s="123">
        <v>610000004096</v>
      </c>
      <c r="E629" s="124">
        <f>VLOOKUP(D629,'[1]Task list &amp; Maintenace plan'!$B:$G,6,FALSE)</f>
        <v>100530</v>
      </c>
      <c r="F629" s="124" t="s">
        <v>954</v>
      </c>
      <c r="G629" s="180" t="s">
        <v>962</v>
      </c>
      <c r="H629" s="180" t="s">
        <v>963</v>
      </c>
      <c r="I629" s="181">
        <v>60</v>
      </c>
      <c r="J629" s="181"/>
      <c r="K629" s="717"/>
      <c r="L629" s="717"/>
      <c r="M629" s="717"/>
      <c r="N629" s="720"/>
    </row>
    <row r="630" spans="1:14" x14ac:dyDescent="0.25">
      <c r="A630" t="s">
        <v>180</v>
      </c>
      <c r="B630" s="4" t="s">
        <v>949</v>
      </c>
      <c r="C630" s="12"/>
      <c r="D630" s="123">
        <v>610000004096</v>
      </c>
      <c r="E630" s="124">
        <f>VLOOKUP(D630,'[1]Task list &amp; Maintenace plan'!$B:$G,6,FALSE)</f>
        <v>100530</v>
      </c>
      <c r="F630" s="124" t="s">
        <v>954</v>
      </c>
      <c r="G630" s="180" t="s">
        <v>964</v>
      </c>
      <c r="H630" s="180" t="s">
        <v>965</v>
      </c>
      <c r="I630" s="181">
        <v>60</v>
      </c>
      <c r="J630" s="181"/>
      <c r="K630" s="717"/>
      <c r="L630" s="717"/>
      <c r="M630" s="717"/>
      <c r="N630" s="720"/>
    </row>
    <row r="631" spans="1:14" x14ac:dyDescent="0.25">
      <c r="A631" t="s">
        <v>180</v>
      </c>
      <c r="B631" s="4" t="s">
        <v>949</v>
      </c>
      <c r="C631" s="12"/>
      <c r="D631" s="123">
        <v>610000004096</v>
      </c>
      <c r="E631" s="124">
        <f>VLOOKUP(D631,'[1]Task list &amp; Maintenace plan'!$B:$G,6,FALSE)</f>
        <v>100530</v>
      </c>
      <c r="F631" s="124" t="s">
        <v>954</v>
      </c>
      <c r="G631" s="180" t="s">
        <v>967</v>
      </c>
      <c r="H631" s="180" t="s">
        <v>968</v>
      </c>
      <c r="I631" s="181">
        <v>60</v>
      </c>
      <c r="J631" s="181"/>
      <c r="K631" s="717"/>
      <c r="L631" s="717"/>
      <c r="M631" s="717"/>
      <c r="N631" s="720"/>
    </row>
    <row r="632" spans="1:14" x14ac:dyDescent="0.25">
      <c r="A632" t="s">
        <v>180</v>
      </c>
      <c r="B632" s="4" t="s">
        <v>949</v>
      </c>
      <c r="C632" s="12"/>
      <c r="D632" s="103">
        <v>610000004096</v>
      </c>
      <c r="E632" s="85">
        <f>VLOOKUP(D632,'[1]Task list &amp; Maintenace plan'!$B:$G,6,FALSE)</f>
        <v>100530</v>
      </c>
      <c r="F632" s="85" t="s">
        <v>954</v>
      </c>
      <c r="G632" s="182" t="s">
        <v>952</v>
      </c>
      <c r="H632" s="182" t="s">
        <v>969</v>
      </c>
      <c r="I632" s="183">
        <v>60</v>
      </c>
      <c r="J632" s="183"/>
      <c r="K632" s="718"/>
      <c r="L632" s="718"/>
      <c r="M632" s="718"/>
      <c r="N632" s="721"/>
    </row>
    <row r="633" spans="1:14" x14ac:dyDescent="0.25">
      <c r="A633" t="s">
        <v>180</v>
      </c>
      <c r="B633" s="4" t="s">
        <v>949</v>
      </c>
      <c r="C633" s="12"/>
      <c r="D633" s="100">
        <v>610000004097</v>
      </c>
      <c r="E633" s="101">
        <f>VLOOKUP(D633,'[1]Task list &amp; Maintenace plan'!$B:$G,6,FALSE)</f>
        <v>100531</v>
      </c>
      <c r="F633" s="101" t="s">
        <v>970</v>
      </c>
      <c r="G633" s="178" t="s">
        <v>955</v>
      </c>
      <c r="H633" s="178" t="s">
        <v>971</v>
      </c>
      <c r="I633" s="179">
        <v>60</v>
      </c>
      <c r="J633" s="179">
        <v>1</v>
      </c>
      <c r="K633" s="716">
        <v>60</v>
      </c>
      <c r="L633" s="716">
        <v>1</v>
      </c>
      <c r="M633" s="716">
        <f>L633*K633</f>
        <v>60</v>
      </c>
      <c r="N633" s="719" t="s">
        <v>34</v>
      </c>
    </row>
    <row r="634" spans="1:14" x14ac:dyDescent="0.25">
      <c r="A634" t="s">
        <v>180</v>
      </c>
      <c r="B634" s="4" t="s">
        <v>949</v>
      </c>
      <c r="C634" s="12"/>
      <c r="D634" s="123">
        <v>610000004097</v>
      </c>
      <c r="E634" s="124">
        <f>VLOOKUP(D634,'[1]Task list &amp; Maintenace plan'!$B:$G,6,FALSE)</f>
        <v>100531</v>
      </c>
      <c r="F634" s="124" t="s">
        <v>970</v>
      </c>
      <c r="G634" s="180" t="s">
        <v>957</v>
      </c>
      <c r="H634" s="180" t="s">
        <v>972</v>
      </c>
      <c r="I634" s="181">
        <v>60</v>
      </c>
      <c r="J634" s="181">
        <v>1</v>
      </c>
      <c r="K634" s="717"/>
      <c r="L634" s="717"/>
      <c r="M634" s="717"/>
      <c r="N634" s="720"/>
    </row>
    <row r="635" spans="1:14" x14ac:dyDescent="0.25">
      <c r="A635" t="s">
        <v>180</v>
      </c>
      <c r="B635" s="4" t="s">
        <v>949</v>
      </c>
      <c r="C635" s="12"/>
      <c r="D635" s="123">
        <v>610000004097</v>
      </c>
      <c r="E635" s="124">
        <f>VLOOKUP(D635,'[1]Task list &amp; Maintenace plan'!$B:$G,6,FALSE)</f>
        <v>100531</v>
      </c>
      <c r="F635" s="124" t="s">
        <v>970</v>
      </c>
      <c r="G635" s="180" t="s">
        <v>960</v>
      </c>
      <c r="H635" s="180" t="s">
        <v>973</v>
      </c>
      <c r="I635" s="181">
        <v>60</v>
      </c>
      <c r="J635" s="181">
        <v>1</v>
      </c>
      <c r="K635" s="717"/>
      <c r="L635" s="717"/>
      <c r="M635" s="717"/>
      <c r="N635" s="720"/>
    </row>
    <row r="636" spans="1:14" x14ac:dyDescent="0.25">
      <c r="A636" t="s">
        <v>180</v>
      </c>
      <c r="B636" s="4" t="s">
        <v>949</v>
      </c>
      <c r="C636" s="12"/>
      <c r="D636" s="123">
        <v>610000004097</v>
      </c>
      <c r="E636" s="124">
        <f>VLOOKUP(D636,'[1]Task list &amp; Maintenace plan'!$B:$G,6,FALSE)</f>
        <v>100531</v>
      </c>
      <c r="F636" s="124" t="s">
        <v>970</v>
      </c>
      <c r="G636" s="180" t="s">
        <v>962</v>
      </c>
      <c r="H636" s="180" t="s">
        <v>974</v>
      </c>
      <c r="I636" s="181">
        <v>60</v>
      </c>
      <c r="J636" s="181">
        <v>1</v>
      </c>
      <c r="K636" s="717"/>
      <c r="L636" s="717"/>
      <c r="M636" s="717"/>
      <c r="N636" s="720"/>
    </row>
    <row r="637" spans="1:14" x14ac:dyDescent="0.25">
      <c r="A637" t="s">
        <v>180</v>
      </c>
      <c r="B637" s="4" t="s">
        <v>949</v>
      </c>
      <c r="C637" s="12"/>
      <c r="D637" s="123">
        <v>610000004097</v>
      </c>
      <c r="E637" s="124">
        <f>VLOOKUP(D637,'[1]Task list &amp; Maintenace plan'!$B:$G,6,FALSE)</f>
        <v>100531</v>
      </c>
      <c r="F637" s="124" t="s">
        <v>970</v>
      </c>
      <c r="G637" s="180" t="s">
        <v>964</v>
      </c>
      <c r="H637" s="180" t="s">
        <v>975</v>
      </c>
      <c r="I637" s="181">
        <v>60</v>
      </c>
      <c r="J637" s="181">
        <v>1</v>
      </c>
      <c r="K637" s="717"/>
      <c r="L637" s="717"/>
      <c r="M637" s="717"/>
      <c r="N637" s="720"/>
    </row>
    <row r="638" spans="1:14" x14ac:dyDescent="0.25">
      <c r="A638" t="s">
        <v>180</v>
      </c>
      <c r="B638" s="4" t="s">
        <v>949</v>
      </c>
      <c r="C638" s="12"/>
      <c r="D638" s="103">
        <v>610000004097</v>
      </c>
      <c r="E638" s="85">
        <f>VLOOKUP(D638,'[1]Task list &amp; Maintenace plan'!$B:$G,6,FALSE)</f>
        <v>100531</v>
      </c>
      <c r="F638" s="85" t="s">
        <v>970</v>
      </c>
      <c r="G638" s="182" t="s">
        <v>967</v>
      </c>
      <c r="H638" s="182" t="s">
        <v>976</v>
      </c>
      <c r="I638" s="183">
        <v>60</v>
      </c>
      <c r="J638" s="183">
        <v>1</v>
      </c>
      <c r="K638" s="718"/>
      <c r="L638" s="718"/>
      <c r="M638" s="718"/>
      <c r="N638" s="721"/>
    </row>
    <row r="639" spans="1:14" x14ac:dyDescent="0.25">
      <c r="A639" t="s">
        <v>180</v>
      </c>
      <c r="B639" s="4" t="s">
        <v>949</v>
      </c>
      <c r="C639" s="12"/>
      <c r="D639" s="123">
        <v>610000004100</v>
      </c>
      <c r="E639" s="124">
        <f>VLOOKUP(D639,'[1]Task list &amp; Maintenace plan'!$B:$G,6,FALSE)</f>
        <v>100534</v>
      </c>
      <c r="F639" s="124" t="s">
        <v>977</v>
      </c>
      <c r="G639" s="180" t="s">
        <v>960</v>
      </c>
      <c r="H639" s="180" t="s">
        <v>978</v>
      </c>
      <c r="I639" s="181">
        <v>180</v>
      </c>
      <c r="J639" s="181">
        <v>1</v>
      </c>
      <c r="K639" s="716">
        <v>30</v>
      </c>
      <c r="L639" s="716">
        <v>1</v>
      </c>
      <c r="M639" s="716">
        <f>L639*K639</f>
        <v>30</v>
      </c>
      <c r="N639" s="719" t="s">
        <v>20</v>
      </c>
    </row>
    <row r="640" spans="1:14" x14ac:dyDescent="0.25">
      <c r="A640" t="s">
        <v>180</v>
      </c>
      <c r="B640" s="4" t="s">
        <v>949</v>
      </c>
      <c r="C640" s="12"/>
      <c r="D640" s="123">
        <v>610000004100</v>
      </c>
      <c r="E640" s="124">
        <f>VLOOKUP(D640,'[1]Task list &amp; Maintenace plan'!$B:$G,6,FALSE)</f>
        <v>100534</v>
      </c>
      <c r="F640" s="124" t="s">
        <v>977</v>
      </c>
      <c r="G640" s="180" t="s">
        <v>962</v>
      </c>
      <c r="H640" s="180" t="s">
        <v>979</v>
      </c>
      <c r="I640" s="181">
        <v>180</v>
      </c>
      <c r="J640" s="181">
        <v>1</v>
      </c>
      <c r="K640" s="717"/>
      <c r="L640" s="717"/>
      <c r="M640" s="717"/>
      <c r="N640" s="720"/>
    </row>
    <row r="641" spans="1:14" x14ac:dyDescent="0.25">
      <c r="A641" t="s">
        <v>180</v>
      </c>
      <c r="B641" s="4" t="s">
        <v>949</v>
      </c>
      <c r="C641" s="12"/>
      <c r="D641" s="123">
        <v>610000004100</v>
      </c>
      <c r="E641" s="124">
        <f>VLOOKUP(D641,'[1]Task list &amp; Maintenace plan'!$B:$G,6,FALSE)</f>
        <v>100534</v>
      </c>
      <c r="F641" s="124" t="s">
        <v>977</v>
      </c>
      <c r="G641" s="180" t="s">
        <v>964</v>
      </c>
      <c r="H641" s="180" t="s">
        <v>980</v>
      </c>
      <c r="I641" s="181">
        <v>180</v>
      </c>
      <c r="J641" s="181">
        <v>1</v>
      </c>
      <c r="K641" s="717"/>
      <c r="L641" s="717"/>
      <c r="M641" s="717"/>
      <c r="N641" s="720"/>
    </row>
    <row r="642" spans="1:14" ht="15.75" thickBot="1" x14ac:dyDescent="0.3">
      <c r="A642" t="s">
        <v>180</v>
      </c>
      <c r="B642" s="4" t="s">
        <v>949</v>
      </c>
      <c r="C642" s="12"/>
      <c r="D642" s="147">
        <v>610000004100</v>
      </c>
      <c r="E642" s="148">
        <f>VLOOKUP(D642,'[1]Task list &amp; Maintenace plan'!$B:$G,6,FALSE)</f>
        <v>100534</v>
      </c>
      <c r="F642" s="148" t="s">
        <v>977</v>
      </c>
      <c r="G642" s="189" t="s">
        <v>967</v>
      </c>
      <c r="H642" s="189" t="s">
        <v>981</v>
      </c>
      <c r="I642" s="190">
        <v>180</v>
      </c>
      <c r="J642" s="190">
        <v>1</v>
      </c>
      <c r="K642" s="727"/>
      <c r="L642" s="727"/>
      <c r="M642" s="727"/>
      <c r="N642" s="728"/>
    </row>
    <row r="643" spans="1:14" x14ac:dyDescent="0.25">
      <c r="A643" t="s">
        <v>180</v>
      </c>
      <c r="B643" s="4" t="s">
        <v>949</v>
      </c>
      <c r="C643" s="12"/>
      <c r="D643" s="126"/>
      <c r="E643" s="127" t="e">
        <f>VLOOKUP(D643,'[1]Task list &amp; Maintenace plan'!$B:$G,6,FALSE)</f>
        <v>#N/A</v>
      </c>
      <c r="F643" s="127" t="s">
        <v>982</v>
      </c>
      <c r="G643" s="216" t="s">
        <v>983</v>
      </c>
      <c r="H643" s="216" t="s">
        <v>984</v>
      </c>
      <c r="I643" s="127">
        <v>180</v>
      </c>
      <c r="J643" s="127"/>
      <c r="K643" s="127"/>
      <c r="L643" s="127"/>
      <c r="M643" s="127"/>
      <c r="N643" s="217"/>
    </row>
    <row r="644" spans="1:14" ht="15.75" thickBot="1" x14ac:dyDescent="0.3">
      <c r="A644" t="s">
        <v>180</v>
      </c>
      <c r="B644" s="4" t="s">
        <v>949</v>
      </c>
      <c r="C644" s="12"/>
      <c r="D644" s="146"/>
      <c r="E644" s="218" t="e">
        <f>VLOOKUP(D644,'[1]Task list &amp; Maintenace plan'!$B:$G,6,FALSE)</f>
        <v>#N/A</v>
      </c>
      <c r="F644" s="218" t="s">
        <v>982</v>
      </c>
      <c r="G644" s="78" t="s">
        <v>985</v>
      </c>
      <c r="H644" s="78" t="s">
        <v>986</v>
      </c>
      <c r="I644" s="218">
        <v>180</v>
      </c>
      <c r="J644" s="218"/>
      <c r="K644" s="218"/>
      <c r="L644" s="218"/>
      <c r="M644" s="218"/>
      <c r="N644" s="219"/>
    </row>
    <row r="645" spans="1:14" ht="15.75" thickBot="1" x14ac:dyDescent="0.3">
      <c r="A645" t="s">
        <v>180</v>
      </c>
      <c r="B645" s="153" t="s">
        <v>987</v>
      </c>
      <c r="C645" s="154"/>
      <c r="D645" s="123">
        <v>610000004101</v>
      </c>
      <c r="E645" s="124">
        <f>VLOOKUP(D645,'[1]Task list &amp; Maintenace plan'!$B:$G,6,FALSE)</f>
        <v>100535</v>
      </c>
      <c r="F645" s="124" t="s">
        <v>989</v>
      </c>
      <c r="G645" s="180" t="s">
        <v>990</v>
      </c>
      <c r="H645" s="180" t="s">
        <v>991</v>
      </c>
      <c r="I645" s="181">
        <v>60</v>
      </c>
      <c r="J645" s="181"/>
      <c r="K645" s="716">
        <v>15</v>
      </c>
      <c r="L645" s="716">
        <v>1</v>
      </c>
      <c r="M645" s="716">
        <f>L645*K645</f>
        <v>15</v>
      </c>
      <c r="N645" s="719" t="s">
        <v>20</v>
      </c>
    </row>
    <row r="646" spans="1:14" ht="15.75" thickBot="1" x14ac:dyDescent="0.3">
      <c r="A646" t="s">
        <v>180</v>
      </c>
      <c r="B646" s="153" t="s">
        <v>987</v>
      </c>
      <c r="C646" s="12"/>
      <c r="D646" s="123">
        <v>610000004101</v>
      </c>
      <c r="E646" s="124">
        <f>VLOOKUP(D646,'[1]Task list &amp; Maintenace plan'!$B:$G,6,FALSE)</f>
        <v>100535</v>
      </c>
      <c r="F646" s="124" t="s">
        <v>989</v>
      </c>
      <c r="G646" s="180" t="s">
        <v>993</v>
      </c>
      <c r="H646" s="19" t="s">
        <v>994</v>
      </c>
      <c r="I646" s="181">
        <v>60</v>
      </c>
      <c r="J646" s="181"/>
      <c r="K646" s="717"/>
      <c r="L646" s="717"/>
      <c r="M646" s="717"/>
      <c r="N646" s="720"/>
    </row>
    <row r="647" spans="1:14" ht="15.75" thickBot="1" x14ac:dyDescent="0.3">
      <c r="A647" t="s">
        <v>180</v>
      </c>
      <c r="B647" s="153" t="s">
        <v>987</v>
      </c>
      <c r="C647" s="12"/>
      <c r="D647" s="103">
        <v>610000004101</v>
      </c>
      <c r="E647" s="85">
        <f>VLOOKUP(D647,'[1]Task list &amp; Maintenace plan'!$B:$G,6,FALSE)</f>
        <v>100535</v>
      </c>
      <c r="F647" s="85" t="s">
        <v>989</v>
      </c>
      <c r="G647" s="182" t="s">
        <v>995</v>
      </c>
      <c r="H647" s="24" t="s">
        <v>996</v>
      </c>
      <c r="I647" s="183">
        <v>60</v>
      </c>
      <c r="J647" s="183"/>
      <c r="K647" s="718"/>
      <c r="L647" s="718"/>
      <c r="M647" s="718"/>
      <c r="N647" s="721"/>
    </row>
    <row r="648" spans="1:14" ht="15.75" thickBot="1" x14ac:dyDescent="0.3">
      <c r="A648" t="s">
        <v>180</v>
      </c>
      <c r="B648" s="153" t="s">
        <v>987</v>
      </c>
      <c r="C648" s="12"/>
      <c r="D648" s="117">
        <v>610000004102</v>
      </c>
      <c r="E648" s="118">
        <f>VLOOKUP(D648,'[1]Task list &amp; Maintenace plan'!$B:$G,6,FALSE)</f>
        <v>100536</v>
      </c>
      <c r="F648" s="118" t="s">
        <v>998</v>
      </c>
      <c r="G648" s="220" t="s">
        <v>993</v>
      </c>
      <c r="H648" s="26" t="s">
        <v>999</v>
      </c>
      <c r="I648" s="221">
        <v>30</v>
      </c>
      <c r="J648" s="221">
        <v>1</v>
      </c>
      <c r="K648" s="716">
        <v>30</v>
      </c>
      <c r="L648" s="716">
        <v>1</v>
      </c>
      <c r="M648" s="716">
        <f>L648*K648</f>
        <v>30</v>
      </c>
      <c r="N648" s="719" t="s">
        <v>34</v>
      </c>
    </row>
    <row r="649" spans="1:14" ht="15.75" thickBot="1" x14ac:dyDescent="0.3">
      <c r="A649" t="s">
        <v>180</v>
      </c>
      <c r="B649" s="153" t="s">
        <v>987</v>
      </c>
      <c r="C649" s="12"/>
      <c r="D649" s="123">
        <v>610000004102</v>
      </c>
      <c r="E649" s="124">
        <f>VLOOKUP(D649,'[1]Task list &amp; Maintenace plan'!$B:$G,6,FALSE)</f>
        <v>100536</v>
      </c>
      <c r="F649" s="124" t="s">
        <v>998</v>
      </c>
      <c r="G649" s="180" t="s">
        <v>990</v>
      </c>
      <c r="H649" s="19" t="s">
        <v>1001</v>
      </c>
      <c r="I649" s="181">
        <v>30</v>
      </c>
      <c r="J649" s="181">
        <v>1</v>
      </c>
      <c r="K649" s="717"/>
      <c r="L649" s="717"/>
      <c r="M649" s="717"/>
      <c r="N649" s="720"/>
    </row>
    <row r="650" spans="1:14" ht="15.75" thickBot="1" x14ac:dyDescent="0.3">
      <c r="A650" t="s">
        <v>180</v>
      </c>
      <c r="B650" s="153" t="s">
        <v>987</v>
      </c>
      <c r="C650" s="12"/>
      <c r="D650" s="103">
        <v>610000004102</v>
      </c>
      <c r="E650" s="85">
        <f>VLOOKUP(D650,'[1]Task list &amp; Maintenace plan'!$B:$G,6,FALSE)</f>
        <v>100536</v>
      </c>
      <c r="F650" s="85" t="s">
        <v>998</v>
      </c>
      <c r="G650" s="182" t="s">
        <v>995</v>
      </c>
      <c r="H650" s="24" t="s">
        <v>1003</v>
      </c>
      <c r="I650" s="183">
        <v>30</v>
      </c>
      <c r="J650" s="183">
        <v>1</v>
      </c>
      <c r="K650" s="718"/>
      <c r="L650" s="718"/>
      <c r="M650" s="718"/>
      <c r="N650" s="721"/>
    </row>
    <row r="651" spans="1:14" ht="15.75" thickBot="1" x14ac:dyDescent="0.3">
      <c r="A651" t="s">
        <v>180</v>
      </c>
      <c r="B651" s="153" t="s">
        <v>987</v>
      </c>
      <c r="C651" s="12"/>
      <c r="D651" s="100">
        <v>610000004103</v>
      </c>
      <c r="E651" s="101">
        <f>VLOOKUP(D651,'[1]Task list &amp; Maintenace plan'!$B:$G,6,FALSE)</f>
        <v>100537</v>
      </c>
      <c r="F651" s="101" t="s">
        <v>1004</v>
      </c>
      <c r="G651" s="178" t="s">
        <v>993</v>
      </c>
      <c r="H651" s="15" t="s">
        <v>1005</v>
      </c>
      <c r="I651" s="179">
        <v>60</v>
      </c>
      <c r="J651" s="179"/>
      <c r="K651" s="716">
        <v>15</v>
      </c>
      <c r="L651" s="716">
        <v>1</v>
      </c>
      <c r="M651" s="716">
        <f>L651*K651</f>
        <v>15</v>
      </c>
      <c r="N651" s="719" t="s">
        <v>20</v>
      </c>
    </row>
    <row r="652" spans="1:14" ht="15.75" thickBot="1" x14ac:dyDescent="0.3">
      <c r="A652" t="s">
        <v>180</v>
      </c>
      <c r="B652" s="153" t="s">
        <v>987</v>
      </c>
      <c r="C652" s="12"/>
      <c r="D652" s="123">
        <v>610000004103</v>
      </c>
      <c r="E652" s="124">
        <f>VLOOKUP(D652,'[1]Task list &amp; Maintenace plan'!$B:$G,6,FALSE)</f>
        <v>100537</v>
      </c>
      <c r="F652" s="124" t="s">
        <v>1004</v>
      </c>
      <c r="G652" s="180" t="s">
        <v>992</v>
      </c>
      <c r="H652" s="19" t="s">
        <v>1006</v>
      </c>
      <c r="I652" s="181">
        <v>60</v>
      </c>
      <c r="J652" s="181"/>
      <c r="K652" s="717"/>
      <c r="L652" s="717"/>
      <c r="M652" s="717"/>
      <c r="N652" s="720"/>
    </row>
    <row r="653" spans="1:14" ht="15.75" thickBot="1" x14ac:dyDescent="0.3">
      <c r="A653" t="s">
        <v>180</v>
      </c>
      <c r="B653" s="153" t="s">
        <v>987</v>
      </c>
      <c r="C653" s="177"/>
      <c r="D653" s="123">
        <v>610000004103</v>
      </c>
      <c r="E653" s="124">
        <f>VLOOKUP(D653,'[1]Task list &amp; Maintenace plan'!$B:$G,6,FALSE)</f>
        <v>100537</v>
      </c>
      <c r="F653" s="124" t="s">
        <v>1004</v>
      </c>
      <c r="G653" s="180" t="s">
        <v>988</v>
      </c>
      <c r="H653" s="180" t="s">
        <v>1007</v>
      </c>
      <c r="I653" s="181">
        <v>60</v>
      </c>
      <c r="J653" s="181"/>
      <c r="K653" s="717"/>
      <c r="L653" s="717"/>
      <c r="M653" s="717"/>
      <c r="N653" s="720"/>
    </row>
    <row r="654" spans="1:14" ht="15.75" thickBot="1" x14ac:dyDescent="0.3">
      <c r="A654" t="s">
        <v>180</v>
      </c>
      <c r="B654" s="153" t="s">
        <v>987</v>
      </c>
      <c r="C654" s="12"/>
      <c r="D654" s="123">
        <v>610000004103</v>
      </c>
      <c r="E654" s="124">
        <f>VLOOKUP(D654,'[1]Task list &amp; Maintenace plan'!$B:$G,6,FALSE)</f>
        <v>100537</v>
      </c>
      <c r="F654" s="124" t="s">
        <v>1004</v>
      </c>
      <c r="G654" s="180" t="s">
        <v>990</v>
      </c>
      <c r="H654" s="180" t="s">
        <v>1008</v>
      </c>
      <c r="I654" s="181">
        <v>60</v>
      </c>
      <c r="J654" s="181"/>
      <c r="K654" s="717"/>
      <c r="L654" s="717"/>
      <c r="M654" s="717"/>
      <c r="N654" s="720"/>
    </row>
    <row r="655" spans="1:14" ht="15.75" thickBot="1" x14ac:dyDescent="0.3">
      <c r="A655" t="s">
        <v>180</v>
      </c>
      <c r="B655" s="153" t="s">
        <v>987</v>
      </c>
      <c r="C655" s="12"/>
      <c r="D655" s="123">
        <v>610000004103</v>
      </c>
      <c r="E655" s="124">
        <f>VLOOKUP(D655,'[1]Task list &amp; Maintenace plan'!$B:$G,6,FALSE)</f>
        <v>100537</v>
      </c>
      <c r="F655" s="124" t="s">
        <v>1004</v>
      </c>
      <c r="G655" s="180" t="s">
        <v>995</v>
      </c>
      <c r="H655" s="180" t="s">
        <v>1009</v>
      </c>
      <c r="I655" s="181">
        <v>60</v>
      </c>
      <c r="J655" s="181"/>
      <c r="K655" s="717"/>
      <c r="L655" s="717"/>
      <c r="M655" s="717"/>
      <c r="N655" s="720"/>
    </row>
    <row r="656" spans="1:14" ht="15.75" thickBot="1" x14ac:dyDescent="0.3">
      <c r="A656" t="s">
        <v>180</v>
      </c>
      <c r="B656" s="153" t="s">
        <v>987</v>
      </c>
      <c r="C656" s="12"/>
      <c r="D656" s="123">
        <v>610000004103</v>
      </c>
      <c r="E656" s="124">
        <f>VLOOKUP(D656,'[1]Task list &amp; Maintenace plan'!$B:$G,6,FALSE)</f>
        <v>100537</v>
      </c>
      <c r="F656" s="124" t="s">
        <v>1004</v>
      </c>
      <c r="G656" s="180" t="s">
        <v>993</v>
      </c>
      <c r="H656" s="180" t="s">
        <v>1010</v>
      </c>
      <c r="I656" s="181">
        <v>60</v>
      </c>
      <c r="J656" s="181"/>
      <c r="K656" s="717"/>
      <c r="L656" s="717"/>
      <c r="M656" s="717"/>
      <c r="N656" s="720"/>
    </row>
    <row r="657" spans="1:14" ht="15.75" thickBot="1" x14ac:dyDescent="0.3">
      <c r="A657" t="s">
        <v>180</v>
      </c>
      <c r="B657" s="153" t="s">
        <v>987</v>
      </c>
      <c r="C657" s="12"/>
      <c r="D657" s="123">
        <v>610000004103</v>
      </c>
      <c r="E657" s="124">
        <f>VLOOKUP(D657,'[1]Task list &amp; Maintenace plan'!$B:$G,6,FALSE)</f>
        <v>100537</v>
      </c>
      <c r="F657" s="124" t="s">
        <v>1004</v>
      </c>
      <c r="G657" s="180" t="s">
        <v>992</v>
      </c>
      <c r="H657" s="180" t="s">
        <v>1011</v>
      </c>
      <c r="I657" s="181">
        <v>60</v>
      </c>
      <c r="J657" s="181"/>
      <c r="K657" s="717"/>
      <c r="L657" s="717"/>
      <c r="M657" s="717"/>
      <c r="N657" s="720"/>
    </row>
    <row r="658" spans="1:14" ht="15.75" thickBot="1" x14ac:dyDescent="0.3">
      <c r="A658" t="s">
        <v>180</v>
      </c>
      <c r="B658" s="153" t="s">
        <v>987</v>
      </c>
      <c r="C658" s="12"/>
      <c r="D658" s="123">
        <v>610000004103</v>
      </c>
      <c r="E658" s="124">
        <f>VLOOKUP(D658,'[1]Task list &amp; Maintenace plan'!$B:$G,6,FALSE)</f>
        <v>100537</v>
      </c>
      <c r="F658" s="124" t="s">
        <v>1004</v>
      </c>
      <c r="G658" s="180" t="s">
        <v>988</v>
      </c>
      <c r="H658" s="180" t="s">
        <v>1012</v>
      </c>
      <c r="I658" s="181">
        <v>60</v>
      </c>
      <c r="J658" s="181"/>
      <c r="K658" s="717"/>
      <c r="L658" s="717"/>
      <c r="M658" s="717"/>
      <c r="N658" s="720"/>
    </row>
    <row r="659" spans="1:14" ht="15.75" thickBot="1" x14ac:dyDescent="0.3">
      <c r="A659" t="s">
        <v>180</v>
      </c>
      <c r="B659" s="153" t="s">
        <v>987</v>
      </c>
      <c r="C659" s="12"/>
      <c r="D659" s="123">
        <v>610000004103</v>
      </c>
      <c r="E659" s="124">
        <f>VLOOKUP(D659,'[1]Task list &amp; Maintenace plan'!$B:$G,6,FALSE)</f>
        <v>100537</v>
      </c>
      <c r="F659" s="124" t="s">
        <v>1004</v>
      </c>
      <c r="G659" s="180" t="s">
        <v>990</v>
      </c>
      <c r="H659" s="180" t="s">
        <v>1013</v>
      </c>
      <c r="I659" s="181">
        <v>60</v>
      </c>
      <c r="J659" s="181"/>
      <c r="K659" s="717"/>
      <c r="L659" s="717"/>
      <c r="M659" s="717"/>
      <c r="N659" s="720"/>
    </row>
    <row r="660" spans="1:14" ht="15.75" thickBot="1" x14ac:dyDescent="0.3">
      <c r="A660" t="s">
        <v>180</v>
      </c>
      <c r="B660" s="153" t="s">
        <v>987</v>
      </c>
      <c r="C660" s="12"/>
      <c r="D660" s="123">
        <v>610000004103</v>
      </c>
      <c r="E660" s="124">
        <f>VLOOKUP(D660,'[1]Task list &amp; Maintenace plan'!$B:$G,6,FALSE)</f>
        <v>100537</v>
      </c>
      <c r="F660" s="124" t="s">
        <v>1004</v>
      </c>
      <c r="G660" s="180" t="s">
        <v>995</v>
      </c>
      <c r="H660" s="180" t="s">
        <v>1014</v>
      </c>
      <c r="I660" s="181">
        <v>60</v>
      </c>
      <c r="J660" s="181"/>
      <c r="K660" s="717"/>
      <c r="L660" s="717"/>
      <c r="M660" s="717"/>
      <c r="N660" s="720"/>
    </row>
    <row r="661" spans="1:14" ht="15.75" thickBot="1" x14ac:dyDescent="0.3">
      <c r="A661" t="s">
        <v>180</v>
      </c>
      <c r="B661" s="153" t="s">
        <v>987</v>
      </c>
      <c r="C661" s="12"/>
      <c r="D661" s="123">
        <v>610000004103</v>
      </c>
      <c r="E661" s="124">
        <f>VLOOKUP(D661,'[1]Task list &amp; Maintenace plan'!$B:$G,6,FALSE)</f>
        <v>100537</v>
      </c>
      <c r="F661" s="124" t="s">
        <v>1004</v>
      </c>
      <c r="G661" s="180" t="s">
        <v>997</v>
      </c>
      <c r="H661" s="180" t="s">
        <v>1015</v>
      </c>
      <c r="I661" s="181">
        <v>60</v>
      </c>
      <c r="J661" s="181"/>
      <c r="K661" s="717"/>
      <c r="L661" s="717"/>
      <c r="M661" s="717"/>
      <c r="N661" s="720"/>
    </row>
    <row r="662" spans="1:14" ht="15.75" thickBot="1" x14ac:dyDescent="0.3">
      <c r="A662" t="s">
        <v>180</v>
      </c>
      <c r="B662" s="153" t="s">
        <v>987</v>
      </c>
      <c r="C662" s="12"/>
      <c r="D662" s="123">
        <v>610000004103</v>
      </c>
      <c r="E662" s="124">
        <f>VLOOKUP(D662,'[1]Task list &amp; Maintenace plan'!$B:$G,6,FALSE)</f>
        <v>100537</v>
      </c>
      <c r="F662" s="124" t="s">
        <v>1004</v>
      </c>
      <c r="G662" s="180" t="s">
        <v>1000</v>
      </c>
      <c r="H662" s="180" t="s">
        <v>1016</v>
      </c>
      <c r="I662" s="181">
        <v>60</v>
      </c>
      <c r="J662" s="181"/>
      <c r="K662" s="717"/>
      <c r="L662" s="717"/>
      <c r="M662" s="717"/>
      <c r="N662" s="720"/>
    </row>
    <row r="663" spans="1:14" ht="15.75" thickBot="1" x14ac:dyDescent="0.3">
      <c r="A663" t="s">
        <v>180</v>
      </c>
      <c r="B663" s="153" t="s">
        <v>987</v>
      </c>
      <c r="C663" s="12"/>
      <c r="D663" s="123">
        <v>610000004103</v>
      </c>
      <c r="E663" s="124">
        <f>VLOOKUP(D663,'[1]Task list &amp; Maintenace plan'!$B:$G,6,FALSE)</f>
        <v>100537</v>
      </c>
      <c r="F663" s="124" t="s">
        <v>1004</v>
      </c>
      <c r="G663" s="180" t="s">
        <v>1002</v>
      </c>
      <c r="H663" s="180" t="s">
        <v>1017</v>
      </c>
      <c r="I663" s="181">
        <v>60</v>
      </c>
      <c r="J663" s="181"/>
      <c r="K663" s="717"/>
      <c r="L663" s="717"/>
      <c r="M663" s="717"/>
      <c r="N663" s="720"/>
    </row>
    <row r="664" spans="1:14" ht="15.75" thickBot="1" x14ac:dyDescent="0.3">
      <c r="A664" t="s">
        <v>180</v>
      </c>
      <c r="B664" s="153" t="s">
        <v>987</v>
      </c>
      <c r="C664" s="12"/>
      <c r="D664" s="123">
        <v>610000004103</v>
      </c>
      <c r="E664" s="124">
        <f>VLOOKUP(D664,'[1]Task list &amp; Maintenace plan'!$B:$G,6,FALSE)</f>
        <v>100537</v>
      </c>
      <c r="F664" s="124" t="s">
        <v>1004</v>
      </c>
      <c r="G664" s="180" t="s">
        <v>997</v>
      </c>
      <c r="H664" s="180" t="s">
        <v>1018</v>
      </c>
      <c r="I664" s="181">
        <v>60</v>
      </c>
      <c r="J664" s="181"/>
      <c r="K664" s="717"/>
      <c r="L664" s="717"/>
      <c r="M664" s="717"/>
      <c r="N664" s="720"/>
    </row>
    <row r="665" spans="1:14" ht="15.75" thickBot="1" x14ac:dyDescent="0.3">
      <c r="A665" t="s">
        <v>180</v>
      </c>
      <c r="B665" s="153" t="s">
        <v>987</v>
      </c>
      <c r="C665" s="12"/>
      <c r="D665" s="123">
        <v>610000004103</v>
      </c>
      <c r="E665" s="124">
        <f>VLOOKUP(D665,'[1]Task list &amp; Maintenace plan'!$B:$G,6,FALSE)</f>
        <v>100537</v>
      </c>
      <c r="F665" s="124" t="s">
        <v>1004</v>
      </c>
      <c r="G665" s="180" t="s">
        <v>1000</v>
      </c>
      <c r="H665" s="180" t="s">
        <v>1019</v>
      </c>
      <c r="I665" s="181">
        <v>60</v>
      </c>
      <c r="J665" s="181"/>
      <c r="K665" s="717"/>
      <c r="L665" s="717"/>
      <c r="M665" s="717"/>
      <c r="N665" s="720"/>
    </row>
    <row r="666" spans="1:14" ht="15.75" thickBot="1" x14ac:dyDescent="0.3">
      <c r="A666" t="s">
        <v>180</v>
      </c>
      <c r="B666" s="153" t="s">
        <v>987</v>
      </c>
      <c r="C666" s="12"/>
      <c r="D666" s="160">
        <v>610000004103</v>
      </c>
      <c r="E666" s="82">
        <f>VLOOKUP(D666,'[1]Task list &amp; Maintenace plan'!$B:$G,6,FALSE)</f>
        <v>100537</v>
      </c>
      <c r="F666" s="82" t="s">
        <v>1004</v>
      </c>
      <c r="G666" s="191" t="s">
        <v>1002</v>
      </c>
      <c r="H666" s="191" t="s">
        <v>1020</v>
      </c>
      <c r="I666" s="192">
        <v>60</v>
      </c>
      <c r="J666" s="192"/>
      <c r="K666" s="718"/>
      <c r="L666" s="718"/>
      <c r="M666" s="718"/>
      <c r="N666" s="721"/>
    </row>
    <row r="667" spans="1:14" ht="15.75" thickBot="1" x14ac:dyDescent="0.3">
      <c r="A667" t="s">
        <v>180</v>
      </c>
      <c r="B667" s="153" t="s">
        <v>987</v>
      </c>
      <c r="C667" s="12"/>
      <c r="D667" s="100">
        <v>610000004104</v>
      </c>
      <c r="E667" s="101">
        <f>VLOOKUP(D667,'[1]Task list &amp; Maintenace plan'!$B:$G,6,FALSE)</f>
        <v>100538</v>
      </c>
      <c r="F667" s="101" t="s">
        <v>1021</v>
      </c>
      <c r="G667" s="178" t="s">
        <v>992</v>
      </c>
      <c r="H667" s="178" t="s">
        <v>1022</v>
      </c>
      <c r="I667" s="179">
        <v>60</v>
      </c>
      <c r="J667" s="179">
        <v>1</v>
      </c>
      <c r="K667" s="716">
        <v>60</v>
      </c>
      <c r="L667" s="716">
        <v>1</v>
      </c>
      <c r="M667" s="716">
        <f>L667*K667</f>
        <v>60</v>
      </c>
      <c r="N667" s="719" t="s">
        <v>34</v>
      </c>
    </row>
    <row r="668" spans="1:14" ht="15.75" thickBot="1" x14ac:dyDescent="0.3">
      <c r="A668" t="s">
        <v>180</v>
      </c>
      <c r="B668" s="153" t="s">
        <v>987</v>
      </c>
      <c r="C668" s="12"/>
      <c r="D668" s="123">
        <v>610000004104</v>
      </c>
      <c r="E668" s="124">
        <f>VLOOKUP(D668,'[1]Task list &amp; Maintenace plan'!$B:$G,6,FALSE)</f>
        <v>100538</v>
      </c>
      <c r="F668" s="124" t="s">
        <v>1021</v>
      </c>
      <c r="G668" s="180" t="s">
        <v>988</v>
      </c>
      <c r="H668" s="180" t="s">
        <v>1023</v>
      </c>
      <c r="I668" s="181">
        <v>60</v>
      </c>
      <c r="J668" s="181">
        <v>1</v>
      </c>
      <c r="K668" s="717"/>
      <c r="L668" s="717"/>
      <c r="M668" s="717"/>
      <c r="N668" s="720"/>
    </row>
    <row r="669" spans="1:14" ht="15.75" thickBot="1" x14ac:dyDescent="0.3">
      <c r="A669" t="s">
        <v>180</v>
      </c>
      <c r="B669" s="153" t="s">
        <v>987</v>
      </c>
      <c r="C669" s="12"/>
      <c r="D669" s="123">
        <v>610000004104</v>
      </c>
      <c r="E669" s="124">
        <f>VLOOKUP(D669,'[1]Task list &amp; Maintenace plan'!$B:$G,6,FALSE)</f>
        <v>100538</v>
      </c>
      <c r="F669" s="124" t="s">
        <v>1021</v>
      </c>
      <c r="G669" s="180" t="s">
        <v>997</v>
      </c>
      <c r="H669" s="180" t="s">
        <v>1024</v>
      </c>
      <c r="I669" s="181">
        <v>60</v>
      </c>
      <c r="J669" s="181">
        <v>1</v>
      </c>
      <c r="K669" s="717"/>
      <c r="L669" s="717"/>
      <c r="M669" s="717"/>
      <c r="N669" s="720"/>
    </row>
    <row r="670" spans="1:14" ht="15.75" thickBot="1" x14ac:dyDescent="0.3">
      <c r="A670" t="s">
        <v>180</v>
      </c>
      <c r="B670" s="153" t="s">
        <v>987</v>
      </c>
      <c r="C670" s="12"/>
      <c r="D670" s="123">
        <v>610000004104</v>
      </c>
      <c r="E670" s="124">
        <f>VLOOKUP(D670,'[1]Task list &amp; Maintenace plan'!$B:$G,6,FALSE)</f>
        <v>100538</v>
      </c>
      <c r="F670" s="124" t="s">
        <v>1021</v>
      </c>
      <c r="G670" s="180" t="s">
        <v>1000</v>
      </c>
      <c r="H670" s="180" t="s">
        <v>1025</v>
      </c>
      <c r="I670" s="181">
        <v>60</v>
      </c>
      <c r="J670" s="181">
        <v>1</v>
      </c>
      <c r="K670" s="717"/>
      <c r="L670" s="717"/>
      <c r="M670" s="717"/>
      <c r="N670" s="720"/>
    </row>
    <row r="671" spans="1:14" ht="15.75" thickBot="1" x14ac:dyDescent="0.3">
      <c r="A671" t="s">
        <v>180</v>
      </c>
      <c r="B671" s="153" t="s">
        <v>987</v>
      </c>
      <c r="C671" s="12"/>
      <c r="D671" s="103">
        <v>610000004104</v>
      </c>
      <c r="E671" s="85">
        <f>VLOOKUP(D671,'[1]Task list &amp; Maintenace plan'!$B:$G,6,FALSE)</f>
        <v>100538</v>
      </c>
      <c r="F671" s="85" t="s">
        <v>1021</v>
      </c>
      <c r="G671" s="182" t="s">
        <v>1002</v>
      </c>
      <c r="H671" s="182" t="s">
        <v>1026</v>
      </c>
      <c r="I671" s="183">
        <v>60</v>
      </c>
      <c r="J671" s="183">
        <v>1</v>
      </c>
      <c r="K671" s="718"/>
      <c r="L671" s="718"/>
      <c r="M671" s="718"/>
      <c r="N671" s="721"/>
    </row>
    <row r="672" spans="1:14" ht="15.75" thickBot="1" x14ac:dyDescent="0.3">
      <c r="A672" t="s">
        <v>180</v>
      </c>
      <c r="B672" s="153" t="s">
        <v>987</v>
      </c>
      <c r="C672" s="12"/>
      <c r="D672" s="222"/>
      <c r="E672" s="165" t="e">
        <f>VLOOKUP(D672,'[1]Task list &amp; Maintenace plan'!$B:$G,6,FALSE)</f>
        <v>#N/A</v>
      </c>
      <c r="F672" s="165" t="s">
        <v>989</v>
      </c>
      <c r="G672" s="223" t="s">
        <v>1027</v>
      </c>
      <c r="H672" s="223" t="s">
        <v>1028</v>
      </c>
      <c r="I672" s="165">
        <v>60</v>
      </c>
      <c r="J672" s="165"/>
      <c r="K672" s="165"/>
      <c r="L672" s="165"/>
      <c r="M672" s="165"/>
      <c r="N672" s="166"/>
    </row>
    <row r="673" spans="1:14" ht="15.75" thickBot="1" x14ac:dyDescent="0.3">
      <c r="A673" t="s">
        <v>180</v>
      </c>
      <c r="B673" s="153" t="s">
        <v>987</v>
      </c>
      <c r="C673" s="12"/>
      <c r="D673" s="13">
        <v>610000004106</v>
      </c>
      <c r="E673" s="14">
        <f>VLOOKUP(D673,'[1]Task list &amp; Maintenace plan'!$B:$G,6,FALSE)</f>
        <v>100540</v>
      </c>
      <c r="F673" s="14" t="s">
        <v>1029</v>
      </c>
      <c r="G673" s="15" t="s">
        <v>993</v>
      </c>
      <c r="H673" s="15" t="s">
        <v>1030</v>
      </c>
      <c r="I673" s="14">
        <v>60</v>
      </c>
      <c r="J673" s="14"/>
      <c r="K673" s="686">
        <v>20</v>
      </c>
      <c r="L673" s="686">
        <v>1</v>
      </c>
      <c r="M673" s="686">
        <f>L673*K673</f>
        <v>20</v>
      </c>
      <c r="N673" s="689" t="s">
        <v>20</v>
      </c>
    </row>
    <row r="674" spans="1:14" ht="15.75" thickBot="1" x14ac:dyDescent="0.3">
      <c r="A674" t="s">
        <v>180</v>
      </c>
      <c r="B674" s="153" t="s">
        <v>987</v>
      </c>
      <c r="C674" s="12"/>
      <c r="D674" s="17">
        <v>610000004106</v>
      </c>
      <c r="E674" s="18">
        <f>VLOOKUP(D674,'[1]Task list &amp; Maintenace plan'!$B:$G,6,FALSE)</f>
        <v>100540</v>
      </c>
      <c r="F674" s="18" t="s">
        <v>1029</v>
      </c>
      <c r="G674" s="19" t="s">
        <v>990</v>
      </c>
      <c r="H674" s="19" t="s">
        <v>1031</v>
      </c>
      <c r="I674" s="18">
        <v>60</v>
      </c>
      <c r="J674" s="18"/>
      <c r="K674" s="687"/>
      <c r="L674" s="687"/>
      <c r="M674" s="687"/>
      <c r="N674" s="690"/>
    </row>
    <row r="675" spans="1:14" ht="15.75" thickBot="1" x14ac:dyDescent="0.3">
      <c r="A675" t="s">
        <v>180</v>
      </c>
      <c r="B675" s="153" t="s">
        <v>987</v>
      </c>
      <c r="C675" s="12"/>
      <c r="D675" s="22">
        <v>610000004106</v>
      </c>
      <c r="E675" s="23">
        <f>VLOOKUP(D675,'[1]Task list &amp; Maintenace plan'!$B:$G,6,FALSE)</f>
        <v>100540</v>
      </c>
      <c r="F675" s="23" t="s">
        <v>1029</v>
      </c>
      <c r="G675" s="24" t="s">
        <v>995</v>
      </c>
      <c r="H675" s="24" t="s">
        <v>1032</v>
      </c>
      <c r="I675" s="23">
        <v>60</v>
      </c>
      <c r="J675" s="23"/>
      <c r="K675" s="688"/>
      <c r="L675" s="688"/>
      <c r="M675" s="688"/>
      <c r="N675" s="691"/>
    </row>
    <row r="676" spans="1:14" ht="15.75" thickBot="1" x14ac:dyDescent="0.3">
      <c r="A676" t="s">
        <v>180</v>
      </c>
      <c r="B676" s="153" t="s">
        <v>987</v>
      </c>
      <c r="C676" s="27"/>
      <c r="D676" s="28">
        <v>610000004109</v>
      </c>
      <c r="E676" s="29">
        <f>VLOOKUP(D676,'[1]Task list &amp; Maintenace plan'!$B:$G,6,FALSE)</f>
        <v>100543</v>
      </c>
      <c r="F676" s="29" t="s">
        <v>1033</v>
      </c>
      <c r="G676" s="30" t="s">
        <v>993</v>
      </c>
      <c r="H676" s="30" t="s">
        <v>1034</v>
      </c>
      <c r="I676" s="29">
        <v>180</v>
      </c>
      <c r="J676" s="29">
        <v>1</v>
      </c>
      <c r="K676" s="29">
        <v>60</v>
      </c>
      <c r="L676" s="29">
        <v>1</v>
      </c>
      <c r="M676" s="29">
        <f>L676*K676</f>
        <v>60</v>
      </c>
      <c r="N676" s="224" t="s">
        <v>468</v>
      </c>
    </row>
    <row r="677" spans="1:14" ht="15.75" thickBot="1" x14ac:dyDescent="0.3">
      <c r="A677" t="s">
        <v>180</v>
      </c>
      <c r="B677" s="153" t="s">
        <v>1035</v>
      </c>
      <c r="C677" s="225"/>
      <c r="D677" s="38">
        <v>347678</v>
      </c>
      <c r="E677" s="39">
        <f>VLOOKUP(D677,'[1]Task list &amp; Maintenace plan'!$B:$G,6,FALSE)</f>
        <v>1229</v>
      </c>
      <c r="F677" s="39" t="s">
        <v>1037</v>
      </c>
      <c r="G677" s="40" t="s">
        <v>1038</v>
      </c>
      <c r="H677" s="40" t="s">
        <v>1039</v>
      </c>
      <c r="I677" s="39">
        <v>30</v>
      </c>
      <c r="J677" s="39"/>
      <c r="K677" s="694">
        <v>5</v>
      </c>
      <c r="L677" s="694">
        <v>1</v>
      </c>
      <c r="M677" s="694">
        <f>L677*K677</f>
        <v>5</v>
      </c>
      <c r="N677" s="695" t="s">
        <v>20</v>
      </c>
    </row>
    <row r="678" spans="1:14" ht="15.75" thickBot="1" x14ac:dyDescent="0.3">
      <c r="A678" t="s">
        <v>180</v>
      </c>
      <c r="B678" s="153" t="s">
        <v>1035</v>
      </c>
      <c r="C678" s="225"/>
      <c r="D678" s="22">
        <v>347678</v>
      </c>
      <c r="E678" s="23">
        <f>VLOOKUP(D678,'[1]Task list &amp; Maintenace plan'!$B:$G,6,FALSE)</f>
        <v>1229</v>
      </c>
      <c r="F678" s="23" t="s">
        <v>1037</v>
      </c>
      <c r="G678" s="24" t="s">
        <v>1041</v>
      </c>
      <c r="H678" s="24" t="s">
        <v>1042</v>
      </c>
      <c r="I678" s="23">
        <v>30</v>
      </c>
      <c r="J678" s="23"/>
      <c r="K678" s="688"/>
      <c r="L678" s="688"/>
      <c r="M678" s="688"/>
      <c r="N678" s="691"/>
    </row>
    <row r="679" spans="1:14" ht="15.75" thickBot="1" x14ac:dyDescent="0.3">
      <c r="A679" t="s">
        <v>180</v>
      </c>
      <c r="B679" s="153" t="s">
        <v>1035</v>
      </c>
      <c r="C679" s="225"/>
      <c r="D679" s="6">
        <v>347741</v>
      </c>
      <c r="E679" s="7">
        <f>VLOOKUP(D679,'[1]Task list &amp; Maintenace plan'!$B:$G,6,FALSE)</f>
        <v>1232</v>
      </c>
      <c r="F679" s="7" t="s">
        <v>1044</v>
      </c>
      <c r="G679" s="8" t="s">
        <v>1045</v>
      </c>
      <c r="H679" s="8" t="s">
        <v>1046</v>
      </c>
      <c r="I679" s="7">
        <v>30</v>
      </c>
      <c r="J679" s="7">
        <v>1</v>
      </c>
      <c r="K679" s="7">
        <v>10</v>
      </c>
      <c r="L679" s="7">
        <v>1</v>
      </c>
      <c r="M679" s="7">
        <f>L679*K679</f>
        <v>10</v>
      </c>
      <c r="N679" s="10" t="s">
        <v>34</v>
      </c>
    </row>
    <row r="680" spans="1:14" ht="15.75" thickBot="1" x14ac:dyDescent="0.3">
      <c r="A680" t="s">
        <v>180</v>
      </c>
      <c r="B680" s="153" t="s">
        <v>1035</v>
      </c>
      <c r="C680" s="225"/>
      <c r="D680" s="6">
        <v>347716</v>
      </c>
      <c r="E680" s="7">
        <f>VLOOKUP(D680,'[1]Task list &amp; Maintenace plan'!$B:$G,6,FALSE)</f>
        <v>1233</v>
      </c>
      <c r="F680" s="7" t="s">
        <v>1048</v>
      </c>
      <c r="G680" s="8" t="s">
        <v>1045</v>
      </c>
      <c r="H680" s="8" t="s">
        <v>1049</v>
      </c>
      <c r="I680" s="7">
        <v>30</v>
      </c>
      <c r="J680" s="7"/>
      <c r="K680" s="7">
        <v>5</v>
      </c>
      <c r="L680" s="7">
        <v>1</v>
      </c>
      <c r="M680" s="7">
        <f>L680*K680</f>
        <v>5</v>
      </c>
      <c r="N680" s="10" t="s">
        <v>34</v>
      </c>
    </row>
    <row r="681" spans="1:14" ht="15.75" thickBot="1" x14ac:dyDescent="0.3">
      <c r="A681" t="s">
        <v>180</v>
      </c>
      <c r="B681" s="153" t="s">
        <v>1035</v>
      </c>
      <c r="C681" s="225"/>
      <c r="D681" s="117">
        <v>610000004111</v>
      </c>
      <c r="E681" s="118">
        <f>VLOOKUP(D681,'[1]Task list &amp; Maintenace plan'!$B:$G,6,FALSE)</f>
        <v>100545</v>
      </c>
      <c r="F681" s="118" t="s">
        <v>1051</v>
      </c>
      <c r="G681" s="220" t="s">
        <v>1052</v>
      </c>
      <c r="H681" s="220" t="s">
        <v>1053</v>
      </c>
      <c r="I681" s="221">
        <v>60</v>
      </c>
      <c r="J681" s="221">
        <v>1</v>
      </c>
      <c r="K681" s="716">
        <v>90</v>
      </c>
      <c r="L681" s="716">
        <v>1</v>
      </c>
      <c r="M681" s="716">
        <f>L681*K681</f>
        <v>90</v>
      </c>
      <c r="N681" s="719" t="s">
        <v>34</v>
      </c>
    </row>
    <row r="682" spans="1:14" ht="15.75" thickBot="1" x14ac:dyDescent="0.3">
      <c r="A682" t="s">
        <v>180</v>
      </c>
      <c r="B682" s="153" t="s">
        <v>1035</v>
      </c>
      <c r="C682" s="225"/>
      <c r="D682" s="104">
        <v>610000004111</v>
      </c>
      <c r="E682" s="105">
        <f>VLOOKUP(D682,'[1]Task list &amp; Maintenace plan'!$B:$G,6,FALSE)</f>
        <v>100545</v>
      </c>
      <c r="F682" s="105" t="s">
        <v>1051</v>
      </c>
      <c r="G682" s="226" t="s">
        <v>1036</v>
      </c>
      <c r="H682" s="226" t="s">
        <v>1055</v>
      </c>
      <c r="I682" s="227">
        <v>60</v>
      </c>
      <c r="J682" s="227">
        <v>1</v>
      </c>
      <c r="K682" s="717"/>
      <c r="L682" s="717"/>
      <c r="M682" s="717"/>
      <c r="N682" s="720"/>
    </row>
    <row r="683" spans="1:14" ht="15.75" thickBot="1" x14ac:dyDescent="0.3">
      <c r="A683" t="s">
        <v>180</v>
      </c>
      <c r="B683" s="153" t="s">
        <v>1035</v>
      </c>
      <c r="C683" s="225"/>
      <c r="D683" s="104">
        <v>610000004111</v>
      </c>
      <c r="E683" s="105">
        <f>VLOOKUP(D683,'[1]Task list &amp; Maintenace plan'!$B:$G,6,FALSE)</f>
        <v>100545</v>
      </c>
      <c r="F683" s="105" t="s">
        <v>1051</v>
      </c>
      <c r="G683" s="226" t="s">
        <v>1040</v>
      </c>
      <c r="H683" s="226" t="s">
        <v>1057</v>
      </c>
      <c r="I683" s="227">
        <v>60</v>
      </c>
      <c r="J683" s="227">
        <v>1</v>
      </c>
      <c r="K683" s="717"/>
      <c r="L683" s="717"/>
      <c r="M683" s="717"/>
      <c r="N683" s="720"/>
    </row>
    <row r="684" spans="1:14" ht="15.75" thickBot="1" x14ac:dyDescent="0.3">
      <c r="A684" t="s">
        <v>180</v>
      </c>
      <c r="B684" s="153" t="s">
        <v>1035</v>
      </c>
      <c r="C684" s="225"/>
      <c r="D684" s="104">
        <v>610000004111</v>
      </c>
      <c r="E684" s="105">
        <f>VLOOKUP(D684,'[1]Task list &amp; Maintenace plan'!$B:$G,6,FALSE)</f>
        <v>100545</v>
      </c>
      <c r="F684" s="105" t="s">
        <v>1051</v>
      </c>
      <c r="G684" s="226" t="s">
        <v>1043</v>
      </c>
      <c r="H684" s="226" t="s">
        <v>1059</v>
      </c>
      <c r="I684" s="227">
        <v>60</v>
      </c>
      <c r="J684" s="227">
        <v>1</v>
      </c>
      <c r="K684" s="717"/>
      <c r="L684" s="717"/>
      <c r="M684" s="717"/>
      <c r="N684" s="720"/>
    </row>
    <row r="685" spans="1:14" ht="15.75" thickBot="1" x14ac:dyDescent="0.3">
      <c r="A685" t="s">
        <v>180</v>
      </c>
      <c r="B685" s="153" t="s">
        <v>1035</v>
      </c>
      <c r="C685" s="225"/>
      <c r="D685" s="104">
        <v>610000004111</v>
      </c>
      <c r="E685" s="105">
        <f>VLOOKUP(D685,'[1]Task list &amp; Maintenace plan'!$B:$G,6,FALSE)</f>
        <v>100545</v>
      </c>
      <c r="F685" s="105" t="s">
        <v>1051</v>
      </c>
      <c r="G685" s="226" t="s">
        <v>1056</v>
      </c>
      <c r="H685" s="226" t="s">
        <v>1061</v>
      </c>
      <c r="I685" s="227">
        <v>60</v>
      </c>
      <c r="J685" s="227">
        <v>1</v>
      </c>
      <c r="K685" s="717"/>
      <c r="L685" s="717"/>
      <c r="M685" s="717"/>
      <c r="N685" s="720"/>
    </row>
    <row r="686" spans="1:14" ht="15.75" thickBot="1" x14ac:dyDescent="0.3">
      <c r="A686" t="s">
        <v>180</v>
      </c>
      <c r="B686" s="153" t="s">
        <v>1035</v>
      </c>
      <c r="C686" s="225"/>
      <c r="D686" s="104">
        <v>610000004111</v>
      </c>
      <c r="E686" s="105">
        <f>VLOOKUP(D686,'[1]Task list &amp; Maintenace plan'!$B:$G,6,FALSE)</f>
        <v>100545</v>
      </c>
      <c r="F686" s="105" t="s">
        <v>1051</v>
      </c>
      <c r="G686" s="226" t="s">
        <v>1058</v>
      </c>
      <c r="H686" s="226" t="s">
        <v>1063</v>
      </c>
      <c r="I686" s="227">
        <v>60</v>
      </c>
      <c r="J686" s="227">
        <v>1</v>
      </c>
      <c r="K686" s="717"/>
      <c r="L686" s="717"/>
      <c r="M686" s="717"/>
      <c r="N686" s="720"/>
    </row>
    <row r="687" spans="1:14" ht="15.75" thickBot="1" x14ac:dyDescent="0.3">
      <c r="A687" t="s">
        <v>180</v>
      </c>
      <c r="B687" s="153" t="s">
        <v>1035</v>
      </c>
      <c r="C687" s="225"/>
      <c r="D687" s="104">
        <v>610000004111</v>
      </c>
      <c r="E687" s="105">
        <f>VLOOKUP(D687,'[1]Task list &amp; Maintenace plan'!$B:$G,6,FALSE)</f>
        <v>100545</v>
      </c>
      <c r="F687" s="105" t="s">
        <v>1051</v>
      </c>
      <c r="G687" s="226" t="s">
        <v>1060</v>
      </c>
      <c r="H687" s="226" t="s">
        <v>1064</v>
      </c>
      <c r="I687" s="227">
        <v>60</v>
      </c>
      <c r="J687" s="227">
        <v>1</v>
      </c>
      <c r="K687" s="717"/>
      <c r="L687" s="717"/>
      <c r="M687" s="717"/>
      <c r="N687" s="720"/>
    </row>
    <row r="688" spans="1:14" ht="15.75" thickBot="1" x14ac:dyDescent="0.3">
      <c r="A688" t="s">
        <v>180</v>
      </c>
      <c r="B688" s="153" t="s">
        <v>1035</v>
      </c>
      <c r="C688" s="225"/>
      <c r="D688" s="104">
        <v>610000004111</v>
      </c>
      <c r="E688" s="105">
        <f>VLOOKUP(D688,'[1]Task list &amp; Maintenace plan'!$B:$G,6,FALSE)</f>
        <v>100545</v>
      </c>
      <c r="F688" s="105" t="s">
        <v>1051</v>
      </c>
      <c r="G688" s="226" t="s">
        <v>1062</v>
      </c>
      <c r="H688" s="226" t="s">
        <v>1065</v>
      </c>
      <c r="I688" s="227">
        <v>60</v>
      </c>
      <c r="J688" s="227">
        <v>1</v>
      </c>
      <c r="K688" s="717"/>
      <c r="L688" s="717"/>
      <c r="M688" s="717"/>
      <c r="N688" s="720"/>
    </row>
    <row r="689" spans="1:14" ht="15.75" thickBot="1" x14ac:dyDescent="0.3">
      <c r="A689" t="s">
        <v>180</v>
      </c>
      <c r="B689" s="153" t="s">
        <v>1035</v>
      </c>
      <c r="C689" s="225"/>
      <c r="D689" s="104">
        <v>610000004111</v>
      </c>
      <c r="E689" s="105">
        <f>VLOOKUP(D689,'[1]Task list &amp; Maintenace plan'!$B:$G,6,FALSE)</f>
        <v>100545</v>
      </c>
      <c r="F689" s="105" t="s">
        <v>1051</v>
      </c>
      <c r="G689" s="226" t="s">
        <v>1038</v>
      </c>
      <c r="H689" s="226" t="s">
        <v>1067</v>
      </c>
      <c r="I689" s="227">
        <v>60</v>
      </c>
      <c r="J689" s="227">
        <v>1</v>
      </c>
      <c r="K689" s="717"/>
      <c r="L689" s="717"/>
      <c r="M689" s="717"/>
      <c r="N689" s="720"/>
    </row>
    <row r="690" spans="1:14" ht="15.75" thickBot="1" x14ac:dyDescent="0.3">
      <c r="A690" t="s">
        <v>180</v>
      </c>
      <c r="B690" s="153" t="s">
        <v>1035</v>
      </c>
      <c r="C690" s="225"/>
      <c r="D690" s="104">
        <v>610000004111</v>
      </c>
      <c r="E690" s="105">
        <f>VLOOKUP(D690,'[1]Task list &amp; Maintenace plan'!$B:$G,6,FALSE)</f>
        <v>100545</v>
      </c>
      <c r="F690" s="105" t="s">
        <v>1051</v>
      </c>
      <c r="G690" s="226" t="s">
        <v>1041</v>
      </c>
      <c r="H690" s="226" t="s">
        <v>1068</v>
      </c>
      <c r="I690" s="227">
        <v>60</v>
      </c>
      <c r="J690" s="227">
        <v>1</v>
      </c>
      <c r="K690" s="717"/>
      <c r="L690" s="717"/>
      <c r="M690" s="717"/>
      <c r="N690" s="720"/>
    </row>
    <row r="691" spans="1:14" ht="15.75" thickBot="1" x14ac:dyDescent="0.3">
      <c r="A691" t="s">
        <v>180</v>
      </c>
      <c r="B691" s="153" t="s">
        <v>1035</v>
      </c>
      <c r="C691" s="225"/>
      <c r="D691" s="103">
        <v>610000004111</v>
      </c>
      <c r="E691" s="85">
        <f>VLOOKUP(D691,'[1]Task list &amp; Maintenace plan'!$B:$G,6,FALSE)</f>
        <v>100545</v>
      </c>
      <c r="F691" s="85" t="s">
        <v>1051</v>
      </c>
      <c r="G691" s="182" t="s">
        <v>1066</v>
      </c>
      <c r="H691" s="182" t="s">
        <v>1070</v>
      </c>
      <c r="I691" s="183">
        <v>60</v>
      </c>
      <c r="J691" s="183">
        <v>1</v>
      </c>
      <c r="K691" s="718"/>
      <c r="L691" s="718"/>
      <c r="M691" s="718"/>
      <c r="N691" s="721"/>
    </row>
    <row r="692" spans="1:14" ht="15.75" thickBot="1" x14ac:dyDescent="0.3">
      <c r="A692" t="s">
        <v>180</v>
      </c>
      <c r="B692" s="153" t="s">
        <v>1035</v>
      </c>
      <c r="C692" s="225"/>
      <c r="D692" s="100">
        <v>610000004112</v>
      </c>
      <c r="E692" s="101">
        <f>VLOOKUP(D692,'[1]Task list &amp; Maintenace plan'!$B:$G,6,FALSE)</f>
        <v>100546</v>
      </c>
      <c r="F692" s="101" t="s">
        <v>1072</v>
      </c>
      <c r="G692" s="178" t="s">
        <v>1073</v>
      </c>
      <c r="H692" s="178" t="s">
        <v>1074</v>
      </c>
      <c r="I692" s="179">
        <v>60</v>
      </c>
      <c r="J692" s="179"/>
      <c r="K692" s="717">
        <v>90</v>
      </c>
      <c r="L692" s="717">
        <v>1</v>
      </c>
      <c r="M692" s="717">
        <f>L692*K692</f>
        <v>90</v>
      </c>
      <c r="N692" s="720" t="s">
        <v>20</v>
      </c>
    </row>
    <row r="693" spans="1:14" ht="15.75" thickBot="1" x14ac:dyDescent="0.3">
      <c r="A693" t="s">
        <v>180</v>
      </c>
      <c r="B693" s="153" t="s">
        <v>1035</v>
      </c>
      <c r="C693" s="225"/>
      <c r="D693" s="123">
        <v>610000004112</v>
      </c>
      <c r="E693" s="124">
        <f>VLOOKUP(D693,'[1]Task list &amp; Maintenace plan'!$B:$G,6,FALSE)</f>
        <v>100546</v>
      </c>
      <c r="F693" s="124" t="s">
        <v>1072</v>
      </c>
      <c r="G693" s="180" t="s">
        <v>1076</v>
      </c>
      <c r="H693" s="180" t="s">
        <v>1077</v>
      </c>
      <c r="I693" s="181">
        <v>60</v>
      </c>
      <c r="J693" s="181"/>
      <c r="K693" s="717"/>
      <c r="L693" s="717"/>
      <c r="M693" s="717"/>
      <c r="N693" s="720"/>
    </row>
    <row r="694" spans="1:14" ht="15.75" thickBot="1" x14ac:dyDescent="0.3">
      <c r="A694" t="s">
        <v>180</v>
      </c>
      <c r="B694" s="153" t="s">
        <v>1035</v>
      </c>
      <c r="C694" s="225"/>
      <c r="D694" s="123">
        <v>610000004112</v>
      </c>
      <c r="E694" s="124">
        <f>VLOOKUP(D694,'[1]Task list &amp; Maintenace plan'!$B:$G,6,FALSE)</f>
        <v>100546</v>
      </c>
      <c r="F694" s="124" t="s">
        <v>1072</v>
      </c>
      <c r="G694" s="180" t="s">
        <v>1078</v>
      </c>
      <c r="H694" s="180" t="s">
        <v>1079</v>
      </c>
      <c r="I694" s="181">
        <v>60</v>
      </c>
      <c r="J694" s="181"/>
      <c r="K694" s="717"/>
      <c r="L694" s="717"/>
      <c r="M694" s="717"/>
      <c r="N694" s="720"/>
    </row>
    <row r="695" spans="1:14" ht="15.75" thickBot="1" x14ac:dyDescent="0.3">
      <c r="A695" t="s">
        <v>180</v>
      </c>
      <c r="B695" s="153" t="s">
        <v>1035</v>
      </c>
      <c r="C695" s="225"/>
      <c r="D695" s="123">
        <v>610000004112</v>
      </c>
      <c r="E695" s="124">
        <f>VLOOKUP(D695,'[1]Task list &amp; Maintenace plan'!$B:$G,6,FALSE)</f>
        <v>100546</v>
      </c>
      <c r="F695" s="124" t="s">
        <v>1072</v>
      </c>
      <c r="G695" s="180" t="s">
        <v>1071</v>
      </c>
      <c r="H695" s="180" t="s">
        <v>1080</v>
      </c>
      <c r="I695" s="181">
        <v>60</v>
      </c>
      <c r="J695" s="181"/>
      <c r="K695" s="717"/>
      <c r="L695" s="717"/>
      <c r="M695" s="717"/>
      <c r="N695" s="720"/>
    </row>
    <row r="696" spans="1:14" ht="15.75" thickBot="1" x14ac:dyDescent="0.3">
      <c r="A696" t="s">
        <v>180</v>
      </c>
      <c r="B696" s="153" t="s">
        <v>1035</v>
      </c>
      <c r="C696" s="225"/>
      <c r="D696" s="123">
        <v>610000004112</v>
      </c>
      <c r="E696" s="124">
        <f>VLOOKUP(D696,'[1]Task list &amp; Maintenace plan'!$B:$G,6,FALSE)</f>
        <v>100546</v>
      </c>
      <c r="F696" s="124" t="s">
        <v>1072</v>
      </c>
      <c r="G696" s="180" t="s">
        <v>1081</v>
      </c>
      <c r="H696" s="180" t="s">
        <v>1082</v>
      </c>
      <c r="I696" s="181">
        <v>60</v>
      </c>
      <c r="J696" s="181"/>
      <c r="K696" s="717"/>
      <c r="L696" s="717"/>
      <c r="M696" s="717"/>
      <c r="N696" s="720"/>
    </row>
    <row r="697" spans="1:14" ht="15.75" thickBot="1" x14ac:dyDescent="0.3">
      <c r="A697" t="s">
        <v>180</v>
      </c>
      <c r="B697" s="153" t="s">
        <v>1035</v>
      </c>
      <c r="C697" s="225"/>
      <c r="D697" s="123">
        <v>610000004112</v>
      </c>
      <c r="E697" s="124">
        <f>VLOOKUP(D697,'[1]Task list &amp; Maintenace plan'!$B:$G,6,FALSE)</f>
        <v>100546</v>
      </c>
      <c r="F697" s="124" t="s">
        <v>1072</v>
      </c>
      <c r="G697" s="180" t="s">
        <v>1069</v>
      </c>
      <c r="H697" s="180" t="s">
        <v>1084</v>
      </c>
      <c r="I697" s="181">
        <v>60</v>
      </c>
      <c r="J697" s="181"/>
      <c r="K697" s="717"/>
      <c r="L697" s="717"/>
      <c r="M697" s="717"/>
      <c r="N697" s="720"/>
    </row>
    <row r="698" spans="1:14" ht="15.75" thickBot="1" x14ac:dyDescent="0.3">
      <c r="A698" t="s">
        <v>180</v>
      </c>
      <c r="B698" s="153" t="s">
        <v>1035</v>
      </c>
      <c r="C698" s="225"/>
      <c r="D698" s="123">
        <v>610000004112</v>
      </c>
      <c r="E698" s="124">
        <f>VLOOKUP(D698,'[1]Task list &amp; Maintenace plan'!$B:$G,6,FALSE)</f>
        <v>100546</v>
      </c>
      <c r="F698" s="124" t="s">
        <v>1072</v>
      </c>
      <c r="G698" s="180" t="s">
        <v>1052</v>
      </c>
      <c r="H698" s="180" t="s">
        <v>1086</v>
      </c>
      <c r="I698" s="181">
        <v>60</v>
      </c>
      <c r="J698" s="181"/>
      <c r="K698" s="717"/>
      <c r="L698" s="717"/>
      <c r="M698" s="717"/>
      <c r="N698" s="720"/>
    </row>
    <row r="699" spans="1:14" ht="15.75" thickBot="1" x14ac:dyDescent="0.3">
      <c r="A699" t="s">
        <v>180</v>
      </c>
      <c r="B699" s="153" t="s">
        <v>1035</v>
      </c>
      <c r="C699" s="225"/>
      <c r="D699" s="123">
        <v>610000004112</v>
      </c>
      <c r="E699" s="124">
        <f>VLOOKUP(D699,'[1]Task list &amp; Maintenace plan'!$B:$G,6,FALSE)</f>
        <v>100546</v>
      </c>
      <c r="F699" s="124" t="s">
        <v>1072</v>
      </c>
      <c r="G699" s="180" t="s">
        <v>1088</v>
      </c>
      <c r="H699" s="180" t="s">
        <v>1089</v>
      </c>
      <c r="I699" s="181">
        <v>60</v>
      </c>
      <c r="J699" s="181"/>
      <c r="K699" s="717"/>
      <c r="L699" s="717"/>
      <c r="M699" s="717"/>
      <c r="N699" s="720"/>
    </row>
    <row r="700" spans="1:14" ht="15.75" thickBot="1" x14ac:dyDescent="0.3">
      <c r="A700" t="s">
        <v>180</v>
      </c>
      <c r="B700" s="153" t="s">
        <v>1035</v>
      </c>
      <c r="C700" s="225"/>
      <c r="D700" s="123">
        <v>610000004112</v>
      </c>
      <c r="E700" s="124">
        <f>VLOOKUP(D700,'[1]Task list &amp; Maintenace plan'!$B:$G,6,FALSE)</f>
        <v>100546</v>
      </c>
      <c r="F700" s="124" t="s">
        <v>1072</v>
      </c>
      <c r="G700" s="180" t="s">
        <v>1085</v>
      </c>
      <c r="H700" s="180" t="s">
        <v>1091</v>
      </c>
      <c r="I700" s="181">
        <v>60</v>
      </c>
      <c r="J700" s="181"/>
      <c r="K700" s="717"/>
      <c r="L700" s="717"/>
      <c r="M700" s="717"/>
      <c r="N700" s="720"/>
    </row>
    <row r="701" spans="1:14" ht="15.75" thickBot="1" x14ac:dyDescent="0.3">
      <c r="A701" t="s">
        <v>180</v>
      </c>
      <c r="B701" s="153" t="s">
        <v>1035</v>
      </c>
      <c r="C701" s="225"/>
      <c r="D701" s="123">
        <v>610000004112</v>
      </c>
      <c r="E701" s="124">
        <f>VLOOKUP(D701,'[1]Task list &amp; Maintenace plan'!$B:$G,6,FALSE)</f>
        <v>100546</v>
      </c>
      <c r="F701" s="124" t="s">
        <v>1072</v>
      </c>
      <c r="G701" s="180" t="s">
        <v>1087</v>
      </c>
      <c r="H701" s="180" t="s">
        <v>1093</v>
      </c>
      <c r="I701" s="181">
        <v>60</v>
      </c>
      <c r="J701" s="181"/>
      <c r="K701" s="717"/>
      <c r="L701" s="717"/>
      <c r="M701" s="717"/>
      <c r="N701" s="720"/>
    </row>
    <row r="702" spans="1:14" ht="15.75" thickBot="1" x14ac:dyDescent="0.3">
      <c r="A702" t="s">
        <v>180</v>
      </c>
      <c r="B702" s="153" t="s">
        <v>1035</v>
      </c>
      <c r="C702" s="225"/>
      <c r="D702" s="123">
        <v>610000004112</v>
      </c>
      <c r="E702" s="124">
        <f>VLOOKUP(D702,'[1]Task list &amp; Maintenace plan'!$B:$G,6,FALSE)</f>
        <v>100546</v>
      </c>
      <c r="F702" s="124" t="s">
        <v>1072</v>
      </c>
      <c r="G702" s="180" t="s">
        <v>1073</v>
      </c>
      <c r="H702" s="180" t="s">
        <v>1094</v>
      </c>
      <c r="I702" s="181">
        <v>60</v>
      </c>
      <c r="J702" s="181"/>
      <c r="K702" s="717"/>
      <c r="L702" s="717"/>
      <c r="M702" s="717"/>
      <c r="N702" s="720"/>
    </row>
    <row r="703" spans="1:14" ht="15.75" thickBot="1" x14ac:dyDescent="0.3">
      <c r="A703" t="s">
        <v>180</v>
      </c>
      <c r="B703" s="153" t="s">
        <v>1035</v>
      </c>
      <c r="C703" s="225"/>
      <c r="D703" s="123">
        <v>610000004112</v>
      </c>
      <c r="E703" s="124">
        <f>VLOOKUP(D703,'[1]Task list &amp; Maintenace plan'!$B:$G,6,FALSE)</f>
        <v>100546</v>
      </c>
      <c r="F703" s="124" t="s">
        <v>1072</v>
      </c>
      <c r="G703" s="180" t="s">
        <v>1076</v>
      </c>
      <c r="H703" s="180" t="s">
        <v>1095</v>
      </c>
      <c r="I703" s="181">
        <v>60</v>
      </c>
      <c r="J703" s="181"/>
      <c r="K703" s="717"/>
      <c r="L703" s="717"/>
      <c r="M703" s="717"/>
      <c r="N703" s="720"/>
    </row>
    <row r="704" spans="1:14" ht="15.75" thickBot="1" x14ac:dyDescent="0.3">
      <c r="A704" t="s">
        <v>180</v>
      </c>
      <c r="B704" s="153" t="s">
        <v>1035</v>
      </c>
      <c r="C704" s="225"/>
      <c r="D704" s="123">
        <v>610000004112</v>
      </c>
      <c r="E704" s="124">
        <f>VLOOKUP(D704,'[1]Task list &amp; Maintenace plan'!$B:$G,6,FALSE)</f>
        <v>100546</v>
      </c>
      <c r="F704" s="124" t="s">
        <v>1072</v>
      </c>
      <c r="G704" s="180" t="s">
        <v>1078</v>
      </c>
      <c r="H704" s="180" t="s">
        <v>1096</v>
      </c>
      <c r="I704" s="181">
        <v>60</v>
      </c>
      <c r="J704" s="181"/>
      <c r="K704" s="717"/>
      <c r="L704" s="717"/>
      <c r="M704" s="717"/>
      <c r="N704" s="720"/>
    </row>
    <row r="705" spans="1:14" ht="15.75" thickBot="1" x14ac:dyDescent="0.3">
      <c r="A705" t="s">
        <v>180</v>
      </c>
      <c r="B705" s="153" t="s">
        <v>1035</v>
      </c>
      <c r="C705" s="225"/>
      <c r="D705" s="123">
        <v>610000004112</v>
      </c>
      <c r="E705" s="124">
        <f>VLOOKUP(D705,'[1]Task list &amp; Maintenace plan'!$B:$G,6,FALSE)</f>
        <v>100546</v>
      </c>
      <c r="F705" s="124" t="s">
        <v>1072</v>
      </c>
      <c r="G705" s="180" t="s">
        <v>1071</v>
      </c>
      <c r="H705" s="180" t="s">
        <v>1097</v>
      </c>
      <c r="I705" s="181">
        <v>60</v>
      </c>
      <c r="J705" s="181"/>
      <c r="K705" s="717"/>
      <c r="L705" s="717"/>
      <c r="M705" s="717"/>
      <c r="N705" s="720"/>
    </row>
    <row r="706" spans="1:14" ht="15.75" thickBot="1" x14ac:dyDescent="0.3">
      <c r="A706" t="s">
        <v>180</v>
      </c>
      <c r="B706" s="153" t="s">
        <v>1035</v>
      </c>
      <c r="C706" s="228"/>
      <c r="D706" s="123">
        <v>610000004112</v>
      </c>
      <c r="E706" s="124">
        <f>VLOOKUP(D706,'[1]Task list &amp; Maintenace plan'!$B:$G,6,FALSE)</f>
        <v>100546</v>
      </c>
      <c r="F706" s="124" t="s">
        <v>1072</v>
      </c>
      <c r="G706" s="180" t="s">
        <v>1081</v>
      </c>
      <c r="H706" s="180" t="s">
        <v>1098</v>
      </c>
      <c r="I706" s="181">
        <v>60</v>
      </c>
      <c r="J706" s="181"/>
      <c r="K706" s="717"/>
      <c r="L706" s="717"/>
      <c r="M706" s="717"/>
      <c r="N706" s="720"/>
    </row>
    <row r="707" spans="1:14" ht="15.75" thickBot="1" x14ac:dyDescent="0.3">
      <c r="A707" t="s">
        <v>180</v>
      </c>
      <c r="B707" s="153" t="s">
        <v>1035</v>
      </c>
      <c r="C707" s="229"/>
      <c r="D707" s="123">
        <v>610000004112</v>
      </c>
      <c r="E707" s="124">
        <f>VLOOKUP(D707,'[1]Task list &amp; Maintenace plan'!$B:$G,6,FALSE)</f>
        <v>100546</v>
      </c>
      <c r="F707" s="124" t="s">
        <v>1072</v>
      </c>
      <c r="G707" s="180" t="s">
        <v>1069</v>
      </c>
      <c r="H707" s="180" t="s">
        <v>1099</v>
      </c>
      <c r="I707" s="181">
        <v>60</v>
      </c>
      <c r="J707" s="181"/>
      <c r="K707" s="717"/>
      <c r="L707" s="717"/>
      <c r="M707" s="717"/>
      <c r="N707" s="720"/>
    </row>
    <row r="708" spans="1:14" ht="15.75" thickBot="1" x14ac:dyDescent="0.3">
      <c r="A708" t="s">
        <v>180</v>
      </c>
      <c r="B708" s="153" t="s">
        <v>1035</v>
      </c>
      <c r="C708" s="229"/>
      <c r="D708" s="123">
        <v>610000004112</v>
      </c>
      <c r="E708" s="124">
        <f>VLOOKUP(D708,'[1]Task list &amp; Maintenace plan'!$B:$G,6,FALSE)</f>
        <v>100546</v>
      </c>
      <c r="F708" s="124" t="s">
        <v>1072</v>
      </c>
      <c r="G708" s="180" t="s">
        <v>1052</v>
      </c>
      <c r="H708" s="180" t="s">
        <v>1100</v>
      </c>
      <c r="I708" s="181">
        <v>60</v>
      </c>
      <c r="J708" s="181"/>
      <c r="K708" s="717"/>
      <c r="L708" s="717"/>
      <c r="M708" s="717"/>
      <c r="N708" s="720"/>
    </row>
    <row r="709" spans="1:14" ht="15.75" thickBot="1" x14ac:dyDescent="0.3">
      <c r="A709" t="s">
        <v>180</v>
      </c>
      <c r="B709" s="153" t="s">
        <v>1035</v>
      </c>
      <c r="C709" s="229"/>
      <c r="D709" s="123">
        <v>610000004112</v>
      </c>
      <c r="E709" s="124">
        <f>VLOOKUP(D709,'[1]Task list &amp; Maintenace plan'!$B:$G,6,FALSE)</f>
        <v>100546</v>
      </c>
      <c r="F709" s="124" t="s">
        <v>1072</v>
      </c>
      <c r="G709" s="180" t="s">
        <v>1088</v>
      </c>
      <c r="H709" s="180" t="s">
        <v>1101</v>
      </c>
      <c r="I709" s="181">
        <v>60</v>
      </c>
      <c r="J709" s="181"/>
      <c r="K709" s="717"/>
      <c r="L709" s="717"/>
      <c r="M709" s="717"/>
      <c r="N709" s="720"/>
    </row>
    <row r="710" spans="1:14" ht="15.75" thickBot="1" x14ac:dyDescent="0.3">
      <c r="A710" t="s">
        <v>180</v>
      </c>
      <c r="B710" s="153" t="s">
        <v>1035</v>
      </c>
      <c r="C710" s="229"/>
      <c r="D710" s="123">
        <v>610000004112</v>
      </c>
      <c r="E710" s="124">
        <f>VLOOKUP(D710,'[1]Task list &amp; Maintenace plan'!$B:$G,6,FALSE)</f>
        <v>100546</v>
      </c>
      <c r="F710" s="124" t="s">
        <v>1072</v>
      </c>
      <c r="G710" s="180" t="s">
        <v>1085</v>
      </c>
      <c r="H710" s="180" t="s">
        <v>1102</v>
      </c>
      <c r="I710" s="181">
        <v>60</v>
      </c>
      <c r="J710" s="181"/>
      <c r="K710" s="717"/>
      <c r="L710" s="717"/>
      <c r="M710" s="717"/>
      <c r="N710" s="720"/>
    </row>
    <row r="711" spans="1:14" ht="15.75" thickBot="1" x14ac:dyDescent="0.3">
      <c r="A711" t="s">
        <v>180</v>
      </c>
      <c r="B711" s="153" t="s">
        <v>1035</v>
      </c>
      <c r="C711" s="229"/>
      <c r="D711" s="103">
        <v>610000004112</v>
      </c>
      <c r="E711" s="85">
        <f>VLOOKUP(D711,'[1]Task list &amp; Maintenace plan'!$B:$G,6,FALSE)</f>
        <v>100546</v>
      </c>
      <c r="F711" s="85" t="s">
        <v>1072</v>
      </c>
      <c r="G711" s="182" t="s">
        <v>1087</v>
      </c>
      <c r="H711" s="182" t="s">
        <v>1103</v>
      </c>
      <c r="I711" s="183">
        <v>60</v>
      </c>
      <c r="J711" s="183"/>
      <c r="K711" s="718"/>
      <c r="L711" s="718"/>
      <c r="M711" s="718"/>
      <c r="N711" s="721"/>
    </row>
    <row r="712" spans="1:14" ht="15.75" thickBot="1" x14ac:dyDescent="0.3">
      <c r="A712" t="s">
        <v>180</v>
      </c>
      <c r="B712" s="153" t="s">
        <v>1035</v>
      </c>
      <c r="C712" s="229"/>
      <c r="D712" s="100">
        <v>610000004113</v>
      </c>
      <c r="E712" s="101">
        <f>VLOOKUP(D712,'[1]Task list &amp; Maintenace plan'!$B:$G,6,FALSE)</f>
        <v>100547</v>
      </c>
      <c r="F712" s="101" t="s">
        <v>1051</v>
      </c>
      <c r="G712" s="178" t="s">
        <v>1076</v>
      </c>
      <c r="H712" s="178" t="s">
        <v>1104</v>
      </c>
      <c r="I712" s="179">
        <v>60</v>
      </c>
      <c r="J712" s="179">
        <v>1</v>
      </c>
      <c r="K712" s="716">
        <v>60</v>
      </c>
      <c r="L712" s="716">
        <v>1</v>
      </c>
      <c r="M712" s="716">
        <f>L712*K712</f>
        <v>60</v>
      </c>
      <c r="N712" s="719" t="s">
        <v>34</v>
      </c>
    </row>
    <row r="713" spans="1:14" ht="15.75" thickBot="1" x14ac:dyDescent="0.3">
      <c r="A713" t="s">
        <v>180</v>
      </c>
      <c r="B713" s="153" t="s">
        <v>1035</v>
      </c>
      <c r="C713" s="229"/>
      <c r="D713" s="123">
        <v>610000004113</v>
      </c>
      <c r="E713" s="124">
        <f>VLOOKUP(D713,'[1]Task list &amp; Maintenace plan'!$B:$G,6,FALSE)</f>
        <v>100547</v>
      </c>
      <c r="F713" s="124" t="s">
        <v>1051</v>
      </c>
      <c r="G713" s="180" t="s">
        <v>1078</v>
      </c>
      <c r="H713" s="180" t="s">
        <v>1105</v>
      </c>
      <c r="I713" s="181">
        <v>60</v>
      </c>
      <c r="J713" s="181">
        <v>1</v>
      </c>
      <c r="K713" s="717"/>
      <c r="L713" s="717"/>
      <c r="M713" s="717"/>
      <c r="N713" s="720"/>
    </row>
    <row r="714" spans="1:14" ht="15.75" thickBot="1" x14ac:dyDescent="0.3">
      <c r="A714" t="s">
        <v>180</v>
      </c>
      <c r="B714" s="153" t="s">
        <v>1035</v>
      </c>
      <c r="C714" s="229"/>
      <c r="D714" s="123">
        <v>610000004113</v>
      </c>
      <c r="E714" s="124">
        <f>VLOOKUP(D714,'[1]Task list &amp; Maintenace plan'!$B:$G,6,FALSE)</f>
        <v>100547</v>
      </c>
      <c r="F714" s="124" t="s">
        <v>1051</v>
      </c>
      <c r="G714" s="180" t="s">
        <v>1071</v>
      </c>
      <c r="H714" s="180" t="s">
        <v>1106</v>
      </c>
      <c r="I714" s="181">
        <v>60</v>
      </c>
      <c r="J714" s="181">
        <v>1</v>
      </c>
      <c r="K714" s="717"/>
      <c r="L714" s="717"/>
      <c r="M714" s="717"/>
      <c r="N714" s="720"/>
    </row>
    <row r="715" spans="1:14" ht="15.75" thickBot="1" x14ac:dyDescent="0.3">
      <c r="A715" t="s">
        <v>180</v>
      </c>
      <c r="B715" s="153" t="s">
        <v>1035</v>
      </c>
      <c r="C715" s="229"/>
      <c r="D715" s="123">
        <v>610000004113</v>
      </c>
      <c r="E715" s="124">
        <f>VLOOKUP(D715,'[1]Task list &amp; Maintenace plan'!$B:$G,6,FALSE)</f>
        <v>100547</v>
      </c>
      <c r="F715" s="124" t="s">
        <v>1051</v>
      </c>
      <c r="G715" s="180" t="s">
        <v>1081</v>
      </c>
      <c r="H715" s="180" t="s">
        <v>1107</v>
      </c>
      <c r="I715" s="181">
        <v>60</v>
      </c>
      <c r="J715" s="181">
        <v>1</v>
      </c>
      <c r="K715" s="717"/>
      <c r="L715" s="717"/>
      <c r="M715" s="717"/>
      <c r="N715" s="720"/>
    </row>
    <row r="716" spans="1:14" ht="15.75" thickBot="1" x14ac:dyDescent="0.3">
      <c r="A716" t="s">
        <v>180</v>
      </c>
      <c r="B716" s="153" t="s">
        <v>1035</v>
      </c>
      <c r="C716" s="229"/>
      <c r="D716" s="123">
        <v>610000004113</v>
      </c>
      <c r="E716" s="124">
        <f>VLOOKUP(D716,'[1]Task list &amp; Maintenace plan'!$B:$G,6,FALSE)</f>
        <v>100547</v>
      </c>
      <c r="F716" s="124" t="s">
        <v>1051</v>
      </c>
      <c r="G716" s="180" t="s">
        <v>1069</v>
      </c>
      <c r="H716" s="180" t="s">
        <v>1108</v>
      </c>
      <c r="I716" s="181">
        <v>60</v>
      </c>
      <c r="J716" s="181">
        <v>1</v>
      </c>
      <c r="K716" s="717"/>
      <c r="L716" s="717"/>
      <c r="M716" s="717"/>
      <c r="N716" s="720"/>
    </row>
    <row r="717" spans="1:14" ht="15.75" thickBot="1" x14ac:dyDescent="0.3">
      <c r="A717" t="s">
        <v>180</v>
      </c>
      <c r="B717" s="153" t="s">
        <v>1035</v>
      </c>
      <c r="C717" s="229"/>
      <c r="D717" s="123">
        <v>610000004113</v>
      </c>
      <c r="E717" s="124">
        <f>VLOOKUP(D717,'[1]Task list &amp; Maintenace plan'!$B:$G,6,FALSE)</f>
        <v>100547</v>
      </c>
      <c r="F717" s="124" t="s">
        <v>1051</v>
      </c>
      <c r="G717" s="180" t="s">
        <v>1088</v>
      </c>
      <c r="H717" s="180" t="s">
        <v>1109</v>
      </c>
      <c r="I717" s="181">
        <v>60</v>
      </c>
      <c r="J717" s="181">
        <v>1</v>
      </c>
      <c r="K717" s="717"/>
      <c r="L717" s="717"/>
      <c r="M717" s="717"/>
      <c r="N717" s="720"/>
    </row>
    <row r="718" spans="1:14" ht="15.75" thickBot="1" x14ac:dyDescent="0.3">
      <c r="A718" t="s">
        <v>180</v>
      </c>
      <c r="B718" s="153" t="s">
        <v>1035</v>
      </c>
      <c r="C718" s="37"/>
      <c r="D718" s="123">
        <v>610000004113</v>
      </c>
      <c r="E718" s="124">
        <f>VLOOKUP(D718,'[1]Task list &amp; Maintenace plan'!$B:$G,6,FALSE)</f>
        <v>100547</v>
      </c>
      <c r="F718" s="124" t="s">
        <v>1051</v>
      </c>
      <c r="G718" s="180" t="s">
        <v>1085</v>
      </c>
      <c r="H718" s="180" t="s">
        <v>1110</v>
      </c>
      <c r="I718" s="181">
        <v>60</v>
      </c>
      <c r="J718" s="181">
        <v>1</v>
      </c>
      <c r="K718" s="717"/>
      <c r="L718" s="717"/>
      <c r="M718" s="717"/>
      <c r="N718" s="720"/>
    </row>
    <row r="719" spans="1:14" ht="15.75" thickBot="1" x14ac:dyDescent="0.3">
      <c r="A719" t="s">
        <v>180</v>
      </c>
      <c r="B719" s="153" t="s">
        <v>1035</v>
      </c>
      <c r="C719" s="37"/>
      <c r="D719" s="123">
        <v>610000004113</v>
      </c>
      <c r="E719" s="124">
        <f>VLOOKUP(D719,'[1]Task list &amp; Maintenace plan'!$B:$G,6,FALSE)</f>
        <v>100547</v>
      </c>
      <c r="F719" s="124" t="s">
        <v>1051</v>
      </c>
      <c r="G719" s="180" t="s">
        <v>1087</v>
      </c>
      <c r="H719" s="180" t="s">
        <v>1111</v>
      </c>
      <c r="I719" s="181">
        <v>60</v>
      </c>
      <c r="J719" s="181">
        <v>1</v>
      </c>
      <c r="K719" s="717"/>
      <c r="L719" s="717"/>
      <c r="M719" s="717"/>
      <c r="N719" s="720"/>
    </row>
    <row r="720" spans="1:14" ht="15.75" thickBot="1" x14ac:dyDescent="0.3">
      <c r="A720" t="s">
        <v>180</v>
      </c>
      <c r="B720" s="153" t="s">
        <v>1035</v>
      </c>
      <c r="C720" s="37"/>
      <c r="D720" s="103">
        <v>610000004113</v>
      </c>
      <c r="E720" s="85">
        <f>VLOOKUP(D720,'[1]Task list &amp; Maintenace plan'!$B:$G,6,FALSE)</f>
        <v>100547</v>
      </c>
      <c r="F720" s="85" t="s">
        <v>1051</v>
      </c>
      <c r="G720" s="182" t="s">
        <v>1073</v>
      </c>
      <c r="H720" s="182" t="s">
        <v>1112</v>
      </c>
      <c r="I720" s="183">
        <v>60</v>
      </c>
      <c r="J720" s="183">
        <v>1</v>
      </c>
      <c r="K720" s="718"/>
      <c r="L720" s="718"/>
      <c r="M720" s="718"/>
      <c r="N720" s="721"/>
    </row>
    <row r="721" spans="1:14" ht="15.75" thickBot="1" x14ac:dyDescent="0.3">
      <c r="A721" t="s">
        <v>180</v>
      </c>
      <c r="B721" s="153" t="s">
        <v>1035</v>
      </c>
      <c r="C721" s="37"/>
      <c r="D721" s="123">
        <v>610000004115</v>
      </c>
      <c r="E721" s="124">
        <f>VLOOKUP(D721,'[1]Task list &amp; Maintenace plan'!$B:$G,6,FALSE)</f>
        <v>100549</v>
      </c>
      <c r="F721" s="124" t="s">
        <v>1113</v>
      </c>
      <c r="G721" s="180" t="s">
        <v>1114</v>
      </c>
      <c r="H721" s="180" t="s">
        <v>1115</v>
      </c>
      <c r="I721" s="181">
        <v>60</v>
      </c>
      <c r="J721" s="181">
        <v>1</v>
      </c>
      <c r="K721" s="716">
        <v>30</v>
      </c>
      <c r="L721" s="716">
        <v>1</v>
      </c>
      <c r="M721" s="716">
        <f>L721*K721</f>
        <v>30</v>
      </c>
      <c r="N721" s="719" t="s">
        <v>20</v>
      </c>
    </row>
    <row r="722" spans="1:14" ht="15.75" thickBot="1" x14ac:dyDescent="0.3">
      <c r="A722" t="s">
        <v>180</v>
      </c>
      <c r="B722" s="153" t="s">
        <v>1035</v>
      </c>
      <c r="C722" s="37"/>
      <c r="D722" s="123">
        <v>610000004115</v>
      </c>
      <c r="E722" s="124">
        <f>VLOOKUP(D722,'[1]Task list &amp; Maintenace plan'!$B:$G,6,FALSE)</f>
        <v>100549</v>
      </c>
      <c r="F722" s="124" t="s">
        <v>1113</v>
      </c>
      <c r="G722" s="180" t="s">
        <v>1116</v>
      </c>
      <c r="H722" s="180" t="s">
        <v>1117</v>
      </c>
      <c r="I722" s="181">
        <v>60</v>
      </c>
      <c r="J722" s="181">
        <v>1</v>
      </c>
      <c r="K722" s="717"/>
      <c r="L722" s="717"/>
      <c r="M722" s="717"/>
      <c r="N722" s="720"/>
    </row>
    <row r="723" spans="1:14" ht="15.75" thickBot="1" x14ac:dyDescent="0.3">
      <c r="A723" t="s">
        <v>180</v>
      </c>
      <c r="B723" s="153" t="s">
        <v>1035</v>
      </c>
      <c r="C723" s="37"/>
      <c r="D723" s="123">
        <v>610000004115</v>
      </c>
      <c r="E723" s="124">
        <f>VLOOKUP(D723,'[1]Task list &amp; Maintenace plan'!$B:$G,6,FALSE)</f>
        <v>100549</v>
      </c>
      <c r="F723" s="124" t="s">
        <v>1113</v>
      </c>
      <c r="G723" s="180" t="s">
        <v>1118</v>
      </c>
      <c r="H723" s="180" t="s">
        <v>1119</v>
      </c>
      <c r="I723" s="181">
        <v>60</v>
      </c>
      <c r="J723" s="181">
        <v>1</v>
      </c>
      <c r="K723" s="717"/>
      <c r="L723" s="717"/>
      <c r="M723" s="717"/>
      <c r="N723" s="720"/>
    </row>
    <row r="724" spans="1:14" ht="15.75" thickBot="1" x14ac:dyDescent="0.3">
      <c r="A724" t="s">
        <v>180</v>
      </c>
      <c r="B724" s="153" t="s">
        <v>1035</v>
      </c>
      <c r="C724" s="37"/>
      <c r="D724" s="123">
        <v>610000004115</v>
      </c>
      <c r="E724" s="124">
        <f>VLOOKUP(D724,'[1]Task list &amp; Maintenace plan'!$B:$G,6,FALSE)</f>
        <v>100549</v>
      </c>
      <c r="F724" s="124" t="s">
        <v>1113</v>
      </c>
      <c r="G724" s="180" t="s">
        <v>1120</v>
      </c>
      <c r="H724" s="180" t="s">
        <v>1121</v>
      </c>
      <c r="I724" s="181">
        <v>60</v>
      </c>
      <c r="J724" s="181">
        <v>1</v>
      </c>
      <c r="K724" s="717"/>
      <c r="L724" s="717"/>
      <c r="M724" s="717"/>
      <c r="N724" s="720"/>
    </row>
    <row r="725" spans="1:14" ht="15.75" thickBot="1" x14ac:dyDescent="0.3">
      <c r="A725" t="s">
        <v>180</v>
      </c>
      <c r="B725" s="153" t="s">
        <v>1035</v>
      </c>
      <c r="C725" s="37"/>
      <c r="D725" s="123">
        <v>610000004115</v>
      </c>
      <c r="E725" s="124">
        <f>VLOOKUP(D725,'[1]Task list &amp; Maintenace plan'!$B:$G,6,FALSE)</f>
        <v>100549</v>
      </c>
      <c r="F725" s="124" t="s">
        <v>1113</v>
      </c>
      <c r="G725" s="180" t="s">
        <v>1122</v>
      </c>
      <c r="H725" s="180" t="s">
        <v>1123</v>
      </c>
      <c r="I725" s="181">
        <v>60</v>
      </c>
      <c r="J725" s="181">
        <v>1</v>
      </c>
      <c r="K725" s="717"/>
      <c r="L725" s="717"/>
      <c r="M725" s="717"/>
      <c r="N725" s="720"/>
    </row>
    <row r="726" spans="1:14" ht="15.75" thickBot="1" x14ac:dyDescent="0.3">
      <c r="A726" t="s">
        <v>180</v>
      </c>
      <c r="B726" s="153" t="s">
        <v>1035</v>
      </c>
      <c r="C726" s="37"/>
      <c r="D726" s="123">
        <v>610000004115</v>
      </c>
      <c r="E726" s="124">
        <f>VLOOKUP(D726,'[1]Task list &amp; Maintenace plan'!$B:$G,6,FALSE)</f>
        <v>100549</v>
      </c>
      <c r="F726" s="124" t="s">
        <v>1113</v>
      </c>
      <c r="G726" s="180" t="s">
        <v>1114</v>
      </c>
      <c r="H726" s="180" t="s">
        <v>1124</v>
      </c>
      <c r="I726" s="181">
        <v>60</v>
      </c>
      <c r="J726" s="181">
        <v>1</v>
      </c>
      <c r="K726" s="717"/>
      <c r="L726" s="717"/>
      <c r="M726" s="717"/>
      <c r="N726" s="720"/>
    </row>
    <row r="727" spans="1:14" ht="15.75" thickBot="1" x14ac:dyDescent="0.3">
      <c r="A727" t="s">
        <v>180</v>
      </c>
      <c r="B727" s="153" t="s">
        <v>1035</v>
      </c>
      <c r="C727" s="37"/>
      <c r="D727" s="123">
        <v>610000004115</v>
      </c>
      <c r="E727" s="124">
        <f>VLOOKUP(D727,'[1]Task list &amp; Maintenace plan'!$B:$G,6,FALSE)</f>
        <v>100549</v>
      </c>
      <c r="F727" s="124" t="s">
        <v>1113</v>
      </c>
      <c r="G727" s="180" t="s">
        <v>1116</v>
      </c>
      <c r="H727" s="180" t="s">
        <v>1125</v>
      </c>
      <c r="I727" s="181">
        <v>60</v>
      </c>
      <c r="J727" s="181">
        <v>1</v>
      </c>
      <c r="K727" s="717"/>
      <c r="L727" s="717"/>
      <c r="M727" s="717"/>
      <c r="N727" s="720"/>
    </row>
    <row r="728" spans="1:14" ht="15.75" thickBot="1" x14ac:dyDescent="0.3">
      <c r="A728" t="s">
        <v>180</v>
      </c>
      <c r="B728" s="153" t="s">
        <v>1035</v>
      </c>
      <c r="C728" s="37"/>
      <c r="D728" s="123">
        <v>610000004115</v>
      </c>
      <c r="E728" s="124">
        <f>VLOOKUP(D728,'[1]Task list &amp; Maintenace plan'!$B:$G,6,FALSE)</f>
        <v>100549</v>
      </c>
      <c r="F728" s="124" t="s">
        <v>1113</v>
      </c>
      <c r="G728" s="180" t="s">
        <v>1118</v>
      </c>
      <c r="H728" s="180" t="s">
        <v>1126</v>
      </c>
      <c r="I728" s="181">
        <v>60</v>
      </c>
      <c r="J728" s="181">
        <v>1</v>
      </c>
      <c r="K728" s="717"/>
      <c r="L728" s="717"/>
      <c r="M728" s="717"/>
      <c r="N728" s="720"/>
    </row>
    <row r="729" spans="1:14" ht="15.75" thickBot="1" x14ac:dyDescent="0.3">
      <c r="A729" t="s">
        <v>180</v>
      </c>
      <c r="B729" s="153" t="s">
        <v>1035</v>
      </c>
      <c r="C729" s="37"/>
      <c r="D729" s="123">
        <v>610000004115</v>
      </c>
      <c r="E729" s="124">
        <f>VLOOKUP(D729,'[1]Task list &amp; Maintenace plan'!$B:$G,6,FALSE)</f>
        <v>100549</v>
      </c>
      <c r="F729" s="124" t="s">
        <v>1113</v>
      </c>
      <c r="G729" s="180" t="s">
        <v>1120</v>
      </c>
      <c r="H729" s="180" t="s">
        <v>1127</v>
      </c>
      <c r="I729" s="181">
        <v>60</v>
      </c>
      <c r="J729" s="181">
        <v>1</v>
      </c>
      <c r="K729" s="717"/>
      <c r="L729" s="717"/>
      <c r="M729" s="717"/>
      <c r="N729" s="720"/>
    </row>
    <row r="730" spans="1:14" ht="15.75" thickBot="1" x14ac:dyDescent="0.3">
      <c r="A730" t="s">
        <v>180</v>
      </c>
      <c r="B730" s="153" t="s">
        <v>1035</v>
      </c>
      <c r="C730" s="37"/>
      <c r="D730" s="103">
        <v>610000004115</v>
      </c>
      <c r="E730" s="85">
        <f>VLOOKUP(D730,'[1]Task list &amp; Maintenace plan'!$B:$G,6,FALSE)</f>
        <v>100549</v>
      </c>
      <c r="F730" s="85" t="s">
        <v>1113</v>
      </c>
      <c r="G730" s="182" t="s">
        <v>1122</v>
      </c>
      <c r="H730" s="182" t="s">
        <v>1128</v>
      </c>
      <c r="I730" s="183">
        <v>60</v>
      </c>
      <c r="J730" s="183">
        <v>1</v>
      </c>
      <c r="K730" s="718"/>
      <c r="L730" s="718"/>
      <c r="M730" s="718"/>
      <c r="N730" s="721"/>
    </row>
    <row r="731" spans="1:14" ht="15.75" thickBot="1" x14ac:dyDescent="0.3">
      <c r="A731" t="s">
        <v>180</v>
      </c>
      <c r="B731" s="153" t="s">
        <v>1035</v>
      </c>
      <c r="C731" s="37"/>
      <c r="D731" s="100">
        <v>610000004116</v>
      </c>
      <c r="E731" s="101">
        <f>VLOOKUP(D731,'[1]Task list &amp; Maintenace plan'!$B:$G,6,FALSE)</f>
        <v>100550</v>
      </c>
      <c r="F731" s="101" t="s">
        <v>1129</v>
      </c>
      <c r="G731" s="178" t="s">
        <v>1073</v>
      </c>
      <c r="H731" s="178" t="s">
        <v>1130</v>
      </c>
      <c r="I731" s="179">
        <v>60</v>
      </c>
      <c r="J731" s="179"/>
      <c r="K731" s="716">
        <v>45</v>
      </c>
      <c r="L731" s="716">
        <v>1</v>
      </c>
      <c r="M731" s="716">
        <f>L731*K731</f>
        <v>45</v>
      </c>
      <c r="N731" s="719" t="s">
        <v>20</v>
      </c>
    </row>
    <row r="732" spans="1:14" ht="15.75" thickBot="1" x14ac:dyDescent="0.3">
      <c r="A732" t="s">
        <v>180</v>
      </c>
      <c r="B732" s="153" t="s">
        <v>1035</v>
      </c>
      <c r="C732" s="37"/>
      <c r="D732" s="123">
        <v>610000004116</v>
      </c>
      <c r="E732" s="124">
        <f>VLOOKUP(D732,'[1]Task list &amp; Maintenace plan'!$B:$G,6,FALSE)</f>
        <v>100550</v>
      </c>
      <c r="F732" s="124" t="s">
        <v>1129</v>
      </c>
      <c r="G732" s="180" t="s">
        <v>1076</v>
      </c>
      <c r="H732" s="180" t="s">
        <v>1131</v>
      </c>
      <c r="I732" s="181">
        <v>60</v>
      </c>
      <c r="J732" s="181"/>
      <c r="K732" s="717"/>
      <c r="L732" s="717"/>
      <c r="M732" s="717"/>
      <c r="N732" s="720"/>
    </row>
    <row r="733" spans="1:14" ht="15.75" thickBot="1" x14ac:dyDescent="0.3">
      <c r="A733" t="s">
        <v>180</v>
      </c>
      <c r="B733" s="153" t="s">
        <v>1035</v>
      </c>
      <c r="C733" s="37"/>
      <c r="D733" s="123">
        <v>610000004116</v>
      </c>
      <c r="E733" s="124">
        <f>VLOOKUP(D733,'[1]Task list &amp; Maintenace plan'!$B:$G,6,FALSE)</f>
        <v>100550</v>
      </c>
      <c r="F733" s="124" t="s">
        <v>1129</v>
      </c>
      <c r="G733" s="107" t="s">
        <v>1078</v>
      </c>
      <c r="H733" s="107" t="s">
        <v>1132</v>
      </c>
      <c r="I733" s="124">
        <v>60</v>
      </c>
      <c r="J733" s="124"/>
      <c r="K733" s="717"/>
      <c r="L733" s="717"/>
      <c r="M733" s="717"/>
      <c r="N733" s="720"/>
    </row>
    <row r="734" spans="1:14" ht="15.75" thickBot="1" x14ac:dyDescent="0.3">
      <c r="A734" t="s">
        <v>180</v>
      </c>
      <c r="B734" s="153" t="s">
        <v>1035</v>
      </c>
      <c r="C734" s="37"/>
      <c r="D734" s="123">
        <v>610000004116</v>
      </c>
      <c r="E734" s="124">
        <f>VLOOKUP(D734,'[1]Task list &amp; Maintenace plan'!$B:$G,6,FALSE)</f>
        <v>100550</v>
      </c>
      <c r="F734" s="124" t="s">
        <v>1129</v>
      </c>
      <c r="G734" s="107" t="s">
        <v>1071</v>
      </c>
      <c r="H734" s="107" t="s">
        <v>1133</v>
      </c>
      <c r="I734" s="124">
        <v>60</v>
      </c>
      <c r="J734" s="124"/>
      <c r="K734" s="717"/>
      <c r="L734" s="717"/>
      <c r="M734" s="717"/>
      <c r="N734" s="720"/>
    </row>
    <row r="735" spans="1:14" ht="15.75" thickBot="1" x14ac:dyDescent="0.3">
      <c r="A735" t="s">
        <v>180</v>
      </c>
      <c r="B735" s="153" t="s">
        <v>1035</v>
      </c>
      <c r="C735" s="37"/>
      <c r="D735" s="123">
        <v>610000004116</v>
      </c>
      <c r="E735" s="124">
        <f>VLOOKUP(D735,'[1]Task list &amp; Maintenace plan'!$B:$G,6,FALSE)</f>
        <v>100550</v>
      </c>
      <c r="F735" s="124" t="s">
        <v>1129</v>
      </c>
      <c r="G735" s="107" t="s">
        <v>1081</v>
      </c>
      <c r="H735" s="107" t="s">
        <v>1134</v>
      </c>
      <c r="I735" s="124">
        <v>60</v>
      </c>
      <c r="J735" s="124"/>
      <c r="K735" s="717"/>
      <c r="L735" s="717"/>
      <c r="M735" s="717"/>
      <c r="N735" s="720"/>
    </row>
    <row r="736" spans="1:14" ht="15.75" thickBot="1" x14ac:dyDescent="0.3">
      <c r="A736" t="s">
        <v>180</v>
      </c>
      <c r="B736" s="153" t="s">
        <v>1035</v>
      </c>
      <c r="C736" s="37"/>
      <c r="D736" s="123">
        <v>610000004116</v>
      </c>
      <c r="E736" s="124">
        <f>VLOOKUP(D736,'[1]Task list &amp; Maintenace plan'!$B:$G,6,FALSE)</f>
        <v>100550</v>
      </c>
      <c r="F736" s="124" t="s">
        <v>1129</v>
      </c>
      <c r="G736" s="107" t="s">
        <v>1069</v>
      </c>
      <c r="H736" s="107" t="s">
        <v>1135</v>
      </c>
      <c r="I736" s="124">
        <v>60</v>
      </c>
      <c r="J736" s="124"/>
      <c r="K736" s="717"/>
      <c r="L736" s="717"/>
      <c r="M736" s="717"/>
      <c r="N736" s="720"/>
    </row>
    <row r="737" spans="1:14" ht="15.75" thickBot="1" x14ac:dyDescent="0.3">
      <c r="A737" t="s">
        <v>180</v>
      </c>
      <c r="B737" s="153" t="s">
        <v>1035</v>
      </c>
      <c r="C737" s="37"/>
      <c r="D737" s="123">
        <v>610000004116</v>
      </c>
      <c r="E737" s="124">
        <f>VLOOKUP(D737,'[1]Task list &amp; Maintenace plan'!$B:$G,6,FALSE)</f>
        <v>100550</v>
      </c>
      <c r="F737" s="124" t="s">
        <v>1129</v>
      </c>
      <c r="G737" s="107" t="s">
        <v>1052</v>
      </c>
      <c r="H737" s="107" t="s">
        <v>1136</v>
      </c>
      <c r="I737" s="124">
        <v>60</v>
      </c>
      <c r="J737" s="124"/>
      <c r="K737" s="717"/>
      <c r="L737" s="717"/>
      <c r="M737" s="717"/>
      <c r="N737" s="720"/>
    </row>
    <row r="738" spans="1:14" ht="15.75" thickBot="1" x14ac:dyDescent="0.3">
      <c r="A738" t="s">
        <v>180</v>
      </c>
      <c r="B738" s="153" t="s">
        <v>1035</v>
      </c>
      <c r="C738" s="37"/>
      <c r="D738" s="123">
        <v>610000004116</v>
      </c>
      <c r="E738" s="124">
        <f>VLOOKUP(D738,'[1]Task list &amp; Maintenace plan'!$B:$G,6,FALSE)</f>
        <v>100550</v>
      </c>
      <c r="F738" s="124" t="s">
        <v>1129</v>
      </c>
      <c r="G738" s="107" t="s">
        <v>1088</v>
      </c>
      <c r="H738" s="107" t="s">
        <v>1137</v>
      </c>
      <c r="I738" s="124">
        <v>60</v>
      </c>
      <c r="J738" s="124"/>
      <c r="K738" s="717"/>
      <c r="L738" s="717"/>
      <c r="M738" s="717"/>
      <c r="N738" s="720"/>
    </row>
    <row r="739" spans="1:14" ht="15.75" thickBot="1" x14ac:dyDescent="0.3">
      <c r="A739" t="s">
        <v>180</v>
      </c>
      <c r="B739" s="153" t="s">
        <v>1035</v>
      </c>
      <c r="C739" s="37"/>
      <c r="D739" s="123">
        <v>610000004116</v>
      </c>
      <c r="E739" s="124">
        <f>VLOOKUP(D739,'[1]Task list &amp; Maintenace plan'!$B:$G,6,FALSE)</f>
        <v>100550</v>
      </c>
      <c r="F739" s="124" t="s">
        <v>1129</v>
      </c>
      <c r="G739" s="107" t="s">
        <v>1085</v>
      </c>
      <c r="H739" s="107" t="s">
        <v>1138</v>
      </c>
      <c r="I739" s="124">
        <v>60</v>
      </c>
      <c r="J739" s="124"/>
      <c r="K739" s="717"/>
      <c r="L739" s="717"/>
      <c r="M739" s="717"/>
      <c r="N739" s="720"/>
    </row>
    <row r="740" spans="1:14" ht="15.75" thickBot="1" x14ac:dyDescent="0.3">
      <c r="A740" t="s">
        <v>180</v>
      </c>
      <c r="B740" s="153" t="s">
        <v>1035</v>
      </c>
      <c r="C740" s="37"/>
      <c r="D740" s="103">
        <v>610000004116</v>
      </c>
      <c r="E740" s="85">
        <f>VLOOKUP(D740,'[1]Task list &amp; Maintenace plan'!$B:$G,6,FALSE)</f>
        <v>100550</v>
      </c>
      <c r="F740" s="85" t="s">
        <v>1129</v>
      </c>
      <c r="G740" s="84" t="s">
        <v>1087</v>
      </c>
      <c r="H740" s="84" t="s">
        <v>1139</v>
      </c>
      <c r="I740" s="85">
        <v>60</v>
      </c>
      <c r="J740" s="85"/>
      <c r="K740" s="718"/>
      <c r="L740" s="718"/>
      <c r="M740" s="718"/>
      <c r="N740" s="721"/>
    </row>
    <row r="741" spans="1:14" ht="15.75" thickBot="1" x14ac:dyDescent="0.3">
      <c r="A741" t="s">
        <v>180</v>
      </c>
      <c r="B741" s="153" t="s">
        <v>1035</v>
      </c>
      <c r="C741" s="37"/>
      <c r="D741" s="104">
        <v>347679</v>
      </c>
      <c r="E741" s="105">
        <f>VLOOKUP(D741,'[1]Task list &amp; Maintenace plan'!$B:$G,6,FALSE)</f>
        <v>1230</v>
      </c>
      <c r="F741" s="105" t="s">
        <v>1140</v>
      </c>
      <c r="G741" s="106" t="s">
        <v>1047</v>
      </c>
      <c r="H741" s="106" t="s">
        <v>1141</v>
      </c>
      <c r="I741" s="105">
        <v>60</v>
      </c>
      <c r="J741" s="105">
        <v>1</v>
      </c>
      <c r="K741" s="710">
        <v>60</v>
      </c>
      <c r="L741" s="710">
        <v>1</v>
      </c>
      <c r="M741" s="710">
        <f>L741*K741</f>
        <v>60</v>
      </c>
      <c r="N741" s="712" t="s">
        <v>117</v>
      </c>
    </row>
    <row r="742" spans="1:14" ht="15.75" thickBot="1" x14ac:dyDescent="0.3">
      <c r="A742" t="s">
        <v>180</v>
      </c>
      <c r="B742" s="153" t="s">
        <v>1035</v>
      </c>
      <c r="C742" s="37"/>
      <c r="D742" s="104">
        <v>347679</v>
      </c>
      <c r="E742" s="105">
        <f>VLOOKUP(D742,'[1]Task list &amp; Maintenace plan'!$B:$G,6,FALSE)</f>
        <v>1230</v>
      </c>
      <c r="F742" s="105" t="s">
        <v>1140</v>
      </c>
      <c r="G742" s="106" t="s">
        <v>1050</v>
      </c>
      <c r="H742" s="106" t="s">
        <v>1142</v>
      </c>
      <c r="I742" s="105">
        <v>60</v>
      </c>
      <c r="J742" s="105">
        <v>1</v>
      </c>
      <c r="K742" s="705"/>
      <c r="L742" s="705"/>
      <c r="M742" s="705"/>
      <c r="N742" s="708"/>
    </row>
    <row r="743" spans="1:14" ht="15.75" thickBot="1" x14ac:dyDescent="0.3">
      <c r="A743" t="s">
        <v>180</v>
      </c>
      <c r="B743" s="153" t="s">
        <v>1035</v>
      </c>
      <c r="C743" s="37"/>
      <c r="D743" s="103">
        <v>347679</v>
      </c>
      <c r="E743" s="85">
        <f>VLOOKUP(D743,'[1]Task list &amp; Maintenace plan'!$B:$G,6,FALSE)</f>
        <v>1230</v>
      </c>
      <c r="F743" s="85" t="s">
        <v>1140</v>
      </c>
      <c r="G743" s="84" t="s">
        <v>1054</v>
      </c>
      <c r="H743" s="84" t="s">
        <v>1143</v>
      </c>
      <c r="I743" s="85">
        <v>60</v>
      </c>
      <c r="J743" s="85">
        <v>1</v>
      </c>
      <c r="K743" s="706"/>
      <c r="L743" s="706"/>
      <c r="M743" s="706"/>
      <c r="N743" s="709"/>
    </row>
    <row r="744" spans="1:14" ht="15.75" thickBot="1" x14ac:dyDescent="0.3">
      <c r="A744" t="s">
        <v>180</v>
      </c>
      <c r="B744" s="153" t="s">
        <v>1035</v>
      </c>
      <c r="C744" s="37"/>
      <c r="D744" s="100">
        <v>347677</v>
      </c>
      <c r="E744" s="101">
        <f>VLOOKUP(D744,'[1]Task list &amp; Maintenace plan'!$B:$G,6,FALSE)</f>
        <v>1228</v>
      </c>
      <c r="F744" s="101" t="s">
        <v>1144</v>
      </c>
      <c r="G744" s="102" t="s">
        <v>1036</v>
      </c>
      <c r="H744" s="102" t="s">
        <v>1145</v>
      </c>
      <c r="I744" s="101">
        <v>90</v>
      </c>
      <c r="J744" s="101"/>
      <c r="K744" s="710">
        <v>20</v>
      </c>
      <c r="L744" s="710">
        <v>1</v>
      </c>
      <c r="M744" s="710">
        <f>L744*K744</f>
        <v>20</v>
      </c>
      <c r="N744" s="712" t="s">
        <v>20</v>
      </c>
    </row>
    <row r="745" spans="1:14" ht="15.75" thickBot="1" x14ac:dyDescent="0.3">
      <c r="A745" t="s">
        <v>180</v>
      </c>
      <c r="B745" s="153" t="s">
        <v>1035</v>
      </c>
      <c r="C745" s="37"/>
      <c r="D745" s="123">
        <v>347677</v>
      </c>
      <c r="E745" s="124">
        <f>VLOOKUP(D745,'[1]Task list &amp; Maintenace plan'!$B:$G,6,FALSE)</f>
        <v>1228</v>
      </c>
      <c r="F745" s="124" t="s">
        <v>1144</v>
      </c>
      <c r="G745" s="107" t="s">
        <v>1040</v>
      </c>
      <c r="H745" s="107" t="s">
        <v>1146</v>
      </c>
      <c r="I745" s="124">
        <v>90</v>
      </c>
      <c r="J745" s="124"/>
      <c r="K745" s="705"/>
      <c r="L745" s="705"/>
      <c r="M745" s="705"/>
      <c r="N745" s="708"/>
    </row>
    <row r="746" spans="1:14" ht="15.75" thickBot="1" x14ac:dyDescent="0.3">
      <c r="A746" t="s">
        <v>180</v>
      </c>
      <c r="B746" s="153" t="s">
        <v>1035</v>
      </c>
      <c r="C746" s="37"/>
      <c r="D746" s="123">
        <v>347677</v>
      </c>
      <c r="E746" s="124">
        <f>VLOOKUP(D746,'[1]Task list &amp; Maintenace plan'!$B:$G,6,FALSE)</f>
        <v>1228</v>
      </c>
      <c r="F746" s="124" t="s">
        <v>1144</v>
      </c>
      <c r="G746" s="107" t="s">
        <v>1043</v>
      </c>
      <c r="H746" s="107" t="s">
        <v>1147</v>
      </c>
      <c r="I746" s="124">
        <v>90</v>
      </c>
      <c r="J746" s="124"/>
      <c r="K746" s="705"/>
      <c r="L746" s="705"/>
      <c r="M746" s="705"/>
      <c r="N746" s="708"/>
    </row>
    <row r="747" spans="1:14" ht="15.75" thickBot="1" x14ac:dyDescent="0.3">
      <c r="A747" t="s">
        <v>180</v>
      </c>
      <c r="B747" s="153" t="s">
        <v>1035</v>
      </c>
      <c r="C747" s="37"/>
      <c r="D747" s="123">
        <v>347677</v>
      </c>
      <c r="E747" s="124">
        <f>VLOOKUP(D747,'[1]Task list &amp; Maintenace plan'!$B:$G,6,FALSE)</f>
        <v>1228</v>
      </c>
      <c r="F747" s="124" t="s">
        <v>1144</v>
      </c>
      <c r="G747" s="107" t="s">
        <v>1056</v>
      </c>
      <c r="H747" s="107" t="s">
        <v>1148</v>
      </c>
      <c r="I747" s="124">
        <v>90</v>
      </c>
      <c r="J747" s="124"/>
      <c r="K747" s="705"/>
      <c r="L747" s="705"/>
      <c r="M747" s="705"/>
      <c r="N747" s="708"/>
    </row>
    <row r="748" spans="1:14" ht="15.75" thickBot="1" x14ac:dyDescent="0.3">
      <c r="A748" t="s">
        <v>180</v>
      </c>
      <c r="B748" s="153" t="s">
        <v>1035</v>
      </c>
      <c r="C748" s="37"/>
      <c r="D748" s="123">
        <v>347677</v>
      </c>
      <c r="E748" s="124">
        <f>VLOOKUP(D748,'[1]Task list &amp; Maintenace plan'!$B:$G,6,FALSE)</f>
        <v>1228</v>
      </c>
      <c r="F748" s="124" t="s">
        <v>1144</v>
      </c>
      <c r="G748" s="107" t="s">
        <v>1058</v>
      </c>
      <c r="H748" s="107" t="s">
        <v>1149</v>
      </c>
      <c r="I748" s="124">
        <v>90</v>
      </c>
      <c r="J748" s="124"/>
      <c r="K748" s="705"/>
      <c r="L748" s="705"/>
      <c r="M748" s="705"/>
      <c r="N748" s="708"/>
    </row>
    <row r="749" spans="1:14" ht="15.75" thickBot="1" x14ac:dyDescent="0.3">
      <c r="A749" t="s">
        <v>180</v>
      </c>
      <c r="B749" s="153" t="s">
        <v>1035</v>
      </c>
      <c r="C749" s="37"/>
      <c r="D749" s="123">
        <v>347677</v>
      </c>
      <c r="E749" s="124">
        <f>VLOOKUP(D749,'[1]Task list &amp; Maintenace plan'!$B:$G,6,FALSE)</f>
        <v>1228</v>
      </c>
      <c r="F749" s="124" t="s">
        <v>1144</v>
      </c>
      <c r="G749" s="107" t="s">
        <v>1060</v>
      </c>
      <c r="H749" s="107" t="s">
        <v>1150</v>
      </c>
      <c r="I749" s="124">
        <v>90</v>
      </c>
      <c r="J749" s="124"/>
      <c r="K749" s="705"/>
      <c r="L749" s="705"/>
      <c r="M749" s="705"/>
      <c r="N749" s="708"/>
    </row>
    <row r="750" spans="1:14" ht="15.75" thickBot="1" x14ac:dyDescent="0.3">
      <c r="A750" t="s">
        <v>180</v>
      </c>
      <c r="B750" s="153" t="s">
        <v>1035</v>
      </c>
      <c r="C750" s="37"/>
      <c r="D750" s="123">
        <v>347677</v>
      </c>
      <c r="E750" s="124">
        <f>VLOOKUP(D750,'[1]Task list &amp; Maintenace plan'!$B:$G,6,FALSE)</f>
        <v>1228</v>
      </c>
      <c r="F750" s="124" t="s">
        <v>1144</v>
      </c>
      <c r="G750" s="107" t="s">
        <v>1062</v>
      </c>
      <c r="H750" s="107" t="s">
        <v>1151</v>
      </c>
      <c r="I750" s="124">
        <v>90</v>
      </c>
      <c r="J750" s="124"/>
      <c r="K750" s="705"/>
      <c r="L750" s="705"/>
      <c r="M750" s="705"/>
      <c r="N750" s="708"/>
    </row>
    <row r="751" spans="1:14" ht="15.75" thickBot="1" x14ac:dyDescent="0.3">
      <c r="A751" t="s">
        <v>180</v>
      </c>
      <c r="B751" s="153" t="s">
        <v>1035</v>
      </c>
      <c r="C751" s="37"/>
      <c r="D751" s="123">
        <v>347677</v>
      </c>
      <c r="E751" s="124">
        <f>VLOOKUP(D751,'[1]Task list &amp; Maintenace plan'!$B:$G,6,FALSE)</f>
        <v>1228</v>
      </c>
      <c r="F751" s="124" t="s">
        <v>1144</v>
      </c>
      <c r="G751" s="107" t="s">
        <v>1038</v>
      </c>
      <c r="H751" s="107" t="s">
        <v>1152</v>
      </c>
      <c r="I751" s="124">
        <v>90</v>
      </c>
      <c r="J751" s="124"/>
      <c r="K751" s="705"/>
      <c r="L751" s="705"/>
      <c r="M751" s="705"/>
      <c r="N751" s="708"/>
    </row>
    <row r="752" spans="1:14" ht="15.75" thickBot="1" x14ac:dyDescent="0.3">
      <c r="A752" t="s">
        <v>180</v>
      </c>
      <c r="B752" s="153" t="s">
        <v>1035</v>
      </c>
      <c r="C752" s="37"/>
      <c r="D752" s="123">
        <v>347677</v>
      </c>
      <c r="E752" s="124">
        <f>VLOOKUP(D752,'[1]Task list &amp; Maintenace plan'!$B:$G,6,FALSE)</f>
        <v>1228</v>
      </c>
      <c r="F752" s="124" t="s">
        <v>1144</v>
      </c>
      <c r="G752" s="107" t="s">
        <v>1041</v>
      </c>
      <c r="H752" s="107" t="s">
        <v>1153</v>
      </c>
      <c r="I752" s="124">
        <v>90</v>
      </c>
      <c r="J752" s="124"/>
      <c r="K752" s="705"/>
      <c r="L752" s="705"/>
      <c r="M752" s="705"/>
      <c r="N752" s="708"/>
    </row>
    <row r="753" spans="1:14" ht="15.75" thickBot="1" x14ac:dyDescent="0.3">
      <c r="A753" t="s">
        <v>180</v>
      </c>
      <c r="B753" s="153" t="s">
        <v>1035</v>
      </c>
      <c r="C753" s="37"/>
      <c r="D753" s="103">
        <v>347677</v>
      </c>
      <c r="E753" s="85">
        <f>VLOOKUP(D753,'[1]Task list &amp; Maintenace plan'!$B:$G,6,FALSE)</f>
        <v>1228</v>
      </c>
      <c r="F753" s="85" t="s">
        <v>1144</v>
      </c>
      <c r="G753" s="84" t="s">
        <v>1066</v>
      </c>
      <c r="H753" s="84" t="s">
        <v>1154</v>
      </c>
      <c r="I753" s="85">
        <v>90</v>
      </c>
      <c r="J753" s="85"/>
      <c r="K753" s="706"/>
      <c r="L753" s="706"/>
      <c r="M753" s="706"/>
      <c r="N753" s="709"/>
    </row>
    <row r="754" spans="1:14" ht="15.75" thickBot="1" x14ac:dyDescent="0.3">
      <c r="A754" t="s">
        <v>180</v>
      </c>
      <c r="B754" s="153" t="s">
        <v>1035</v>
      </c>
      <c r="C754" s="37"/>
      <c r="D754" s="156">
        <v>610000004119</v>
      </c>
      <c r="E754" s="157">
        <f>VLOOKUP(D754,'[1]Task list &amp; Maintenace plan'!$B:$G,6,FALSE)</f>
        <v>100553</v>
      </c>
      <c r="F754" s="157" t="s">
        <v>1155</v>
      </c>
      <c r="G754" s="158" t="s">
        <v>1085</v>
      </c>
      <c r="H754" s="158" t="s">
        <v>1156</v>
      </c>
      <c r="I754" s="157">
        <v>180</v>
      </c>
      <c r="J754" s="157">
        <v>1</v>
      </c>
      <c r="K754" s="157">
        <v>30</v>
      </c>
      <c r="L754" s="157">
        <v>1</v>
      </c>
      <c r="M754" s="157">
        <f>L754*K754</f>
        <v>30</v>
      </c>
      <c r="N754" s="159" t="s">
        <v>468</v>
      </c>
    </row>
    <row r="755" spans="1:14" ht="15.75" thickBot="1" x14ac:dyDescent="0.3">
      <c r="A755" t="s">
        <v>180</v>
      </c>
      <c r="B755" s="153" t="s">
        <v>1035</v>
      </c>
      <c r="C755" s="230"/>
      <c r="D755" s="213">
        <v>357641</v>
      </c>
      <c r="E755" s="201">
        <f>VLOOKUP(D755,'[1]Task list &amp; Maintenace plan'!$B:$G,6,FALSE)</f>
        <v>2055</v>
      </c>
      <c r="F755" s="201" t="s">
        <v>1157</v>
      </c>
      <c r="G755" s="204" t="s">
        <v>1158</v>
      </c>
      <c r="H755" s="204" t="s">
        <v>1159</v>
      </c>
      <c r="I755" s="205">
        <v>180</v>
      </c>
      <c r="J755" s="205">
        <v>1</v>
      </c>
      <c r="K755" s="205">
        <v>60</v>
      </c>
      <c r="L755" s="205">
        <v>1</v>
      </c>
      <c r="M755" s="205">
        <f>L755*K755</f>
        <v>60</v>
      </c>
      <c r="N755" s="206" t="s">
        <v>34</v>
      </c>
    </row>
    <row r="756" spans="1:14" x14ac:dyDescent="0.25">
      <c r="A756" t="s">
        <v>180</v>
      </c>
      <c r="B756" s="11" t="s">
        <v>1160</v>
      </c>
      <c r="C756" s="37"/>
      <c r="D756" s="100">
        <v>610000004121</v>
      </c>
      <c r="E756" s="101">
        <f>VLOOKUP(D756,'[1]Task list &amp; Maintenace plan'!$B:$G,6,FALSE)</f>
        <v>100555</v>
      </c>
      <c r="F756" s="101" t="s">
        <v>1162</v>
      </c>
      <c r="G756" s="178" t="s">
        <v>1161</v>
      </c>
      <c r="H756" s="178" t="s">
        <v>1163</v>
      </c>
      <c r="I756" s="179">
        <v>60</v>
      </c>
      <c r="J756" s="179"/>
      <c r="K756" s="722">
        <v>10</v>
      </c>
      <c r="L756" s="722">
        <v>1</v>
      </c>
      <c r="M756" s="722">
        <f>L756*K756</f>
        <v>10</v>
      </c>
      <c r="N756" s="723" t="s">
        <v>20</v>
      </c>
    </row>
    <row r="757" spans="1:14" x14ac:dyDescent="0.25">
      <c r="A757" t="s">
        <v>180</v>
      </c>
      <c r="B757" s="11" t="s">
        <v>1160</v>
      </c>
      <c r="C757" s="37"/>
      <c r="D757" s="123">
        <v>610000004121</v>
      </c>
      <c r="E757" s="124">
        <f>VLOOKUP(D757,'[1]Task list &amp; Maintenace plan'!$B:$G,6,FALSE)</f>
        <v>100555</v>
      </c>
      <c r="F757" s="124" t="s">
        <v>1162</v>
      </c>
      <c r="G757" s="180" t="s">
        <v>1164</v>
      </c>
      <c r="H757" s="180" t="s">
        <v>1165</v>
      </c>
      <c r="I757" s="181">
        <v>60</v>
      </c>
      <c r="J757" s="181"/>
      <c r="K757" s="717"/>
      <c r="L757" s="717"/>
      <c r="M757" s="717"/>
      <c r="N757" s="720"/>
    </row>
    <row r="758" spans="1:14" x14ac:dyDescent="0.25">
      <c r="A758" t="s">
        <v>180</v>
      </c>
      <c r="B758" s="11" t="s">
        <v>1160</v>
      </c>
      <c r="C758" s="12"/>
      <c r="D758" s="103">
        <v>610000004121</v>
      </c>
      <c r="E758" s="85">
        <f>VLOOKUP(D758,'[1]Task list &amp; Maintenace plan'!$B:$G,6,FALSE)</f>
        <v>100555</v>
      </c>
      <c r="F758" s="85" t="s">
        <v>1162</v>
      </c>
      <c r="G758" s="182" t="s">
        <v>1167</v>
      </c>
      <c r="H758" s="182" t="s">
        <v>1168</v>
      </c>
      <c r="I758" s="183">
        <v>60</v>
      </c>
      <c r="J758" s="183"/>
      <c r="K758" s="718"/>
      <c r="L758" s="718"/>
      <c r="M758" s="718"/>
      <c r="N758" s="721"/>
    </row>
    <row r="759" spans="1:14" x14ac:dyDescent="0.25">
      <c r="A759" t="s">
        <v>180</v>
      </c>
      <c r="B759" s="11" t="s">
        <v>1160</v>
      </c>
      <c r="C759" s="12"/>
      <c r="D759" s="100">
        <v>610000004122</v>
      </c>
      <c r="E759" s="101">
        <f>VLOOKUP(D759,'[1]Task list &amp; Maintenace plan'!$B:$G,6,FALSE)</f>
        <v>100556</v>
      </c>
      <c r="F759" s="101" t="s">
        <v>1170</v>
      </c>
      <c r="G759" s="178" t="s">
        <v>1169</v>
      </c>
      <c r="H759" s="178" t="s">
        <v>1171</v>
      </c>
      <c r="I759" s="179">
        <v>60</v>
      </c>
      <c r="J759" s="179">
        <v>1</v>
      </c>
      <c r="K759" s="716">
        <v>90</v>
      </c>
      <c r="L759" s="716">
        <v>1</v>
      </c>
      <c r="M759" s="716">
        <f>L759*K759</f>
        <v>90</v>
      </c>
      <c r="N759" s="719" t="s">
        <v>20</v>
      </c>
    </row>
    <row r="760" spans="1:14" x14ac:dyDescent="0.25">
      <c r="A760" t="s">
        <v>180</v>
      </c>
      <c r="B760" s="11" t="s">
        <v>1160</v>
      </c>
      <c r="C760" s="12"/>
      <c r="D760" s="123">
        <v>610000004122</v>
      </c>
      <c r="E760" s="124">
        <f>VLOOKUP(D760,'[1]Task list &amp; Maintenace plan'!$B:$G,6,FALSE)</f>
        <v>100556</v>
      </c>
      <c r="F760" s="124" t="s">
        <v>1170</v>
      </c>
      <c r="G760" s="180" t="s">
        <v>1173</v>
      </c>
      <c r="H760" s="180" t="s">
        <v>1174</v>
      </c>
      <c r="I760" s="181">
        <v>60</v>
      </c>
      <c r="J760" s="181">
        <v>1</v>
      </c>
      <c r="K760" s="717"/>
      <c r="L760" s="717"/>
      <c r="M760" s="717"/>
      <c r="N760" s="720"/>
    </row>
    <row r="761" spans="1:14" x14ac:dyDescent="0.25">
      <c r="A761" t="s">
        <v>180</v>
      </c>
      <c r="B761" s="11" t="s">
        <v>1160</v>
      </c>
      <c r="C761" s="12"/>
      <c r="D761" s="123">
        <v>610000004122</v>
      </c>
      <c r="E761" s="124">
        <f>VLOOKUP(D761,'[1]Task list &amp; Maintenace plan'!$B:$G,6,FALSE)</f>
        <v>100556</v>
      </c>
      <c r="F761" s="124" t="s">
        <v>1170</v>
      </c>
      <c r="G761" s="180" t="s">
        <v>1175</v>
      </c>
      <c r="H761" s="180" t="s">
        <v>1176</v>
      </c>
      <c r="I761" s="181">
        <v>60</v>
      </c>
      <c r="J761" s="181">
        <v>1</v>
      </c>
      <c r="K761" s="717"/>
      <c r="L761" s="717"/>
      <c r="M761" s="717"/>
      <c r="N761" s="720"/>
    </row>
    <row r="762" spans="1:14" x14ac:dyDescent="0.25">
      <c r="A762" t="s">
        <v>180</v>
      </c>
      <c r="B762" s="11" t="s">
        <v>1160</v>
      </c>
      <c r="C762" s="12"/>
      <c r="D762" s="123">
        <v>610000004122</v>
      </c>
      <c r="E762" s="124">
        <f>VLOOKUP(D762,'[1]Task list &amp; Maintenace plan'!$B:$G,6,FALSE)</f>
        <v>100556</v>
      </c>
      <c r="F762" s="124" t="s">
        <v>1170</v>
      </c>
      <c r="G762" s="180" t="s">
        <v>1178</v>
      </c>
      <c r="H762" s="180" t="s">
        <v>1179</v>
      </c>
      <c r="I762" s="181">
        <v>60</v>
      </c>
      <c r="J762" s="181">
        <v>1</v>
      </c>
      <c r="K762" s="717"/>
      <c r="L762" s="717"/>
      <c r="M762" s="717"/>
      <c r="N762" s="720"/>
    </row>
    <row r="763" spans="1:14" x14ac:dyDescent="0.25">
      <c r="A763" t="s">
        <v>180</v>
      </c>
      <c r="B763" s="11" t="s">
        <v>1160</v>
      </c>
      <c r="C763" s="12"/>
      <c r="D763" s="123">
        <v>610000004122</v>
      </c>
      <c r="E763" s="124">
        <f>VLOOKUP(D763,'[1]Task list &amp; Maintenace plan'!$B:$G,6,FALSE)</f>
        <v>100556</v>
      </c>
      <c r="F763" s="124" t="s">
        <v>1170</v>
      </c>
      <c r="G763" s="180" t="s">
        <v>1167</v>
      </c>
      <c r="H763" s="180" t="s">
        <v>1180</v>
      </c>
      <c r="I763" s="181">
        <v>60</v>
      </c>
      <c r="J763" s="181">
        <v>1</v>
      </c>
      <c r="K763" s="717"/>
      <c r="L763" s="717"/>
      <c r="M763" s="717"/>
      <c r="N763" s="720"/>
    </row>
    <row r="764" spans="1:14" x14ac:dyDescent="0.25">
      <c r="A764" t="s">
        <v>180</v>
      </c>
      <c r="B764" s="11" t="s">
        <v>1160</v>
      </c>
      <c r="C764" s="12"/>
      <c r="D764" s="123">
        <v>610000004122</v>
      </c>
      <c r="E764" s="101">
        <f>VLOOKUP(D764,'[1]Task list &amp; Maintenace plan'!$B:$G,6,FALSE)</f>
        <v>100556</v>
      </c>
      <c r="F764" s="124" t="s">
        <v>1170</v>
      </c>
      <c r="G764" s="178" t="s">
        <v>1161</v>
      </c>
      <c r="H764" s="178" t="s">
        <v>1181</v>
      </c>
      <c r="I764" s="179">
        <v>60</v>
      </c>
      <c r="J764" s="179">
        <v>1</v>
      </c>
      <c r="K764" s="717"/>
      <c r="L764" s="717"/>
      <c r="M764" s="717"/>
      <c r="N764" s="720"/>
    </row>
    <row r="765" spans="1:14" x14ac:dyDescent="0.25">
      <c r="A765" t="s">
        <v>180</v>
      </c>
      <c r="B765" s="11" t="s">
        <v>1160</v>
      </c>
      <c r="C765" s="12"/>
      <c r="D765" s="123">
        <v>610000004122</v>
      </c>
      <c r="E765" s="124">
        <f>VLOOKUP(D765,'[1]Task list &amp; Maintenace plan'!$B:$G,6,FALSE)</f>
        <v>100556</v>
      </c>
      <c r="F765" s="124" t="s">
        <v>1170</v>
      </c>
      <c r="G765" s="180" t="s">
        <v>1164</v>
      </c>
      <c r="H765" s="180" t="s">
        <v>1182</v>
      </c>
      <c r="I765" s="181">
        <v>60</v>
      </c>
      <c r="J765" s="181">
        <v>1</v>
      </c>
      <c r="K765" s="717"/>
      <c r="L765" s="717"/>
      <c r="M765" s="717"/>
      <c r="N765" s="720"/>
    </row>
    <row r="766" spans="1:14" x14ac:dyDescent="0.25">
      <c r="A766" t="s">
        <v>180</v>
      </c>
      <c r="B766" s="11" t="s">
        <v>1160</v>
      </c>
      <c r="C766" s="12"/>
      <c r="D766" s="123">
        <v>610000004122</v>
      </c>
      <c r="E766" s="124">
        <f>VLOOKUP(D766,'[1]Task list &amp; Maintenace plan'!$B:$G,6,FALSE)</f>
        <v>100556</v>
      </c>
      <c r="F766" s="124" t="s">
        <v>1170</v>
      </c>
      <c r="G766" s="180" t="s">
        <v>1161</v>
      </c>
      <c r="H766" s="180" t="s">
        <v>1183</v>
      </c>
      <c r="I766" s="181">
        <v>60</v>
      </c>
      <c r="J766" s="181">
        <v>1</v>
      </c>
      <c r="K766" s="717"/>
      <c r="L766" s="717"/>
      <c r="M766" s="717"/>
      <c r="N766" s="720"/>
    </row>
    <row r="767" spans="1:14" x14ac:dyDescent="0.25">
      <c r="A767" t="s">
        <v>180</v>
      </c>
      <c r="B767" s="11" t="s">
        <v>1160</v>
      </c>
      <c r="C767" s="12"/>
      <c r="D767" s="123">
        <v>610000004122</v>
      </c>
      <c r="E767" s="124">
        <f>VLOOKUP(D767,'[1]Task list &amp; Maintenace plan'!$B:$G,6,FALSE)</f>
        <v>100556</v>
      </c>
      <c r="F767" s="124" t="s">
        <v>1170</v>
      </c>
      <c r="G767" s="180" t="s">
        <v>1164</v>
      </c>
      <c r="H767" s="180" t="s">
        <v>1184</v>
      </c>
      <c r="I767" s="181">
        <v>60</v>
      </c>
      <c r="J767" s="181">
        <v>1</v>
      </c>
      <c r="K767" s="717"/>
      <c r="L767" s="717"/>
      <c r="M767" s="717"/>
      <c r="N767" s="720"/>
    </row>
    <row r="768" spans="1:14" x14ac:dyDescent="0.25">
      <c r="A768" t="s">
        <v>180</v>
      </c>
      <c r="B768" s="11" t="s">
        <v>1160</v>
      </c>
      <c r="C768" s="12"/>
      <c r="D768" s="123">
        <v>610000004122</v>
      </c>
      <c r="E768" s="124">
        <f>VLOOKUP(D768,'[1]Task list &amp; Maintenace plan'!$B:$G,6,FALSE)</f>
        <v>100556</v>
      </c>
      <c r="F768" s="124" t="s">
        <v>1170</v>
      </c>
      <c r="G768" s="180" t="s">
        <v>1166</v>
      </c>
      <c r="H768" s="180" t="s">
        <v>1185</v>
      </c>
      <c r="I768" s="181">
        <v>60</v>
      </c>
      <c r="J768" s="181">
        <v>1</v>
      </c>
      <c r="K768" s="717"/>
      <c r="L768" s="717"/>
      <c r="M768" s="717"/>
      <c r="N768" s="720"/>
    </row>
    <row r="769" spans="1:14" x14ac:dyDescent="0.25">
      <c r="A769" t="s">
        <v>180</v>
      </c>
      <c r="B769" s="11" t="s">
        <v>1160</v>
      </c>
      <c r="C769" s="12"/>
      <c r="D769" s="123">
        <v>610000004122</v>
      </c>
      <c r="E769" s="124">
        <f>VLOOKUP(D769,'[1]Task list &amp; Maintenace plan'!$B:$G,6,FALSE)</f>
        <v>100556</v>
      </c>
      <c r="F769" s="124" t="s">
        <v>1170</v>
      </c>
      <c r="G769" s="180" t="s">
        <v>1169</v>
      </c>
      <c r="H769" s="180" t="s">
        <v>1186</v>
      </c>
      <c r="I769" s="181">
        <v>60</v>
      </c>
      <c r="J769" s="181">
        <v>1</v>
      </c>
      <c r="K769" s="717"/>
      <c r="L769" s="717"/>
      <c r="M769" s="717"/>
      <c r="N769" s="720"/>
    </row>
    <row r="770" spans="1:14" x14ac:dyDescent="0.25">
      <c r="A770" t="s">
        <v>180</v>
      </c>
      <c r="B770" s="11" t="s">
        <v>1160</v>
      </c>
      <c r="C770" s="12"/>
      <c r="D770" s="123">
        <v>610000004122</v>
      </c>
      <c r="E770" s="124">
        <f>VLOOKUP(D770,'[1]Task list &amp; Maintenace plan'!$B:$G,6,FALSE)</f>
        <v>100556</v>
      </c>
      <c r="F770" s="124" t="s">
        <v>1170</v>
      </c>
      <c r="G770" s="180" t="s">
        <v>1172</v>
      </c>
      <c r="H770" s="180" t="s">
        <v>1187</v>
      </c>
      <c r="I770" s="181">
        <v>60</v>
      </c>
      <c r="J770" s="181">
        <v>1</v>
      </c>
      <c r="K770" s="717"/>
      <c r="L770" s="717"/>
      <c r="M770" s="717"/>
      <c r="N770" s="720"/>
    </row>
    <row r="771" spans="1:14" x14ac:dyDescent="0.25">
      <c r="A771" t="s">
        <v>180</v>
      </c>
      <c r="B771" s="11" t="s">
        <v>1160</v>
      </c>
      <c r="C771" s="12"/>
      <c r="D771" s="123">
        <v>610000004122</v>
      </c>
      <c r="E771" s="124">
        <f>VLOOKUP(D771,'[1]Task list &amp; Maintenace plan'!$B:$G,6,FALSE)</f>
        <v>100556</v>
      </c>
      <c r="F771" s="124" t="s">
        <v>1170</v>
      </c>
      <c r="G771" s="180" t="s">
        <v>1173</v>
      </c>
      <c r="H771" s="180" t="s">
        <v>1188</v>
      </c>
      <c r="I771" s="181">
        <v>60</v>
      </c>
      <c r="J771" s="181">
        <v>1</v>
      </c>
      <c r="K771" s="717"/>
      <c r="L771" s="717"/>
      <c r="M771" s="717"/>
      <c r="N771" s="720"/>
    </row>
    <row r="772" spans="1:14" x14ac:dyDescent="0.25">
      <c r="A772" t="s">
        <v>180</v>
      </c>
      <c r="B772" s="11" t="s">
        <v>1160</v>
      </c>
      <c r="C772" s="12"/>
      <c r="D772" s="123">
        <v>610000004122</v>
      </c>
      <c r="E772" s="124">
        <f>VLOOKUP(D772,'[1]Task list &amp; Maintenace plan'!$B:$G,6,FALSE)</f>
        <v>100556</v>
      </c>
      <c r="F772" s="124" t="s">
        <v>1170</v>
      </c>
      <c r="G772" s="180" t="s">
        <v>1189</v>
      </c>
      <c r="H772" s="180" t="s">
        <v>1190</v>
      </c>
      <c r="I772" s="181">
        <v>60</v>
      </c>
      <c r="J772" s="181">
        <v>1</v>
      </c>
      <c r="K772" s="717"/>
      <c r="L772" s="717"/>
      <c r="M772" s="717"/>
      <c r="N772" s="720"/>
    </row>
    <row r="773" spans="1:14" x14ac:dyDescent="0.25">
      <c r="A773" t="s">
        <v>180</v>
      </c>
      <c r="B773" s="11" t="s">
        <v>1160</v>
      </c>
      <c r="C773" s="12"/>
      <c r="D773" s="123">
        <v>610000004122</v>
      </c>
      <c r="E773" s="124">
        <f>VLOOKUP(D773,'[1]Task list &amp; Maintenace plan'!$B:$G,6,FALSE)</f>
        <v>100556</v>
      </c>
      <c r="F773" s="124" t="s">
        <v>1170</v>
      </c>
      <c r="G773" s="180" t="s">
        <v>1175</v>
      </c>
      <c r="H773" s="180" t="s">
        <v>1191</v>
      </c>
      <c r="I773" s="181">
        <v>60</v>
      </c>
      <c r="J773" s="181">
        <v>1</v>
      </c>
      <c r="K773" s="717"/>
      <c r="L773" s="717"/>
      <c r="M773" s="717"/>
      <c r="N773" s="720"/>
    </row>
    <row r="774" spans="1:14" x14ac:dyDescent="0.25">
      <c r="A774" t="s">
        <v>180</v>
      </c>
      <c r="B774" s="11" t="s">
        <v>1160</v>
      </c>
      <c r="C774" s="12"/>
      <c r="D774" s="123">
        <v>610000004122</v>
      </c>
      <c r="E774" s="124">
        <f>VLOOKUP(D774,'[1]Task list &amp; Maintenace plan'!$B:$G,6,FALSE)</f>
        <v>100556</v>
      </c>
      <c r="F774" s="124" t="s">
        <v>1170</v>
      </c>
      <c r="G774" s="180" t="s">
        <v>1178</v>
      </c>
      <c r="H774" s="180" t="s">
        <v>1192</v>
      </c>
      <c r="I774" s="181">
        <v>60</v>
      </c>
      <c r="J774" s="181">
        <v>1</v>
      </c>
      <c r="K774" s="717"/>
      <c r="L774" s="717"/>
      <c r="M774" s="717"/>
      <c r="N774" s="720"/>
    </row>
    <row r="775" spans="1:14" x14ac:dyDescent="0.25">
      <c r="A775" t="s">
        <v>180</v>
      </c>
      <c r="B775" s="11" t="s">
        <v>1160</v>
      </c>
      <c r="C775" s="12"/>
      <c r="D775" s="103">
        <v>610000004122</v>
      </c>
      <c r="E775" s="85">
        <f>VLOOKUP(D775,'[1]Task list &amp; Maintenace plan'!$B:$G,6,FALSE)</f>
        <v>100556</v>
      </c>
      <c r="F775" s="85" t="s">
        <v>1170</v>
      </c>
      <c r="G775" s="182" t="s">
        <v>1167</v>
      </c>
      <c r="H775" s="182" t="s">
        <v>1193</v>
      </c>
      <c r="I775" s="183">
        <v>60</v>
      </c>
      <c r="J775" s="183">
        <v>1</v>
      </c>
      <c r="K775" s="718"/>
      <c r="L775" s="718"/>
      <c r="M775" s="718"/>
      <c r="N775" s="721"/>
    </row>
    <row r="776" spans="1:14" x14ac:dyDescent="0.25">
      <c r="A776" t="s">
        <v>180</v>
      </c>
      <c r="B776" s="11" t="s">
        <v>1160</v>
      </c>
      <c r="C776" s="12"/>
      <c r="D776" s="100">
        <v>610000004123</v>
      </c>
      <c r="E776" s="101">
        <f>VLOOKUP(D776,'[1]Task list &amp; Maintenace plan'!$B:$G,6,FALSE)</f>
        <v>100557</v>
      </c>
      <c r="F776" s="101" t="s">
        <v>1194</v>
      </c>
      <c r="G776" s="178" t="s">
        <v>1161</v>
      </c>
      <c r="H776" s="178" t="s">
        <v>1195</v>
      </c>
      <c r="I776" s="179">
        <v>60</v>
      </c>
      <c r="J776" s="179">
        <v>1</v>
      </c>
      <c r="K776" s="716">
        <v>90</v>
      </c>
      <c r="L776" s="716">
        <v>1</v>
      </c>
      <c r="M776" s="716">
        <f>L776*K776</f>
        <v>90</v>
      </c>
      <c r="N776" s="719" t="s">
        <v>34</v>
      </c>
    </row>
    <row r="777" spans="1:14" x14ac:dyDescent="0.25">
      <c r="A777" t="s">
        <v>180</v>
      </c>
      <c r="B777" s="11" t="s">
        <v>1160</v>
      </c>
      <c r="C777" s="12"/>
      <c r="D777" s="123">
        <v>610000004123</v>
      </c>
      <c r="E777" s="124">
        <f>VLOOKUP(D777,'[1]Task list &amp; Maintenace plan'!$B:$G,6,FALSE)</f>
        <v>100557</v>
      </c>
      <c r="F777" s="124" t="s">
        <v>1194</v>
      </c>
      <c r="G777" s="180" t="s">
        <v>1164</v>
      </c>
      <c r="H777" s="180" t="s">
        <v>1196</v>
      </c>
      <c r="I777" s="181">
        <v>60</v>
      </c>
      <c r="J777" s="181">
        <v>1</v>
      </c>
      <c r="K777" s="717"/>
      <c r="L777" s="717"/>
      <c r="M777" s="717"/>
      <c r="N777" s="720"/>
    </row>
    <row r="778" spans="1:14" x14ac:dyDescent="0.25">
      <c r="A778" t="s">
        <v>180</v>
      </c>
      <c r="B778" s="11" t="s">
        <v>1160</v>
      </c>
      <c r="C778" s="12"/>
      <c r="D778" s="123">
        <v>610000004123</v>
      </c>
      <c r="E778" s="124">
        <f>VLOOKUP(D778,'[1]Task list &amp; Maintenace plan'!$B:$G,6,FALSE)</f>
        <v>100557</v>
      </c>
      <c r="F778" s="124" t="s">
        <v>1194</v>
      </c>
      <c r="G778" s="180" t="s">
        <v>1166</v>
      </c>
      <c r="H778" s="180" t="s">
        <v>1197</v>
      </c>
      <c r="I778" s="181">
        <v>60</v>
      </c>
      <c r="J778" s="181">
        <v>1</v>
      </c>
      <c r="K778" s="717"/>
      <c r="L778" s="717"/>
      <c r="M778" s="717"/>
      <c r="N778" s="720"/>
    </row>
    <row r="779" spans="1:14" x14ac:dyDescent="0.25">
      <c r="A779" t="s">
        <v>180</v>
      </c>
      <c r="B779" s="11" t="s">
        <v>1160</v>
      </c>
      <c r="C779" s="12"/>
      <c r="D779" s="123">
        <v>610000004123</v>
      </c>
      <c r="E779" s="124">
        <f>VLOOKUP(D779,'[1]Task list &amp; Maintenace plan'!$B:$G,6,FALSE)</f>
        <v>100557</v>
      </c>
      <c r="F779" s="124" t="s">
        <v>1194</v>
      </c>
      <c r="G779" s="180" t="s">
        <v>1169</v>
      </c>
      <c r="H779" s="180" t="s">
        <v>1198</v>
      </c>
      <c r="I779" s="181">
        <v>60</v>
      </c>
      <c r="J779" s="181">
        <v>1</v>
      </c>
      <c r="K779" s="717"/>
      <c r="L779" s="717"/>
      <c r="M779" s="717"/>
      <c r="N779" s="720"/>
    </row>
    <row r="780" spans="1:14" x14ac:dyDescent="0.25">
      <c r="A780" t="s">
        <v>180</v>
      </c>
      <c r="B780" s="11" t="s">
        <v>1160</v>
      </c>
      <c r="C780" s="12"/>
      <c r="D780" s="123">
        <v>610000004123</v>
      </c>
      <c r="E780" s="124">
        <f>VLOOKUP(D780,'[1]Task list &amp; Maintenace plan'!$B:$G,6,FALSE)</f>
        <v>100557</v>
      </c>
      <c r="F780" s="124" t="s">
        <v>1194</v>
      </c>
      <c r="G780" s="180" t="s">
        <v>1172</v>
      </c>
      <c r="H780" s="180" t="s">
        <v>1199</v>
      </c>
      <c r="I780" s="181">
        <v>60</v>
      </c>
      <c r="J780" s="181">
        <v>1</v>
      </c>
      <c r="K780" s="717"/>
      <c r="L780" s="717"/>
      <c r="M780" s="717"/>
      <c r="N780" s="720"/>
    </row>
    <row r="781" spans="1:14" x14ac:dyDescent="0.25">
      <c r="A781" t="s">
        <v>180</v>
      </c>
      <c r="B781" s="11" t="s">
        <v>1160</v>
      </c>
      <c r="C781" s="12"/>
      <c r="D781" s="123">
        <v>610000004123</v>
      </c>
      <c r="E781" s="124">
        <f>VLOOKUP(D781,'[1]Task list &amp; Maintenace plan'!$B:$G,6,FALSE)</f>
        <v>100557</v>
      </c>
      <c r="F781" s="124" t="s">
        <v>1194</v>
      </c>
      <c r="G781" s="180" t="s">
        <v>1173</v>
      </c>
      <c r="H781" s="180" t="s">
        <v>1200</v>
      </c>
      <c r="I781" s="181">
        <v>60</v>
      </c>
      <c r="J781" s="181">
        <v>1</v>
      </c>
      <c r="K781" s="717"/>
      <c r="L781" s="717"/>
      <c r="M781" s="717"/>
      <c r="N781" s="720"/>
    </row>
    <row r="782" spans="1:14" x14ac:dyDescent="0.25">
      <c r="A782" t="s">
        <v>180</v>
      </c>
      <c r="B782" s="11" t="s">
        <v>1160</v>
      </c>
      <c r="C782" s="12"/>
      <c r="D782" s="123">
        <v>610000004123</v>
      </c>
      <c r="E782" s="124">
        <f>VLOOKUP(D782,'[1]Task list &amp; Maintenace plan'!$B:$G,6,FALSE)</f>
        <v>100557</v>
      </c>
      <c r="F782" s="124" t="s">
        <v>1194</v>
      </c>
      <c r="G782" s="180" t="s">
        <v>1189</v>
      </c>
      <c r="H782" s="180" t="s">
        <v>1201</v>
      </c>
      <c r="I782" s="181">
        <v>60</v>
      </c>
      <c r="J782" s="181">
        <v>1</v>
      </c>
      <c r="K782" s="717"/>
      <c r="L782" s="717"/>
      <c r="M782" s="717"/>
      <c r="N782" s="720"/>
    </row>
    <row r="783" spans="1:14" x14ac:dyDescent="0.25">
      <c r="A783" t="s">
        <v>180</v>
      </c>
      <c r="B783" s="11" t="s">
        <v>1160</v>
      </c>
      <c r="C783" s="12"/>
      <c r="D783" s="123">
        <v>610000004123</v>
      </c>
      <c r="E783" s="124">
        <f>VLOOKUP(D783,'[1]Task list &amp; Maintenace plan'!$B:$G,6,FALSE)</f>
        <v>100557</v>
      </c>
      <c r="F783" s="124" t="s">
        <v>1194</v>
      </c>
      <c r="G783" s="180" t="s">
        <v>1175</v>
      </c>
      <c r="H783" s="180" t="s">
        <v>1202</v>
      </c>
      <c r="I783" s="181">
        <v>60</v>
      </c>
      <c r="J783" s="181">
        <v>1</v>
      </c>
      <c r="K783" s="717"/>
      <c r="L783" s="717"/>
      <c r="M783" s="717"/>
      <c r="N783" s="720"/>
    </row>
    <row r="784" spans="1:14" x14ac:dyDescent="0.25">
      <c r="A784" t="s">
        <v>180</v>
      </c>
      <c r="B784" s="11" t="s">
        <v>1160</v>
      </c>
      <c r="C784" s="12"/>
      <c r="D784" s="123">
        <v>610000004123</v>
      </c>
      <c r="E784" s="124">
        <f>VLOOKUP(D784,'[1]Task list &amp; Maintenace plan'!$B:$G,6,FALSE)</f>
        <v>100557</v>
      </c>
      <c r="F784" s="124" t="s">
        <v>1194</v>
      </c>
      <c r="G784" s="180" t="s">
        <v>1178</v>
      </c>
      <c r="H784" s="180" t="s">
        <v>1203</v>
      </c>
      <c r="I784" s="181">
        <v>60</v>
      </c>
      <c r="J784" s="181">
        <v>1</v>
      </c>
      <c r="K784" s="717"/>
      <c r="L784" s="717"/>
      <c r="M784" s="717"/>
      <c r="N784" s="720"/>
    </row>
    <row r="785" spans="1:14" x14ac:dyDescent="0.25">
      <c r="A785" t="s">
        <v>180</v>
      </c>
      <c r="B785" s="11" t="s">
        <v>1160</v>
      </c>
      <c r="C785" s="12"/>
      <c r="D785" s="103">
        <v>610000004123</v>
      </c>
      <c r="E785" s="85">
        <f>VLOOKUP(D785,'[1]Task list &amp; Maintenace plan'!$B:$G,6,FALSE)</f>
        <v>100557</v>
      </c>
      <c r="F785" s="85" t="s">
        <v>1194</v>
      </c>
      <c r="G785" s="182" t="s">
        <v>1167</v>
      </c>
      <c r="H785" s="182" t="s">
        <v>1204</v>
      </c>
      <c r="I785" s="183">
        <v>60</v>
      </c>
      <c r="J785" s="183">
        <v>1</v>
      </c>
      <c r="K785" s="718"/>
      <c r="L785" s="718"/>
      <c r="M785" s="718"/>
      <c r="N785" s="721"/>
    </row>
    <row r="786" spans="1:14" x14ac:dyDescent="0.25">
      <c r="A786" t="s">
        <v>180</v>
      </c>
      <c r="B786" s="11" t="s">
        <v>1160</v>
      </c>
      <c r="C786" s="12"/>
      <c r="D786" s="33">
        <v>610000004126</v>
      </c>
      <c r="E786" s="34">
        <f>VLOOKUP(D786,'[1]Task list &amp; Maintenace plan'!$B:$G,6,FALSE)</f>
        <v>100560</v>
      </c>
      <c r="F786" s="34" t="s">
        <v>1205</v>
      </c>
      <c r="G786" s="26" t="s">
        <v>1172</v>
      </c>
      <c r="H786" s="26" t="s">
        <v>1206</v>
      </c>
      <c r="I786" s="34">
        <v>90</v>
      </c>
      <c r="J786" s="34"/>
      <c r="K786" s="686">
        <v>5</v>
      </c>
      <c r="L786" s="686">
        <v>1</v>
      </c>
      <c r="M786" s="686">
        <f>L786*K786</f>
        <v>5</v>
      </c>
      <c r="N786" s="689" t="s">
        <v>20</v>
      </c>
    </row>
    <row r="787" spans="1:14" x14ac:dyDescent="0.25">
      <c r="A787" t="s">
        <v>180</v>
      </c>
      <c r="B787" s="11" t="s">
        <v>1160</v>
      </c>
      <c r="C787" s="12"/>
      <c r="D787" s="22">
        <v>610000004126</v>
      </c>
      <c r="E787" s="23">
        <f>VLOOKUP(D787,'[1]Task list &amp; Maintenace plan'!$B:$G,6,FALSE)</f>
        <v>100560</v>
      </c>
      <c r="F787" s="23" t="s">
        <v>1205</v>
      </c>
      <c r="G787" s="24" t="s">
        <v>1189</v>
      </c>
      <c r="H787" s="24" t="s">
        <v>1207</v>
      </c>
      <c r="I787" s="23">
        <v>90</v>
      </c>
      <c r="J787" s="23"/>
      <c r="K787" s="688"/>
      <c r="L787" s="688"/>
      <c r="M787" s="688"/>
      <c r="N787" s="691"/>
    </row>
    <row r="788" spans="1:14" x14ac:dyDescent="0.25">
      <c r="A788" t="s">
        <v>180</v>
      </c>
      <c r="B788" s="11" t="s">
        <v>1160</v>
      </c>
      <c r="C788" s="12"/>
      <c r="D788" s="100">
        <v>610000004127</v>
      </c>
      <c r="E788" s="101">
        <f>VLOOKUP(D788,'[1]Task list &amp; Maintenace plan'!$B:$G,6,FALSE)</f>
        <v>100561</v>
      </c>
      <c r="F788" s="101" t="s">
        <v>1208</v>
      </c>
      <c r="G788" s="178" t="s">
        <v>1161</v>
      </c>
      <c r="H788" s="178" t="s">
        <v>1209</v>
      </c>
      <c r="I788" s="179">
        <v>90</v>
      </c>
      <c r="J788" s="179"/>
      <c r="K788" s="716">
        <v>20</v>
      </c>
      <c r="L788" s="716">
        <v>1</v>
      </c>
      <c r="M788" s="716">
        <f>L788*K788</f>
        <v>20</v>
      </c>
      <c r="N788" s="719" t="s">
        <v>20</v>
      </c>
    </row>
    <row r="789" spans="1:14" x14ac:dyDescent="0.25">
      <c r="A789" t="s">
        <v>180</v>
      </c>
      <c r="B789" s="11" t="s">
        <v>1160</v>
      </c>
      <c r="C789" s="12"/>
      <c r="D789" s="123">
        <v>610000004127</v>
      </c>
      <c r="E789" s="124">
        <f>VLOOKUP(D789,'[1]Task list &amp; Maintenace plan'!$B:$G,6,FALSE)</f>
        <v>100561</v>
      </c>
      <c r="F789" s="124" t="s">
        <v>1208</v>
      </c>
      <c r="G789" s="180" t="s">
        <v>1164</v>
      </c>
      <c r="H789" s="180" t="s">
        <v>1210</v>
      </c>
      <c r="I789" s="181">
        <v>90</v>
      </c>
      <c r="J789" s="181"/>
      <c r="K789" s="717"/>
      <c r="L789" s="717"/>
      <c r="M789" s="717"/>
      <c r="N789" s="720"/>
    </row>
    <row r="790" spans="1:14" ht="15.75" thickBot="1" x14ac:dyDescent="0.3">
      <c r="A790" t="s">
        <v>180</v>
      </c>
      <c r="B790" s="11" t="s">
        <v>1160</v>
      </c>
      <c r="C790" s="12"/>
      <c r="D790" s="147">
        <v>610000004127</v>
      </c>
      <c r="E790" s="148">
        <f>VLOOKUP(D790,'[1]Task list &amp; Maintenace plan'!$B:$G,6,FALSE)</f>
        <v>100561</v>
      </c>
      <c r="F790" s="148" t="s">
        <v>1208</v>
      </c>
      <c r="G790" s="189" t="s">
        <v>1167</v>
      </c>
      <c r="H790" s="189" t="s">
        <v>1211</v>
      </c>
      <c r="I790" s="190">
        <v>90</v>
      </c>
      <c r="J790" s="190"/>
      <c r="K790" s="727"/>
      <c r="L790" s="727"/>
      <c r="M790" s="727"/>
      <c r="N790" s="728"/>
    </row>
    <row r="791" spans="1:14" ht="15.75" thickBot="1" x14ac:dyDescent="0.3">
      <c r="A791" t="s">
        <v>180</v>
      </c>
      <c r="B791" s="153" t="s">
        <v>1212</v>
      </c>
      <c r="C791" s="154"/>
      <c r="D791" s="123">
        <v>610000004128</v>
      </c>
      <c r="E791" s="124">
        <f>VLOOKUP(D791,'[1]Task list &amp; Maintenace plan'!$B:$G,6,FALSE)</f>
        <v>100562</v>
      </c>
      <c r="F791" s="124" t="s">
        <v>1213</v>
      </c>
      <c r="G791" s="19" t="s">
        <v>419</v>
      </c>
      <c r="H791" s="180" t="s">
        <v>420</v>
      </c>
      <c r="I791" s="181">
        <v>60</v>
      </c>
      <c r="J791" s="181"/>
      <c r="K791" s="722">
        <v>10</v>
      </c>
      <c r="L791" s="722">
        <v>1</v>
      </c>
      <c r="M791" s="722">
        <f>L791*K791</f>
        <v>10</v>
      </c>
      <c r="N791" s="723" t="s">
        <v>20</v>
      </c>
    </row>
    <row r="792" spans="1:14" ht="15.75" thickBot="1" x14ac:dyDescent="0.3">
      <c r="A792" t="s">
        <v>180</v>
      </c>
      <c r="B792" s="153" t="s">
        <v>1212</v>
      </c>
      <c r="C792" s="12"/>
      <c r="D792" s="123">
        <v>610000004128</v>
      </c>
      <c r="E792" s="124">
        <f>VLOOKUP(D792,'[1]Task list &amp; Maintenace plan'!$B:$G,6,FALSE)</f>
        <v>100562</v>
      </c>
      <c r="F792" s="124" t="s">
        <v>1213</v>
      </c>
      <c r="G792" s="19" t="s">
        <v>1215</v>
      </c>
      <c r="H792" s="107" t="s">
        <v>1216</v>
      </c>
      <c r="I792" s="231">
        <v>60</v>
      </c>
      <c r="J792" s="231"/>
      <c r="K792" s="717"/>
      <c r="L792" s="717"/>
      <c r="M792" s="717"/>
      <c r="N792" s="720"/>
    </row>
    <row r="793" spans="1:14" ht="15.75" thickBot="1" x14ac:dyDescent="0.3">
      <c r="A793" t="s">
        <v>180</v>
      </c>
      <c r="B793" s="153" t="s">
        <v>1212</v>
      </c>
      <c r="C793" s="12"/>
      <c r="D793" s="103">
        <v>610000004128</v>
      </c>
      <c r="E793" s="85">
        <f>VLOOKUP(D793,'[1]Task list &amp; Maintenace plan'!$B:$G,6,FALSE)</f>
        <v>100562</v>
      </c>
      <c r="F793" s="85" t="s">
        <v>1213</v>
      </c>
      <c r="G793" s="24" t="s">
        <v>1218</v>
      </c>
      <c r="H793" s="84" t="s">
        <v>1219</v>
      </c>
      <c r="I793" s="232">
        <v>60</v>
      </c>
      <c r="J793" s="232"/>
      <c r="K793" s="718"/>
      <c r="L793" s="718"/>
      <c r="M793" s="718"/>
      <c r="N793" s="721"/>
    </row>
    <row r="794" spans="1:14" ht="15.75" thickBot="1" x14ac:dyDescent="0.3">
      <c r="A794" t="s">
        <v>180</v>
      </c>
      <c r="B794" s="153" t="s">
        <v>1212</v>
      </c>
      <c r="C794" s="12"/>
      <c r="D794" s="156">
        <v>610000004129</v>
      </c>
      <c r="E794" s="157">
        <f>VLOOKUP(D794,'[1]Task list &amp; Maintenace plan'!$B:$G,6,FALSE)</f>
        <v>100563</v>
      </c>
      <c r="F794" s="157" t="s">
        <v>1220</v>
      </c>
      <c r="G794" s="62" t="s">
        <v>419</v>
      </c>
      <c r="H794" s="62" t="s">
        <v>440</v>
      </c>
      <c r="I794" s="195">
        <v>30</v>
      </c>
      <c r="J794" s="195">
        <v>1</v>
      </c>
      <c r="K794" s="195">
        <v>30</v>
      </c>
      <c r="L794" s="195">
        <v>1</v>
      </c>
      <c r="M794" s="195">
        <f>L794*K794</f>
        <v>30</v>
      </c>
      <c r="N794" s="196" t="s">
        <v>34</v>
      </c>
    </row>
    <row r="795" spans="1:14" ht="15.75" thickBot="1" x14ac:dyDescent="0.3">
      <c r="A795" t="s">
        <v>180</v>
      </c>
      <c r="B795" s="153" t="s">
        <v>1212</v>
      </c>
      <c r="C795" s="12"/>
      <c r="D795" s="117">
        <v>358947</v>
      </c>
      <c r="E795" s="118">
        <v>2791</v>
      </c>
      <c r="F795" s="118" t="s">
        <v>1221</v>
      </c>
      <c r="G795" s="220" t="s">
        <v>419</v>
      </c>
      <c r="H795" s="220" t="s">
        <v>1222</v>
      </c>
      <c r="I795" s="221">
        <v>30</v>
      </c>
      <c r="J795" s="221">
        <v>1</v>
      </c>
      <c r="K795" s="716">
        <v>30</v>
      </c>
      <c r="L795" s="716">
        <v>1</v>
      </c>
      <c r="M795" s="716">
        <f>L795*K795</f>
        <v>30</v>
      </c>
      <c r="N795" s="729" t="s">
        <v>34</v>
      </c>
    </row>
    <row r="796" spans="1:14" ht="15.75" thickBot="1" x14ac:dyDescent="0.3">
      <c r="A796" t="s">
        <v>180</v>
      </c>
      <c r="B796" s="153" t="s">
        <v>1212</v>
      </c>
      <c r="C796" s="12"/>
      <c r="D796" s="140">
        <v>358947</v>
      </c>
      <c r="E796" s="141">
        <v>2791</v>
      </c>
      <c r="F796" s="141" t="s">
        <v>1221</v>
      </c>
      <c r="G796" s="233" t="s">
        <v>419</v>
      </c>
      <c r="H796" s="233" t="s">
        <v>1224</v>
      </c>
      <c r="I796" s="234">
        <v>30</v>
      </c>
      <c r="J796" s="234">
        <v>1</v>
      </c>
      <c r="K796" s="717"/>
      <c r="L796" s="717"/>
      <c r="M796" s="717"/>
      <c r="N796" s="730"/>
    </row>
    <row r="797" spans="1:14" ht="15.75" thickBot="1" x14ac:dyDescent="0.3">
      <c r="A797" t="s">
        <v>180</v>
      </c>
      <c r="B797" s="153" t="s">
        <v>1212</v>
      </c>
      <c r="C797" s="12"/>
      <c r="D797" s="235"/>
      <c r="E797" s="236"/>
      <c r="F797" s="236" t="s">
        <v>1225</v>
      </c>
      <c r="G797" s="237" t="s">
        <v>419</v>
      </c>
      <c r="H797" s="237" t="s">
        <v>1226</v>
      </c>
      <c r="I797" s="238">
        <v>365</v>
      </c>
      <c r="J797" s="238">
        <v>1</v>
      </c>
      <c r="K797" s="239"/>
      <c r="L797" s="239">
        <v>1</v>
      </c>
      <c r="M797" s="239"/>
      <c r="N797" s="239">
        <v>7</v>
      </c>
    </row>
    <row r="798" spans="1:14" ht="15.75" thickBot="1" x14ac:dyDescent="0.3">
      <c r="A798" t="s">
        <v>180</v>
      </c>
      <c r="B798" s="153" t="s">
        <v>1212</v>
      </c>
      <c r="C798" s="12"/>
      <c r="D798" s="100">
        <v>610000004130</v>
      </c>
      <c r="E798" s="101">
        <f>VLOOKUP(D798,'[1]Task list &amp; Maintenace plan'!$B:$G,6,FALSE)</f>
        <v>100564</v>
      </c>
      <c r="F798" s="101" t="s">
        <v>1228</v>
      </c>
      <c r="G798" s="178" t="s">
        <v>414</v>
      </c>
      <c r="H798" s="178" t="s">
        <v>425</v>
      </c>
      <c r="I798" s="179">
        <v>60</v>
      </c>
      <c r="J798" s="179">
        <v>1</v>
      </c>
      <c r="K798" s="717">
        <v>90</v>
      </c>
      <c r="L798" s="717">
        <v>1</v>
      </c>
      <c r="M798" s="717">
        <f>L798*K798</f>
        <v>90</v>
      </c>
      <c r="N798" s="720" t="s">
        <v>20</v>
      </c>
    </row>
    <row r="799" spans="1:14" ht="15.75" thickBot="1" x14ac:dyDescent="0.3">
      <c r="A799" t="s">
        <v>180</v>
      </c>
      <c r="B799" s="153" t="s">
        <v>1212</v>
      </c>
      <c r="C799" s="12"/>
      <c r="D799" s="123">
        <v>610000004130</v>
      </c>
      <c r="E799" s="124">
        <f>VLOOKUP(D799,'[1]Task list &amp; Maintenace plan'!$B:$G,6,FALSE)</f>
        <v>100564</v>
      </c>
      <c r="F799" s="124" t="s">
        <v>1228</v>
      </c>
      <c r="G799" s="180" t="s">
        <v>1229</v>
      </c>
      <c r="H799" s="180" t="s">
        <v>1230</v>
      </c>
      <c r="I799" s="181">
        <v>60</v>
      </c>
      <c r="J799" s="181">
        <v>1</v>
      </c>
      <c r="K799" s="717"/>
      <c r="L799" s="717"/>
      <c r="M799" s="717"/>
      <c r="N799" s="720"/>
    </row>
    <row r="800" spans="1:14" ht="15.75" thickBot="1" x14ac:dyDescent="0.3">
      <c r="A800" t="s">
        <v>180</v>
      </c>
      <c r="B800" s="153" t="s">
        <v>1212</v>
      </c>
      <c r="C800" s="12"/>
      <c r="D800" s="123">
        <v>610000004130</v>
      </c>
      <c r="E800" s="124">
        <f>VLOOKUP(D800,'[1]Task list &amp; Maintenace plan'!$B:$G,6,FALSE)</f>
        <v>100564</v>
      </c>
      <c r="F800" s="124" t="s">
        <v>1228</v>
      </c>
      <c r="G800" s="180" t="s">
        <v>1232</v>
      </c>
      <c r="H800" s="180" t="s">
        <v>1233</v>
      </c>
      <c r="I800" s="181">
        <v>60</v>
      </c>
      <c r="J800" s="181">
        <v>1</v>
      </c>
      <c r="K800" s="717"/>
      <c r="L800" s="717"/>
      <c r="M800" s="717"/>
      <c r="N800" s="720"/>
    </row>
    <row r="801" spans="1:14" ht="15.75" thickBot="1" x14ac:dyDescent="0.3">
      <c r="A801" t="s">
        <v>180</v>
      </c>
      <c r="B801" s="153" t="s">
        <v>1212</v>
      </c>
      <c r="C801" s="12"/>
      <c r="D801" s="123">
        <v>610000004130</v>
      </c>
      <c r="E801" s="101">
        <f>VLOOKUP(D801,'[1]Task list &amp; Maintenace plan'!$B:$G,6,FALSE)</f>
        <v>100564</v>
      </c>
      <c r="F801" s="124" t="s">
        <v>1228</v>
      </c>
      <c r="G801" s="102" t="s">
        <v>414</v>
      </c>
      <c r="H801" s="102" t="s">
        <v>432</v>
      </c>
      <c r="I801" s="101">
        <v>60</v>
      </c>
      <c r="J801" s="101">
        <v>1</v>
      </c>
      <c r="K801" s="717"/>
      <c r="L801" s="717"/>
      <c r="M801" s="717"/>
      <c r="N801" s="720"/>
    </row>
    <row r="802" spans="1:14" ht="15.75" thickBot="1" x14ac:dyDescent="0.3">
      <c r="A802" t="s">
        <v>180</v>
      </c>
      <c r="B802" s="153" t="s">
        <v>1212</v>
      </c>
      <c r="C802" s="12"/>
      <c r="D802" s="123">
        <v>610000004130</v>
      </c>
      <c r="E802" s="124">
        <f>VLOOKUP(D802,'[1]Task list &amp; Maintenace plan'!$B:$G,6,FALSE)</f>
        <v>100564</v>
      </c>
      <c r="F802" s="124" t="s">
        <v>1228</v>
      </c>
      <c r="G802" s="107" t="s">
        <v>1236</v>
      </c>
      <c r="H802" s="107" t="s">
        <v>1237</v>
      </c>
      <c r="I802" s="124">
        <v>60</v>
      </c>
      <c r="J802" s="124">
        <v>1</v>
      </c>
      <c r="K802" s="717"/>
      <c r="L802" s="717"/>
      <c r="M802" s="717"/>
      <c r="N802" s="720"/>
    </row>
    <row r="803" spans="1:14" ht="15.75" thickBot="1" x14ac:dyDescent="0.3">
      <c r="A803" t="s">
        <v>180</v>
      </c>
      <c r="B803" s="153" t="s">
        <v>1212</v>
      </c>
      <c r="C803" s="12"/>
      <c r="D803" s="123">
        <v>610000004130</v>
      </c>
      <c r="E803" s="124">
        <f>VLOOKUP(D803,'[1]Task list &amp; Maintenace plan'!$B:$G,6,FALSE)</f>
        <v>100564</v>
      </c>
      <c r="F803" s="124" t="s">
        <v>1228</v>
      </c>
      <c r="G803" s="107" t="s">
        <v>1229</v>
      </c>
      <c r="H803" s="107" t="s">
        <v>1238</v>
      </c>
      <c r="I803" s="124">
        <v>60</v>
      </c>
      <c r="J803" s="124">
        <v>1</v>
      </c>
      <c r="K803" s="717"/>
      <c r="L803" s="717"/>
      <c r="M803" s="717"/>
      <c r="N803" s="720"/>
    </row>
    <row r="804" spans="1:14" ht="15.75" thickBot="1" x14ac:dyDescent="0.3">
      <c r="A804" t="s">
        <v>180</v>
      </c>
      <c r="B804" s="153" t="s">
        <v>1212</v>
      </c>
      <c r="C804" s="12"/>
      <c r="D804" s="123">
        <v>610000004130</v>
      </c>
      <c r="E804" s="124">
        <f>VLOOKUP(D804,'[1]Task list &amp; Maintenace plan'!$B:$G,6,FALSE)</f>
        <v>100564</v>
      </c>
      <c r="F804" s="124" t="s">
        <v>1228</v>
      </c>
      <c r="G804" s="107" t="s">
        <v>1232</v>
      </c>
      <c r="H804" s="107" t="s">
        <v>1239</v>
      </c>
      <c r="I804" s="124">
        <v>60</v>
      </c>
      <c r="J804" s="124">
        <v>1</v>
      </c>
      <c r="K804" s="717"/>
      <c r="L804" s="717"/>
      <c r="M804" s="717"/>
      <c r="N804" s="720"/>
    </row>
    <row r="805" spans="1:14" ht="15.75" thickBot="1" x14ac:dyDescent="0.3">
      <c r="A805" t="s">
        <v>180</v>
      </c>
      <c r="B805" s="153" t="s">
        <v>1212</v>
      </c>
      <c r="C805" s="12"/>
      <c r="D805" s="123">
        <v>610000004130</v>
      </c>
      <c r="E805" s="124">
        <f>VLOOKUP(D805,'[1]Task list &amp; Maintenace plan'!$B:$G,6,FALSE)</f>
        <v>100564</v>
      </c>
      <c r="F805" s="124" t="s">
        <v>1228</v>
      </c>
      <c r="G805" s="107" t="s">
        <v>419</v>
      </c>
      <c r="H805" s="107" t="s">
        <v>434</v>
      </c>
      <c r="I805" s="124">
        <v>60</v>
      </c>
      <c r="J805" s="124">
        <v>1</v>
      </c>
      <c r="K805" s="717"/>
      <c r="L805" s="717"/>
      <c r="M805" s="717"/>
      <c r="N805" s="720"/>
    </row>
    <row r="806" spans="1:14" ht="15.75" thickBot="1" x14ac:dyDescent="0.3">
      <c r="A806" t="s">
        <v>180</v>
      </c>
      <c r="B806" s="153" t="s">
        <v>1212</v>
      </c>
      <c r="C806" s="229"/>
      <c r="D806" s="123">
        <v>610000004130</v>
      </c>
      <c r="E806" s="124">
        <f>VLOOKUP(D806,'[1]Task list &amp; Maintenace plan'!$B:$G,6,FALSE)</f>
        <v>100564</v>
      </c>
      <c r="F806" s="124" t="s">
        <v>1228</v>
      </c>
      <c r="G806" s="107" t="s">
        <v>1240</v>
      </c>
      <c r="H806" s="107" t="s">
        <v>1241</v>
      </c>
      <c r="I806" s="124">
        <v>60</v>
      </c>
      <c r="J806" s="124">
        <v>1</v>
      </c>
      <c r="K806" s="717"/>
      <c r="L806" s="717"/>
      <c r="M806" s="717"/>
      <c r="N806" s="720"/>
    </row>
    <row r="807" spans="1:14" ht="15.75" thickBot="1" x14ac:dyDescent="0.3">
      <c r="A807" t="s">
        <v>180</v>
      </c>
      <c r="B807" s="153" t="s">
        <v>1212</v>
      </c>
      <c r="C807" s="229"/>
      <c r="D807" s="123">
        <v>610000004130</v>
      </c>
      <c r="E807" s="124">
        <f>VLOOKUP(D807,'[1]Task list &amp; Maintenace plan'!$B:$G,6,FALSE)</f>
        <v>100564</v>
      </c>
      <c r="F807" s="124" t="s">
        <v>1228</v>
      </c>
      <c r="G807" s="107" t="s">
        <v>1242</v>
      </c>
      <c r="H807" s="107" t="s">
        <v>1243</v>
      </c>
      <c r="I807" s="124">
        <v>60</v>
      </c>
      <c r="J807" s="124">
        <v>1</v>
      </c>
      <c r="K807" s="717"/>
      <c r="L807" s="717"/>
      <c r="M807" s="717"/>
      <c r="N807" s="720"/>
    </row>
    <row r="808" spans="1:14" ht="15.75" thickBot="1" x14ac:dyDescent="0.3">
      <c r="A808" t="s">
        <v>180</v>
      </c>
      <c r="B808" s="153" t="s">
        <v>1212</v>
      </c>
      <c r="C808" s="37"/>
      <c r="D808" s="123">
        <v>610000004130</v>
      </c>
      <c r="E808" s="124">
        <f>VLOOKUP(D808,'[1]Task list &amp; Maintenace plan'!$B:$G,6,FALSE)</f>
        <v>100564</v>
      </c>
      <c r="F808" s="124" t="s">
        <v>1228</v>
      </c>
      <c r="G808" s="107" t="s">
        <v>1244</v>
      </c>
      <c r="H808" s="107" t="s">
        <v>1245</v>
      </c>
      <c r="I808" s="124">
        <v>60</v>
      </c>
      <c r="J808" s="124">
        <v>1</v>
      </c>
      <c r="K808" s="717"/>
      <c r="L808" s="717"/>
      <c r="M808" s="717"/>
      <c r="N808" s="720"/>
    </row>
    <row r="809" spans="1:14" ht="15.75" thickBot="1" x14ac:dyDescent="0.3">
      <c r="A809" t="s">
        <v>180</v>
      </c>
      <c r="B809" s="153" t="s">
        <v>1212</v>
      </c>
      <c r="C809" s="37"/>
      <c r="D809" s="123">
        <v>610000004130</v>
      </c>
      <c r="E809" s="101">
        <f>VLOOKUP(D809,'[1]Task list &amp; Maintenace plan'!$B:$G,6,FALSE)</f>
        <v>100564</v>
      </c>
      <c r="F809" s="101" t="s">
        <v>1228</v>
      </c>
      <c r="G809" s="102" t="s">
        <v>1236</v>
      </c>
      <c r="H809" s="102" t="s">
        <v>1246</v>
      </c>
      <c r="I809" s="124">
        <v>60</v>
      </c>
      <c r="J809" s="124">
        <v>1</v>
      </c>
      <c r="K809" s="717"/>
      <c r="L809" s="717"/>
      <c r="M809" s="717"/>
      <c r="N809" s="720"/>
    </row>
    <row r="810" spans="1:14" ht="15.75" thickBot="1" x14ac:dyDescent="0.3">
      <c r="A810" t="s">
        <v>180</v>
      </c>
      <c r="B810" s="153" t="s">
        <v>1212</v>
      </c>
      <c r="C810" s="12"/>
      <c r="D810" s="123">
        <v>610000004130</v>
      </c>
      <c r="E810" s="124">
        <f>VLOOKUP(D810,'[1]Task list &amp; Maintenace plan'!$B:$G,6,FALSE)</f>
        <v>100564</v>
      </c>
      <c r="F810" s="124" t="s">
        <v>1228</v>
      </c>
      <c r="G810" s="107" t="s">
        <v>419</v>
      </c>
      <c r="H810" s="107" t="s">
        <v>428</v>
      </c>
      <c r="I810" s="124">
        <v>60</v>
      </c>
      <c r="J810" s="124">
        <v>1</v>
      </c>
      <c r="K810" s="717"/>
      <c r="L810" s="717"/>
      <c r="M810" s="717"/>
      <c r="N810" s="720"/>
    </row>
    <row r="811" spans="1:14" ht="15.75" thickBot="1" x14ac:dyDescent="0.3">
      <c r="A811" t="s">
        <v>180</v>
      </c>
      <c r="B811" s="153" t="s">
        <v>1212</v>
      </c>
      <c r="C811" s="12"/>
      <c r="D811" s="123">
        <v>610000004130</v>
      </c>
      <c r="E811" s="124">
        <f>VLOOKUP(D811,'[1]Task list &amp; Maintenace plan'!$B:$G,6,FALSE)</f>
        <v>100564</v>
      </c>
      <c r="F811" s="124" t="s">
        <v>1228</v>
      </c>
      <c r="G811" s="107" t="s">
        <v>1235</v>
      </c>
      <c r="H811" s="107" t="s">
        <v>1247</v>
      </c>
      <c r="I811" s="124">
        <v>60</v>
      </c>
      <c r="J811" s="124">
        <v>1</v>
      </c>
      <c r="K811" s="717"/>
      <c r="L811" s="717"/>
      <c r="M811" s="717"/>
      <c r="N811" s="720"/>
    </row>
    <row r="812" spans="1:14" ht="15.75" thickBot="1" x14ac:dyDescent="0.3">
      <c r="A812" t="s">
        <v>180</v>
      </c>
      <c r="B812" s="153" t="s">
        <v>1212</v>
      </c>
      <c r="C812" s="12"/>
      <c r="D812" s="123">
        <v>610000004130</v>
      </c>
      <c r="E812" s="124">
        <f>VLOOKUP(D812,'[1]Task list &amp; Maintenace plan'!$B:$G,6,FALSE)</f>
        <v>100564</v>
      </c>
      <c r="F812" s="124" t="s">
        <v>1228</v>
      </c>
      <c r="G812" s="107" t="s">
        <v>417</v>
      </c>
      <c r="H812" s="107" t="s">
        <v>427</v>
      </c>
      <c r="I812" s="124">
        <v>60</v>
      </c>
      <c r="J812" s="124">
        <v>1</v>
      </c>
      <c r="K812" s="717"/>
      <c r="L812" s="717"/>
      <c r="M812" s="717"/>
      <c r="N812" s="720"/>
    </row>
    <row r="813" spans="1:14" ht="15.75" thickBot="1" x14ac:dyDescent="0.3">
      <c r="A813" t="s">
        <v>180</v>
      </c>
      <c r="B813" s="153" t="s">
        <v>1212</v>
      </c>
      <c r="C813" s="12"/>
      <c r="D813" s="123">
        <v>610000004130</v>
      </c>
      <c r="E813" s="124">
        <f>VLOOKUP(D813,'[1]Task list &amp; Maintenace plan'!$B:$G,6,FALSE)</f>
        <v>100564</v>
      </c>
      <c r="F813" s="124" t="s">
        <v>1228</v>
      </c>
      <c r="G813" s="107" t="s">
        <v>1240</v>
      </c>
      <c r="H813" s="107" t="s">
        <v>1248</v>
      </c>
      <c r="I813" s="124">
        <v>60</v>
      </c>
      <c r="J813" s="124">
        <v>1</v>
      </c>
      <c r="K813" s="717"/>
      <c r="L813" s="717"/>
      <c r="M813" s="717"/>
      <c r="N813" s="720"/>
    </row>
    <row r="814" spans="1:14" ht="15.75" thickBot="1" x14ac:dyDescent="0.3">
      <c r="A814" t="s">
        <v>180</v>
      </c>
      <c r="B814" s="153" t="s">
        <v>1212</v>
      </c>
      <c r="C814" s="12"/>
      <c r="D814" s="123">
        <v>610000004130</v>
      </c>
      <c r="E814" s="124">
        <f>VLOOKUP(D814,'[1]Task list &amp; Maintenace plan'!$B:$G,6,FALSE)</f>
        <v>100564</v>
      </c>
      <c r="F814" s="124" t="s">
        <v>1228</v>
      </c>
      <c r="G814" s="107" t="s">
        <v>1242</v>
      </c>
      <c r="H814" s="107" t="s">
        <v>1249</v>
      </c>
      <c r="I814" s="124">
        <v>60</v>
      </c>
      <c r="J814" s="124">
        <v>1</v>
      </c>
      <c r="K814" s="717"/>
      <c r="L814" s="717"/>
      <c r="M814" s="717"/>
      <c r="N814" s="720"/>
    </row>
    <row r="815" spans="1:14" ht="15.75" thickBot="1" x14ac:dyDescent="0.3">
      <c r="A815" t="s">
        <v>180</v>
      </c>
      <c r="B815" s="153" t="s">
        <v>1212</v>
      </c>
      <c r="C815" s="12"/>
      <c r="D815" s="123">
        <v>610000004130</v>
      </c>
      <c r="E815" s="124">
        <f>VLOOKUP(D815,'[1]Task list &amp; Maintenace plan'!$B:$G,6,FALSE)</f>
        <v>100564</v>
      </c>
      <c r="F815" s="124" t="s">
        <v>1228</v>
      </c>
      <c r="G815" s="107" t="s">
        <v>1244</v>
      </c>
      <c r="H815" s="107" t="s">
        <v>1250</v>
      </c>
      <c r="I815" s="124">
        <v>60</v>
      </c>
      <c r="J815" s="124">
        <v>1</v>
      </c>
      <c r="K815" s="717"/>
      <c r="L815" s="717"/>
      <c r="M815" s="717"/>
      <c r="N815" s="720"/>
    </row>
    <row r="816" spans="1:14" ht="15.75" thickBot="1" x14ac:dyDescent="0.3">
      <c r="A816" t="s">
        <v>180</v>
      </c>
      <c r="B816" s="153" t="s">
        <v>1212</v>
      </c>
      <c r="C816" s="12"/>
      <c r="D816" s="123">
        <v>610000004130</v>
      </c>
      <c r="E816" s="124">
        <f>VLOOKUP(D816,'[1]Task list &amp; Maintenace plan'!$B:$G,6,FALSE)</f>
        <v>100564</v>
      </c>
      <c r="F816" s="124" t="s">
        <v>1228</v>
      </c>
      <c r="G816" s="107" t="s">
        <v>1235</v>
      </c>
      <c r="H816" s="107" t="s">
        <v>1251</v>
      </c>
      <c r="I816" s="124">
        <v>60</v>
      </c>
      <c r="J816" s="124">
        <v>1</v>
      </c>
      <c r="K816" s="717"/>
      <c r="L816" s="717"/>
      <c r="M816" s="717"/>
      <c r="N816" s="720"/>
    </row>
    <row r="817" spans="1:14" ht="15.75" thickBot="1" x14ac:dyDescent="0.3">
      <c r="A817" t="s">
        <v>180</v>
      </c>
      <c r="B817" s="153" t="s">
        <v>1212</v>
      </c>
      <c r="C817" s="12"/>
      <c r="D817" s="103">
        <v>610000004130</v>
      </c>
      <c r="E817" s="85">
        <f>VLOOKUP(D817,'[1]Task list &amp; Maintenace plan'!$B:$G,6,FALSE)</f>
        <v>100564</v>
      </c>
      <c r="F817" s="85" t="s">
        <v>1228</v>
      </c>
      <c r="G817" s="84" t="s">
        <v>417</v>
      </c>
      <c r="H817" s="84" t="s">
        <v>433</v>
      </c>
      <c r="I817" s="85">
        <v>60</v>
      </c>
      <c r="J817" s="85">
        <v>1</v>
      </c>
      <c r="K817" s="718"/>
      <c r="L817" s="718"/>
      <c r="M817" s="718"/>
      <c r="N817" s="721"/>
    </row>
    <row r="818" spans="1:14" ht="15.75" thickBot="1" x14ac:dyDescent="0.3">
      <c r="A818" t="s">
        <v>180</v>
      </c>
      <c r="B818" s="153" t="s">
        <v>1212</v>
      </c>
      <c r="C818" s="12"/>
      <c r="D818" s="160">
        <v>610000004131</v>
      </c>
      <c r="E818" s="82">
        <f>VLOOKUP(D818,'[1]Task list &amp; Maintenace plan'!$B:$G,6,FALSE)</f>
        <v>100565</v>
      </c>
      <c r="F818" s="82" t="s">
        <v>1252</v>
      </c>
      <c r="G818" s="81" t="s">
        <v>1227</v>
      </c>
      <c r="H818" s="81" t="s">
        <v>692</v>
      </c>
      <c r="I818" s="82">
        <v>60</v>
      </c>
      <c r="J818" s="82"/>
      <c r="K818" s="82">
        <v>60</v>
      </c>
      <c r="L818" s="82">
        <v>1</v>
      </c>
      <c r="M818" s="82">
        <f>L818*K818</f>
        <v>60</v>
      </c>
      <c r="N818" s="161" t="s">
        <v>20</v>
      </c>
    </row>
    <row r="819" spans="1:14" ht="15.75" thickBot="1" x14ac:dyDescent="0.3">
      <c r="A819" t="s">
        <v>180</v>
      </c>
      <c r="B819" s="153" t="s">
        <v>1212</v>
      </c>
      <c r="C819" s="12"/>
      <c r="D819" s="162"/>
      <c r="E819" s="165" t="e">
        <f>VLOOKUP(D819,'[1]Task list &amp; Maintenace plan'!$B:$G,6,FALSE)</f>
        <v>#N/A</v>
      </c>
      <c r="F819" s="165" t="s">
        <v>1253</v>
      </c>
      <c r="G819" s="223" t="s">
        <v>1227</v>
      </c>
      <c r="H819" s="164" t="s">
        <v>1254</v>
      </c>
      <c r="I819" s="163">
        <v>30</v>
      </c>
      <c r="J819" s="163"/>
      <c r="K819" s="163"/>
      <c r="L819" s="163"/>
      <c r="M819" s="163"/>
      <c r="N819" s="240"/>
    </row>
    <row r="820" spans="1:14" ht="15.75" thickBot="1" x14ac:dyDescent="0.3">
      <c r="A820" t="s">
        <v>180</v>
      </c>
      <c r="B820" s="153" t="s">
        <v>1212</v>
      </c>
      <c r="C820" s="12"/>
      <c r="D820" s="100">
        <v>610000004132</v>
      </c>
      <c r="E820" s="101">
        <f>VLOOKUP(D820,'[1]Task list &amp; Maintenace plan'!$B:$G,6,FALSE)</f>
        <v>100566</v>
      </c>
      <c r="F820" s="101" t="s">
        <v>1255</v>
      </c>
      <c r="G820" s="102" t="s">
        <v>414</v>
      </c>
      <c r="H820" s="102" t="s">
        <v>438</v>
      </c>
      <c r="I820" s="101">
        <v>60</v>
      </c>
      <c r="J820" s="101">
        <v>1</v>
      </c>
      <c r="K820" s="710">
        <v>90</v>
      </c>
      <c r="L820" s="710">
        <v>1</v>
      </c>
      <c r="M820" s="710">
        <f>L820*K820</f>
        <v>90</v>
      </c>
      <c r="N820" s="712" t="s">
        <v>34</v>
      </c>
    </row>
    <row r="821" spans="1:14" ht="15.75" thickBot="1" x14ac:dyDescent="0.3">
      <c r="A821" t="s">
        <v>180</v>
      </c>
      <c r="B821" s="153" t="s">
        <v>1212</v>
      </c>
      <c r="C821" s="12"/>
      <c r="D821" s="123">
        <v>610000004132</v>
      </c>
      <c r="E821" s="124">
        <f>VLOOKUP(D821,'[1]Task list &amp; Maintenace plan'!$B:$G,6,FALSE)</f>
        <v>100566</v>
      </c>
      <c r="F821" s="124" t="s">
        <v>1255</v>
      </c>
      <c r="G821" s="107" t="s">
        <v>1236</v>
      </c>
      <c r="H821" s="107" t="s">
        <v>1256</v>
      </c>
      <c r="I821" s="124">
        <v>60</v>
      </c>
      <c r="J821" s="124">
        <v>1</v>
      </c>
      <c r="K821" s="705"/>
      <c r="L821" s="705"/>
      <c r="M821" s="705"/>
      <c r="N821" s="708"/>
    </row>
    <row r="822" spans="1:14" ht="15.75" thickBot="1" x14ac:dyDescent="0.3">
      <c r="A822" t="s">
        <v>180</v>
      </c>
      <c r="B822" s="153" t="s">
        <v>1212</v>
      </c>
      <c r="C822" s="12"/>
      <c r="D822" s="123">
        <v>610000004132</v>
      </c>
      <c r="E822" s="124">
        <f>VLOOKUP(D822,'[1]Task list &amp; Maintenace plan'!$B:$G,6,FALSE)</f>
        <v>100566</v>
      </c>
      <c r="F822" s="124" t="s">
        <v>1255</v>
      </c>
      <c r="G822" s="107" t="s">
        <v>1229</v>
      </c>
      <c r="H822" s="107" t="s">
        <v>1257</v>
      </c>
      <c r="I822" s="124">
        <v>60</v>
      </c>
      <c r="J822" s="124">
        <v>1</v>
      </c>
      <c r="K822" s="705"/>
      <c r="L822" s="705"/>
      <c r="M822" s="705"/>
      <c r="N822" s="708"/>
    </row>
    <row r="823" spans="1:14" ht="15.75" thickBot="1" x14ac:dyDescent="0.3">
      <c r="A823" t="s">
        <v>180</v>
      </c>
      <c r="B823" s="153" t="s">
        <v>1212</v>
      </c>
      <c r="C823" s="12"/>
      <c r="D823" s="123">
        <v>610000004132</v>
      </c>
      <c r="E823" s="124">
        <f>VLOOKUP(D823,'[1]Task list &amp; Maintenace plan'!$B:$G,6,FALSE)</f>
        <v>100566</v>
      </c>
      <c r="F823" s="124" t="s">
        <v>1255</v>
      </c>
      <c r="G823" s="107" t="s">
        <v>1232</v>
      </c>
      <c r="H823" s="107" t="s">
        <v>1258</v>
      </c>
      <c r="I823" s="124">
        <v>60</v>
      </c>
      <c r="J823" s="124">
        <v>1</v>
      </c>
      <c r="K823" s="705"/>
      <c r="L823" s="705"/>
      <c r="M823" s="705"/>
      <c r="N823" s="708"/>
    </row>
    <row r="824" spans="1:14" ht="15.75" thickBot="1" x14ac:dyDescent="0.3">
      <c r="A824" t="s">
        <v>180</v>
      </c>
      <c r="B824" s="153" t="s">
        <v>1212</v>
      </c>
      <c r="C824" s="12"/>
      <c r="D824" s="123">
        <v>610000004132</v>
      </c>
      <c r="E824" s="124">
        <f>VLOOKUP(D824,'[1]Task list &amp; Maintenace plan'!$B:$G,6,FALSE)</f>
        <v>100566</v>
      </c>
      <c r="F824" s="124" t="s">
        <v>1255</v>
      </c>
      <c r="G824" s="107" t="s">
        <v>1240</v>
      </c>
      <c r="H824" s="107" t="s">
        <v>1259</v>
      </c>
      <c r="I824" s="124">
        <v>60</v>
      </c>
      <c r="J824" s="124">
        <v>1</v>
      </c>
      <c r="K824" s="705"/>
      <c r="L824" s="705"/>
      <c r="M824" s="705"/>
      <c r="N824" s="708"/>
    </row>
    <row r="825" spans="1:14" ht="15.75" thickBot="1" x14ac:dyDescent="0.3">
      <c r="A825" t="s">
        <v>180</v>
      </c>
      <c r="B825" s="153" t="s">
        <v>1212</v>
      </c>
      <c r="C825" s="12"/>
      <c r="D825" s="123">
        <v>610000004132</v>
      </c>
      <c r="E825" s="124">
        <f>VLOOKUP(D825,'[1]Task list &amp; Maintenace plan'!$B:$G,6,FALSE)</f>
        <v>100566</v>
      </c>
      <c r="F825" s="124" t="s">
        <v>1255</v>
      </c>
      <c r="G825" s="107" t="s">
        <v>1242</v>
      </c>
      <c r="H825" s="107" t="s">
        <v>1260</v>
      </c>
      <c r="I825" s="124">
        <v>60</v>
      </c>
      <c r="J825" s="124">
        <v>1</v>
      </c>
      <c r="K825" s="705"/>
      <c r="L825" s="705"/>
      <c r="M825" s="705"/>
      <c r="N825" s="708"/>
    </row>
    <row r="826" spans="1:14" ht="15.75" thickBot="1" x14ac:dyDescent="0.3">
      <c r="A826" t="s">
        <v>180</v>
      </c>
      <c r="B826" s="153" t="s">
        <v>1212</v>
      </c>
      <c r="C826" s="12"/>
      <c r="D826" s="103">
        <v>610000004132</v>
      </c>
      <c r="E826" s="85">
        <f>VLOOKUP(D826,'[1]Task list &amp; Maintenace plan'!$B:$G,6,FALSE)</f>
        <v>100566</v>
      </c>
      <c r="F826" s="85" t="s">
        <v>1255</v>
      </c>
      <c r="G826" s="84" t="s">
        <v>1244</v>
      </c>
      <c r="H826" s="84" t="s">
        <v>1261</v>
      </c>
      <c r="I826" s="85">
        <v>60</v>
      </c>
      <c r="J826" s="85">
        <v>1</v>
      </c>
      <c r="K826" s="706"/>
      <c r="L826" s="706"/>
      <c r="M826" s="706"/>
      <c r="N826" s="709"/>
    </row>
    <row r="827" spans="1:14" ht="15.75" thickBot="1" x14ac:dyDescent="0.3">
      <c r="A827" t="s">
        <v>180</v>
      </c>
      <c r="B827" s="153" t="s">
        <v>1212</v>
      </c>
      <c r="C827" s="12"/>
      <c r="D827" s="17" t="e">
        <f>VLOOKUP(F827,#REF!,2,FALSE)</f>
        <v>#REF!</v>
      </c>
      <c r="E827" s="14" t="e">
        <f>VLOOKUP(D827,'[1]Task list &amp; Maintenace plan'!$B:$G,6,FALSE)</f>
        <v>#REF!</v>
      </c>
      <c r="F827" s="18" t="s">
        <v>1262</v>
      </c>
      <c r="G827" s="15" t="s">
        <v>1235</v>
      </c>
      <c r="H827" s="15" t="s">
        <v>1263</v>
      </c>
      <c r="I827" s="14">
        <v>90</v>
      </c>
      <c r="J827" s="14">
        <v>1</v>
      </c>
      <c r="K827" s="686">
        <v>60</v>
      </c>
      <c r="L827" s="686">
        <v>1</v>
      </c>
      <c r="M827" s="686">
        <f>L827*K827</f>
        <v>60</v>
      </c>
      <c r="N827" s="689" t="s">
        <v>34</v>
      </c>
    </row>
    <row r="828" spans="1:14" ht="15.75" thickBot="1" x14ac:dyDescent="0.3">
      <c r="A828" t="s">
        <v>180</v>
      </c>
      <c r="B828" s="153" t="s">
        <v>1212</v>
      </c>
      <c r="C828" s="12"/>
      <c r="D828" s="123" t="e">
        <f>VLOOKUP(F828,#REF!,2,FALSE)</f>
        <v>#REF!</v>
      </c>
      <c r="E828" s="124" t="e">
        <f>VLOOKUP(D828,'[1]Task list &amp; Maintenace plan'!$B:$G,6,FALSE)</f>
        <v>#REF!</v>
      </c>
      <c r="F828" s="124" t="s">
        <v>1262</v>
      </c>
      <c r="G828" s="107" t="s">
        <v>417</v>
      </c>
      <c r="H828" s="107" t="s">
        <v>439</v>
      </c>
      <c r="I828" s="124">
        <v>90</v>
      </c>
      <c r="J828" s="124">
        <v>1</v>
      </c>
      <c r="K828" s="687"/>
      <c r="L828" s="687"/>
      <c r="M828" s="687"/>
      <c r="N828" s="690"/>
    </row>
    <row r="829" spans="1:14" ht="15.75" thickBot="1" x14ac:dyDescent="0.3">
      <c r="A829" t="s">
        <v>180</v>
      </c>
      <c r="B829" s="153" t="s">
        <v>1212</v>
      </c>
      <c r="C829" s="12"/>
      <c r="D829" s="103" t="e">
        <f>VLOOKUP(F829,#REF!,2,FALSE)</f>
        <v>#REF!</v>
      </c>
      <c r="E829" s="85" t="e">
        <f>VLOOKUP(D829,'[1]Task list &amp; Maintenace plan'!$B:$G,6,FALSE)</f>
        <v>#REF!</v>
      </c>
      <c r="F829" s="85" t="s">
        <v>1262</v>
      </c>
      <c r="G829" s="84" t="s">
        <v>1227</v>
      </c>
      <c r="H829" s="84" t="s">
        <v>274</v>
      </c>
      <c r="I829" s="85">
        <v>90</v>
      </c>
      <c r="J829" s="85">
        <v>1</v>
      </c>
      <c r="K829" s="688"/>
      <c r="L829" s="688"/>
      <c r="M829" s="688"/>
      <c r="N829" s="691"/>
    </row>
    <row r="830" spans="1:14" ht="15.75" thickBot="1" x14ac:dyDescent="0.3">
      <c r="A830" t="s">
        <v>180</v>
      </c>
      <c r="B830" s="153" t="s">
        <v>1212</v>
      </c>
      <c r="C830" s="12"/>
      <c r="D830" s="6">
        <v>342299</v>
      </c>
      <c r="E830" s="7">
        <f>VLOOKUP(D830,'[1]Task list &amp; Maintenace plan'!$B:$G,6,FALSE)</f>
        <v>490</v>
      </c>
      <c r="F830" s="7" t="s">
        <v>1264</v>
      </c>
      <c r="G830" s="8" t="s">
        <v>1227</v>
      </c>
      <c r="H830" s="8" t="s">
        <v>1265</v>
      </c>
      <c r="I830" s="7">
        <v>90</v>
      </c>
      <c r="J830" s="7">
        <v>1</v>
      </c>
      <c r="K830" s="7">
        <v>30</v>
      </c>
      <c r="L830" s="7">
        <v>1</v>
      </c>
      <c r="M830" s="7">
        <f>L830*K830</f>
        <v>30</v>
      </c>
      <c r="N830" s="10" t="s">
        <v>468</v>
      </c>
    </row>
    <row r="831" spans="1:14" ht="15.75" thickBot="1" x14ac:dyDescent="0.3">
      <c r="A831" t="s">
        <v>180</v>
      </c>
      <c r="B831" s="153" t="s">
        <v>1212</v>
      </c>
      <c r="C831" s="241"/>
      <c r="D831" s="242">
        <v>610000004138</v>
      </c>
      <c r="E831" s="243">
        <f>VLOOKUP(D831,'[1]Task list &amp; Maintenace plan'!$B:$G,6,FALSE)</f>
        <v>100572</v>
      </c>
      <c r="F831" s="243" t="s">
        <v>1266</v>
      </c>
      <c r="G831" s="158" t="s">
        <v>1227</v>
      </c>
      <c r="H831" s="244" t="s">
        <v>1267</v>
      </c>
      <c r="I831" s="141">
        <v>180</v>
      </c>
      <c r="J831" s="141">
        <v>1</v>
      </c>
      <c r="K831" s="141">
        <v>180</v>
      </c>
      <c r="L831" s="141">
        <v>1</v>
      </c>
      <c r="M831" s="141">
        <f>L831*K831</f>
        <v>180</v>
      </c>
      <c r="N831" s="184" t="s">
        <v>20</v>
      </c>
    </row>
    <row r="832" spans="1:14" ht="15.75" thickBot="1" x14ac:dyDescent="0.3">
      <c r="A832" t="s">
        <v>180</v>
      </c>
      <c r="B832" s="153" t="s">
        <v>1212</v>
      </c>
      <c r="C832" s="241"/>
      <c r="D832" s="156">
        <v>610000004139</v>
      </c>
      <c r="E832" s="157">
        <f>VLOOKUP(D832,'[1]Task list &amp; Maintenace plan'!$B:$G,6,FALSE)</f>
        <v>100573</v>
      </c>
      <c r="F832" s="157" t="s">
        <v>1268</v>
      </c>
      <c r="G832" s="158" t="s">
        <v>1223</v>
      </c>
      <c r="H832" s="158" t="s">
        <v>1269</v>
      </c>
      <c r="I832" s="157">
        <v>180</v>
      </c>
      <c r="J832" s="157">
        <v>1</v>
      </c>
      <c r="K832" s="157">
        <v>15</v>
      </c>
      <c r="L832" s="157">
        <v>1</v>
      </c>
      <c r="M832" s="157">
        <f>L832*K832</f>
        <v>15</v>
      </c>
      <c r="N832" s="159" t="s">
        <v>468</v>
      </c>
    </row>
    <row r="833" spans="1:14" ht="15.75" thickBot="1" x14ac:dyDescent="0.3">
      <c r="A833" t="s">
        <v>180</v>
      </c>
      <c r="B833" s="153" t="s">
        <v>1212</v>
      </c>
      <c r="C833" s="12"/>
      <c r="D833" s="245">
        <v>356602</v>
      </c>
      <c r="E833" s="246">
        <f>VLOOKUP(D833,'[1]Task list &amp; Maintenace plan'!$B:$G,6,FALSE)</f>
        <v>1606</v>
      </c>
      <c r="F833" s="157" t="s">
        <v>1270</v>
      </c>
      <c r="G833" s="247" t="s">
        <v>1227</v>
      </c>
      <c r="H833" s="8" t="s">
        <v>1271</v>
      </c>
      <c r="I833" s="7">
        <v>180</v>
      </c>
      <c r="J833" s="7">
        <v>1</v>
      </c>
      <c r="K833" s="7">
        <f>4*60</f>
        <v>240</v>
      </c>
      <c r="L833" s="7">
        <v>1</v>
      </c>
      <c r="M833" s="7">
        <f>L833*K833</f>
        <v>240</v>
      </c>
      <c r="N833" s="10" t="s">
        <v>20</v>
      </c>
    </row>
    <row r="834" spans="1:14" ht="15.75" thickBot="1" x14ac:dyDescent="0.3">
      <c r="A834" t="s">
        <v>180</v>
      </c>
      <c r="B834" s="153" t="s">
        <v>1212</v>
      </c>
      <c r="C834" s="12"/>
      <c r="D834" s="248">
        <v>356834</v>
      </c>
      <c r="E834" s="249">
        <f>VLOOKUP(D834,'[1]Task list &amp; Maintenace plan'!$B:$G,6,FALSE)</f>
        <v>2028</v>
      </c>
      <c r="F834" s="249" t="s">
        <v>1272</v>
      </c>
      <c r="G834" s="250" t="s">
        <v>1227</v>
      </c>
      <c r="H834" s="251" t="s">
        <v>1273</v>
      </c>
      <c r="I834" s="252">
        <v>180</v>
      </c>
      <c r="J834" s="252"/>
      <c r="K834" s="252"/>
      <c r="L834" s="252"/>
      <c r="M834" s="252"/>
      <c r="N834" s="253"/>
    </row>
    <row r="835" spans="1:14" ht="15.75" thickBot="1" x14ac:dyDescent="0.3">
      <c r="A835" t="s">
        <v>180</v>
      </c>
      <c r="B835" s="153" t="s">
        <v>1212</v>
      </c>
      <c r="C835" s="12"/>
      <c r="D835" s="254">
        <v>356834</v>
      </c>
      <c r="E835" s="255">
        <f>VLOOKUP(D835,'[1]Task list &amp; Maintenace plan'!$B:$G,6,FALSE)</f>
        <v>2028</v>
      </c>
      <c r="F835" s="255" t="s">
        <v>1272</v>
      </c>
      <c r="G835" s="256" t="s">
        <v>1215</v>
      </c>
      <c r="H835" s="257" t="s">
        <v>1274</v>
      </c>
      <c r="I835" s="258">
        <v>180</v>
      </c>
      <c r="J835" s="258"/>
      <c r="K835" s="258"/>
      <c r="L835" s="258"/>
      <c r="M835" s="258"/>
      <c r="N835" s="259"/>
    </row>
    <row r="836" spans="1:14" ht="15.75" thickBot="1" x14ac:dyDescent="0.3">
      <c r="A836" t="s">
        <v>180</v>
      </c>
      <c r="B836" s="153" t="s">
        <v>1212</v>
      </c>
      <c r="C836" s="12"/>
      <c r="D836" s="260">
        <v>356834</v>
      </c>
      <c r="E836" s="261">
        <f>VLOOKUP(D836,'[1]Task list &amp; Maintenace plan'!$B:$G,6,FALSE)</f>
        <v>2028</v>
      </c>
      <c r="F836" s="261" t="s">
        <v>1272</v>
      </c>
      <c r="G836" s="262" t="s">
        <v>1218</v>
      </c>
      <c r="H836" s="263" t="s">
        <v>1275</v>
      </c>
      <c r="I836" s="264">
        <v>180</v>
      </c>
      <c r="J836" s="264"/>
      <c r="K836" s="264"/>
      <c r="L836" s="264"/>
      <c r="M836" s="264"/>
      <c r="N836" s="265"/>
    </row>
    <row r="837" spans="1:14" ht="15.75" thickBot="1" x14ac:dyDescent="0.3">
      <c r="A837" t="s">
        <v>180</v>
      </c>
      <c r="B837" s="153" t="s">
        <v>1212</v>
      </c>
      <c r="C837" s="12"/>
      <c r="D837" s="245">
        <v>342331</v>
      </c>
      <c r="E837" s="246">
        <f>VLOOKUP(D837,'[1]Task list &amp; Maintenace plan'!$B:$G,6,FALSE)</f>
        <v>492</v>
      </c>
      <c r="F837" s="246" t="s">
        <v>1276</v>
      </c>
      <c r="G837" s="266" t="s">
        <v>1227</v>
      </c>
      <c r="H837" s="158" t="s">
        <v>1277</v>
      </c>
      <c r="I837" s="7">
        <v>180</v>
      </c>
      <c r="J837" s="7">
        <v>1</v>
      </c>
      <c r="K837" s="7">
        <v>30</v>
      </c>
      <c r="L837" s="7">
        <v>1</v>
      </c>
      <c r="M837" s="7">
        <f>L837*K837</f>
        <v>30</v>
      </c>
      <c r="N837" s="10" t="s">
        <v>468</v>
      </c>
    </row>
    <row r="838" spans="1:14" ht="15.75" thickBot="1" x14ac:dyDescent="0.3">
      <c r="A838" t="s">
        <v>180</v>
      </c>
      <c r="B838" s="153" t="s">
        <v>1212</v>
      </c>
      <c r="C838" s="12"/>
      <c r="D838" s="267">
        <v>351910</v>
      </c>
      <c r="E838" s="268">
        <v>1430</v>
      </c>
      <c r="F838" s="268" t="s">
        <v>1278</v>
      </c>
      <c r="G838" s="269" t="s">
        <v>1217</v>
      </c>
      <c r="H838" s="211" t="s">
        <v>451</v>
      </c>
      <c r="I838" s="270">
        <v>365</v>
      </c>
      <c r="J838" s="270">
        <v>1</v>
      </c>
      <c r="K838" s="270">
        <v>120</v>
      </c>
      <c r="L838" s="270">
        <v>1</v>
      </c>
      <c r="M838" s="270">
        <v>120</v>
      </c>
      <c r="N838" s="271" t="s">
        <v>452</v>
      </c>
    </row>
    <row r="839" spans="1:14" ht="15.75" thickBot="1" x14ac:dyDescent="0.3">
      <c r="A839" t="s">
        <v>180</v>
      </c>
      <c r="B839" s="153" t="s">
        <v>1212</v>
      </c>
      <c r="C839" s="12"/>
      <c r="D839" s="209">
        <v>610000004141</v>
      </c>
      <c r="E839" s="210">
        <f>VLOOKUP(D839,'[1]Task list &amp; Maintenace plan'!$B:$G,6,FALSE)</f>
        <v>100575</v>
      </c>
      <c r="F839" s="210" t="s">
        <v>1279</v>
      </c>
      <c r="G839" s="211" t="s">
        <v>1217</v>
      </c>
      <c r="H839" s="211" t="s">
        <v>448</v>
      </c>
      <c r="I839" s="210">
        <v>365</v>
      </c>
      <c r="J839" s="210">
        <v>1</v>
      </c>
      <c r="K839" s="210">
        <v>90</v>
      </c>
      <c r="L839" s="210">
        <v>1</v>
      </c>
      <c r="M839" s="210">
        <f>L839*K839</f>
        <v>90</v>
      </c>
      <c r="N839" s="212" t="s">
        <v>117</v>
      </c>
    </row>
    <row r="840" spans="1:14" ht="15.75" thickBot="1" x14ac:dyDescent="0.3">
      <c r="A840" t="s">
        <v>180</v>
      </c>
      <c r="B840" s="153" t="s">
        <v>1212</v>
      </c>
      <c r="C840" s="12"/>
      <c r="D840" s="156">
        <v>344810</v>
      </c>
      <c r="E840" s="157">
        <f>VLOOKUP(D840,'[1]Task list &amp; Maintenace plan'!$B:$G,6,FALSE)</f>
        <v>847</v>
      </c>
      <c r="F840" s="157" t="s">
        <v>1280</v>
      </c>
      <c r="G840" s="158" t="s">
        <v>1227</v>
      </c>
      <c r="H840" s="158" t="s">
        <v>1281</v>
      </c>
      <c r="I840" s="157">
        <v>365</v>
      </c>
      <c r="J840" s="157">
        <v>1</v>
      </c>
      <c r="K840" s="157">
        <v>90</v>
      </c>
      <c r="L840" s="157">
        <v>1</v>
      </c>
      <c r="M840" s="157">
        <f>L840*K840</f>
        <v>90</v>
      </c>
      <c r="N840" s="159" t="s">
        <v>117</v>
      </c>
    </row>
    <row r="841" spans="1:14" ht="15.75" thickBot="1" x14ac:dyDescent="0.3">
      <c r="A841" t="s">
        <v>180</v>
      </c>
      <c r="B841" s="153" t="s">
        <v>1212</v>
      </c>
      <c r="C841" s="12"/>
      <c r="D841" s="167">
        <v>356603</v>
      </c>
      <c r="E841" s="168">
        <f>VLOOKUP(D841,'[1]Task list &amp; Maintenace plan'!$B:$G,6,FALSE)</f>
        <v>1607</v>
      </c>
      <c r="F841" s="168" t="s">
        <v>1282</v>
      </c>
      <c r="G841" s="169" t="s">
        <v>1227</v>
      </c>
      <c r="H841" s="169" t="s">
        <v>1283</v>
      </c>
      <c r="I841" s="168">
        <v>365</v>
      </c>
      <c r="J841" s="168">
        <v>1</v>
      </c>
      <c r="K841" s="168">
        <v>180</v>
      </c>
      <c r="L841" s="168">
        <v>1</v>
      </c>
      <c r="M841" s="168">
        <f>L841*K841</f>
        <v>180</v>
      </c>
      <c r="N841" s="170" t="s">
        <v>468</v>
      </c>
    </row>
    <row r="842" spans="1:14" ht="15.75" thickBot="1" x14ac:dyDescent="0.3">
      <c r="A842" t="s">
        <v>180</v>
      </c>
      <c r="B842" s="153" t="s">
        <v>1212</v>
      </c>
      <c r="C842" s="12"/>
      <c r="D842" s="272">
        <v>356833</v>
      </c>
      <c r="E842" s="273">
        <f>VLOOKUP(D842,'[1]Task list &amp; Maintenace plan'!$B:$G,6,FALSE)</f>
        <v>2027</v>
      </c>
      <c r="F842" s="273" t="s">
        <v>1278</v>
      </c>
      <c r="G842" s="274" t="s">
        <v>1227</v>
      </c>
      <c r="H842" s="274" t="s">
        <v>1284</v>
      </c>
      <c r="I842" s="273">
        <v>365</v>
      </c>
      <c r="J842" s="273">
        <v>1</v>
      </c>
      <c r="K842" s="273"/>
      <c r="L842" s="273"/>
      <c r="M842" s="273"/>
      <c r="N842" s="275"/>
    </row>
    <row r="843" spans="1:14" ht="15.75" thickBot="1" x14ac:dyDescent="0.3">
      <c r="A843" t="s">
        <v>180</v>
      </c>
      <c r="B843" s="153" t="s">
        <v>1212</v>
      </c>
      <c r="C843" s="12"/>
      <c r="D843" s="276">
        <v>356833</v>
      </c>
      <c r="E843" s="277">
        <f>VLOOKUP(D843,'[1]Task list &amp; Maintenace plan'!$B:$G,6,FALSE)</f>
        <v>2027</v>
      </c>
      <c r="F843" s="277" t="s">
        <v>1278</v>
      </c>
      <c r="G843" s="278" t="s">
        <v>1215</v>
      </c>
      <c r="H843" s="278" t="s">
        <v>1285</v>
      </c>
      <c r="I843" s="277">
        <v>365</v>
      </c>
      <c r="J843" s="277">
        <v>1</v>
      </c>
      <c r="K843" s="277"/>
      <c r="L843" s="277"/>
      <c r="M843" s="277"/>
      <c r="N843" s="279"/>
    </row>
    <row r="844" spans="1:14" ht="15.75" thickBot="1" x14ac:dyDescent="0.3">
      <c r="A844" t="s">
        <v>180</v>
      </c>
      <c r="B844" s="153" t="s">
        <v>1212</v>
      </c>
      <c r="C844" s="12"/>
      <c r="D844" s="280">
        <v>356833</v>
      </c>
      <c r="E844" s="281">
        <f>VLOOKUP(D844,'[1]Task list &amp; Maintenace plan'!$B:$G,6,FALSE)</f>
        <v>2027</v>
      </c>
      <c r="F844" s="281" t="s">
        <v>1278</v>
      </c>
      <c r="G844" s="282" t="s">
        <v>1218</v>
      </c>
      <c r="H844" s="282" t="s">
        <v>1286</v>
      </c>
      <c r="I844" s="281">
        <v>365</v>
      </c>
      <c r="J844" s="281">
        <v>1</v>
      </c>
      <c r="K844" s="281"/>
      <c r="L844" s="281"/>
      <c r="M844" s="281"/>
      <c r="N844" s="283"/>
    </row>
    <row r="845" spans="1:14" ht="15.75" thickBot="1" x14ac:dyDescent="0.3">
      <c r="A845" t="s">
        <v>180</v>
      </c>
      <c r="B845" s="153" t="s">
        <v>1287</v>
      </c>
      <c r="C845" s="154"/>
      <c r="D845" s="13">
        <v>610000004142</v>
      </c>
      <c r="E845" s="101">
        <f>VLOOKUP(D845,'[1]Task list &amp; Maintenace plan'!$B:$G,6,FALSE)</f>
        <v>100576</v>
      </c>
      <c r="F845" s="101" t="s">
        <v>1288</v>
      </c>
      <c r="G845" s="178" t="s">
        <v>665</v>
      </c>
      <c r="H845" s="178" t="s">
        <v>1289</v>
      </c>
      <c r="I845" s="179">
        <v>60</v>
      </c>
      <c r="J845" s="179">
        <v>1</v>
      </c>
      <c r="K845" s="722">
        <v>60</v>
      </c>
      <c r="L845" s="722">
        <v>1</v>
      </c>
      <c r="M845" s="722">
        <f>L845*K845</f>
        <v>60</v>
      </c>
      <c r="N845" s="723" t="s">
        <v>20</v>
      </c>
    </row>
    <row r="846" spans="1:14" ht="15.75" thickBot="1" x14ac:dyDescent="0.3">
      <c r="A846" t="s">
        <v>180</v>
      </c>
      <c r="B846" s="153" t="s">
        <v>1287</v>
      </c>
      <c r="C846" s="12"/>
      <c r="D846" s="123">
        <v>610000004142</v>
      </c>
      <c r="E846" s="124">
        <f>VLOOKUP(D846,'[1]Task list &amp; Maintenace plan'!$B:$G,6,FALSE)</f>
        <v>100576</v>
      </c>
      <c r="F846" s="124" t="s">
        <v>1288</v>
      </c>
      <c r="G846" s="180" t="s">
        <v>663</v>
      </c>
      <c r="H846" s="180" t="s">
        <v>1290</v>
      </c>
      <c r="I846" s="181">
        <v>60</v>
      </c>
      <c r="J846" s="181">
        <v>1</v>
      </c>
      <c r="K846" s="717"/>
      <c r="L846" s="717"/>
      <c r="M846" s="717"/>
      <c r="N846" s="720"/>
    </row>
    <row r="847" spans="1:14" ht="15.75" thickBot="1" x14ac:dyDescent="0.3">
      <c r="A847" t="s">
        <v>180</v>
      </c>
      <c r="B847" s="153" t="s">
        <v>1287</v>
      </c>
      <c r="C847" s="12"/>
      <c r="D847" s="123">
        <v>610000004142</v>
      </c>
      <c r="E847" s="124">
        <f>VLOOKUP(D847,'[1]Task list &amp; Maintenace plan'!$B:$G,6,FALSE)</f>
        <v>100576</v>
      </c>
      <c r="F847" s="124" t="s">
        <v>1288</v>
      </c>
      <c r="G847" s="180" t="s">
        <v>1291</v>
      </c>
      <c r="H847" s="180" t="s">
        <v>1292</v>
      </c>
      <c r="I847" s="181">
        <v>60</v>
      </c>
      <c r="J847" s="181">
        <v>1</v>
      </c>
      <c r="K847" s="717"/>
      <c r="L847" s="717"/>
      <c r="M847" s="717"/>
      <c r="N847" s="720"/>
    </row>
    <row r="848" spans="1:14" ht="15.75" thickBot="1" x14ac:dyDescent="0.3">
      <c r="A848" t="s">
        <v>180</v>
      </c>
      <c r="B848" s="153" t="s">
        <v>1287</v>
      </c>
      <c r="C848" s="12"/>
      <c r="D848" s="17">
        <v>610000004142</v>
      </c>
      <c r="E848" s="18">
        <f>VLOOKUP(D848,'[1]Task list &amp; Maintenace plan'!$B:$G,6,FALSE)</f>
        <v>100576</v>
      </c>
      <c r="F848" s="18" t="s">
        <v>1288</v>
      </c>
      <c r="G848" s="19" t="s">
        <v>665</v>
      </c>
      <c r="H848" s="19" t="s">
        <v>675</v>
      </c>
      <c r="I848" s="18">
        <v>60</v>
      </c>
      <c r="J848" s="18">
        <v>1</v>
      </c>
      <c r="K848" s="717"/>
      <c r="L848" s="717"/>
      <c r="M848" s="717"/>
      <c r="N848" s="720"/>
    </row>
    <row r="849" spans="1:14" ht="15.75" thickBot="1" x14ac:dyDescent="0.3">
      <c r="A849" t="s">
        <v>180</v>
      </c>
      <c r="B849" s="153" t="s">
        <v>1287</v>
      </c>
      <c r="C849" s="12"/>
      <c r="D849" s="22">
        <v>610000004142</v>
      </c>
      <c r="E849" s="23">
        <f>VLOOKUP(D849,'[1]Task list &amp; Maintenace plan'!$B:$G,6,FALSE)</f>
        <v>100576</v>
      </c>
      <c r="F849" s="23" t="s">
        <v>1288</v>
      </c>
      <c r="G849" s="24" t="s">
        <v>663</v>
      </c>
      <c r="H849" s="24" t="s">
        <v>674</v>
      </c>
      <c r="I849" s="23">
        <v>60</v>
      </c>
      <c r="J849" s="23">
        <v>1</v>
      </c>
      <c r="K849" s="718"/>
      <c r="L849" s="718"/>
      <c r="M849" s="718"/>
      <c r="N849" s="721"/>
    </row>
    <row r="850" spans="1:14" ht="15.75" thickBot="1" x14ac:dyDescent="0.3">
      <c r="A850" t="s">
        <v>180</v>
      </c>
      <c r="B850" s="153" t="s">
        <v>1287</v>
      </c>
      <c r="C850" s="12"/>
      <c r="D850" s="100">
        <v>610000004143</v>
      </c>
      <c r="E850" s="101">
        <f>VLOOKUP(D850,'[1]Task list &amp; Maintenace plan'!$B:$G,6,FALSE)</f>
        <v>100577</v>
      </c>
      <c r="F850" s="101" t="s">
        <v>1295</v>
      </c>
      <c r="G850" s="178" t="s">
        <v>1296</v>
      </c>
      <c r="H850" s="178" t="s">
        <v>1297</v>
      </c>
      <c r="I850" s="179">
        <v>60</v>
      </c>
      <c r="J850" s="179">
        <v>1</v>
      </c>
      <c r="K850" s="716">
        <v>90</v>
      </c>
      <c r="L850" s="716">
        <v>1</v>
      </c>
      <c r="M850" s="716">
        <f>L850*K850</f>
        <v>90</v>
      </c>
      <c r="N850" s="719" t="s">
        <v>34</v>
      </c>
    </row>
    <row r="851" spans="1:14" ht="15.75" thickBot="1" x14ac:dyDescent="0.3">
      <c r="A851" t="s">
        <v>180</v>
      </c>
      <c r="B851" s="153" t="s">
        <v>1287</v>
      </c>
      <c r="C851" s="12"/>
      <c r="D851" s="123">
        <v>610000004143</v>
      </c>
      <c r="E851" s="124">
        <f>VLOOKUP(D851,'[1]Task list &amp; Maintenace plan'!$B:$G,6,FALSE)</f>
        <v>100577</v>
      </c>
      <c r="F851" s="124" t="s">
        <v>1295</v>
      </c>
      <c r="G851" s="180" t="s">
        <v>665</v>
      </c>
      <c r="H851" s="180" t="s">
        <v>682</v>
      </c>
      <c r="I851" s="181">
        <v>60</v>
      </c>
      <c r="J851" s="181">
        <v>1</v>
      </c>
      <c r="K851" s="717"/>
      <c r="L851" s="717"/>
      <c r="M851" s="717"/>
      <c r="N851" s="720"/>
    </row>
    <row r="852" spans="1:14" ht="15.75" thickBot="1" x14ac:dyDescent="0.3">
      <c r="A852" t="s">
        <v>180</v>
      </c>
      <c r="B852" s="153" t="s">
        <v>1287</v>
      </c>
      <c r="C852" s="12"/>
      <c r="D852" s="123">
        <v>610000004143</v>
      </c>
      <c r="E852" s="124">
        <f>VLOOKUP(D852,'[1]Task list &amp; Maintenace plan'!$B:$G,6,FALSE)</f>
        <v>100577</v>
      </c>
      <c r="F852" s="124" t="s">
        <v>1295</v>
      </c>
      <c r="G852" s="180" t="s">
        <v>663</v>
      </c>
      <c r="H852" s="180" t="s">
        <v>681</v>
      </c>
      <c r="I852" s="181">
        <v>60</v>
      </c>
      <c r="J852" s="181">
        <v>1</v>
      </c>
      <c r="K852" s="717"/>
      <c r="L852" s="717"/>
      <c r="M852" s="717"/>
      <c r="N852" s="720"/>
    </row>
    <row r="853" spans="1:14" ht="15.75" thickBot="1" x14ac:dyDescent="0.3">
      <c r="A853" t="s">
        <v>180</v>
      </c>
      <c r="B853" s="153" t="s">
        <v>1287</v>
      </c>
      <c r="C853" s="12"/>
      <c r="D853" s="123">
        <v>610000004143</v>
      </c>
      <c r="E853" s="124">
        <f>VLOOKUP(D853,'[1]Task list &amp; Maintenace plan'!$B:$G,6,FALSE)</f>
        <v>100577</v>
      </c>
      <c r="F853" s="124" t="s">
        <v>1295</v>
      </c>
      <c r="G853" s="180" t="s">
        <v>1298</v>
      </c>
      <c r="H853" s="180" t="s">
        <v>1299</v>
      </c>
      <c r="I853" s="181">
        <v>60</v>
      </c>
      <c r="J853" s="181">
        <v>1</v>
      </c>
      <c r="K853" s="717"/>
      <c r="L853" s="717"/>
      <c r="M853" s="717"/>
      <c r="N853" s="720"/>
    </row>
    <row r="854" spans="1:14" ht="15.75" thickBot="1" x14ac:dyDescent="0.3">
      <c r="A854" t="s">
        <v>180</v>
      </c>
      <c r="B854" s="153" t="s">
        <v>1287</v>
      </c>
      <c r="C854" s="12"/>
      <c r="D854" s="123">
        <v>610000004143</v>
      </c>
      <c r="E854" s="124">
        <f>VLOOKUP(D854,'[1]Task list &amp; Maintenace plan'!$B:$G,6,FALSE)</f>
        <v>100577</v>
      </c>
      <c r="F854" s="124" t="s">
        <v>1295</v>
      </c>
      <c r="G854" s="180" t="s">
        <v>1293</v>
      </c>
      <c r="H854" s="180" t="s">
        <v>1300</v>
      </c>
      <c r="I854" s="181">
        <v>60</v>
      </c>
      <c r="J854" s="181">
        <v>1</v>
      </c>
      <c r="K854" s="717"/>
      <c r="L854" s="717"/>
      <c r="M854" s="717"/>
      <c r="N854" s="720"/>
    </row>
    <row r="855" spans="1:14" ht="15.75" thickBot="1" x14ac:dyDescent="0.3">
      <c r="A855" t="s">
        <v>180</v>
      </c>
      <c r="B855" s="153" t="s">
        <v>1287</v>
      </c>
      <c r="C855" s="12"/>
      <c r="D855" s="103">
        <v>610000004143</v>
      </c>
      <c r="E855" s="85">
        <f>VLOOKUP(D855,'[1]Task list &amp; Maintenace plan'!$B:$G,6,FALSE)</f>
        <v>100577</v>
      </c>
      <c r="F855" s="85" t="s">
        <v>1295</v>
      </c>
      <c r="G855" s="182" t="s">
        <v>1301</v>
      </c>
      <c r="H855" s="182" t="s">
        <v>1302</v>
      </c>
      <c r="I855" s="183">
        <v>60</v>
      </c>
      <c r="J855" s="183">
        <v>1</v>
      </c>
      <c r="K855" s="718"/>
      <c r="L855" s="718"/>
      <c r="M855" s="718"/>
      <c r="N855" s="721"/>
    </row>
    <row r="856" spans="1:14" ht="15.75" thickBot="1" x14ac:dyDescent="0.3">
      <c r="A856" t="s">
        <v>180</v>
      </c>
      <c r="B856" s="153" t="s">
        <v>1287</v>
      </c>
      <c r="C856" s="12"/>
      <c r="D856" s="13">
        <v>610000004146</v>
      </c>
      <c r="E856" s="14">
        <f>VLOOKUP(D856,'[1]Task list &amp; Maintenace plan'!$B:$G,6,FALSE)</f>
        <v>100580</v>
      </c>
      <c r="F856" s="14" t="s">
        <v>1303</v>
      </c>
      <c r="G856" s="15" t="s">
        <v>1296</v>
      </c>
      <c r="H856" s="15" t="s">
        <v>1304</v>
      </c>
      <c r="I856" s="14">
        <v>90</v>
      </c>
      <c r="J856" s="14"/>
      <c r="K856" s="686">
        <v>20</v>
      </c>
      <c r="L856" s="686">
        <v>1</v>
      </c>
      <c r="M856" s="686">
        <f>L856*K856</f>
        <v>20</v>
      </c>
      <c r="N856" s="689" t="s">
        <v>20</v>
      </c>
    </row>
    <row r="857" spans="1:14" ht="15.75" thickBot="1" x14ac:dyDescent="0.3">
      <c r="A857" t="s">
        <v>180</v>
      </c>
      <c r="B857" s="153" t="s">
        <v>1287</v>
      </c>
      <c r="C857" s="12"/>
      <c r="D857" s="17">
        <v>610000004146</v>
      </c>
      <c r="E857" s="18">
        <f>VLOOKUP(D857,'[1]Task list &amp; Maintenace plan'!$B:$G,6,FALSE)</f>
        <v>100580</v>
      </c>
      <c r="F857" s="18" t="s">
        <v>1303</v>
      </c>
      <c r="G857" s="19" t="s">
        <v>665</v>
      </c>
      <c r="H857" s="19" t="s">
        <v>666</v>
      </c>
      <c r="I857" s="18">
        <v>90</v>
      </c>
      <c r="J857" s="18"/>
      <c r="K857" s="687"/>
      <c r="L857" s="687"/>
      <c r="M857" s="687"/>
      <c r="N857" s="690"/>
    </row>
    <row r="858" spans="1:14" ht="15.75" thickBot="1" x14ac:dyDescent="0.3">
      <c r="A858" t="s">
        <v>180</v>
      </c>
      <c r="B858" s="153" t="s">
        <v>1287</v>
      </c>
      <c r="C858" s="12"/>
      <c r="D858" s="17">
        <v>610000004146</v>
      </c>
      <c r="E858" s="18">
        <f>VLOOKUP(D858,'[1]Task list &amp; Maintenace plan'!$B:$G,6,FALSE)</f>
        <v>100580</v>
      </c>
      <c r="F858" s="18" t="s">
        <v>1303</v>
      </c>
      <c r="G858" s="19" t="s">
        <v>663</v>
      </c>
      <c r="H858" s="19" t="s">
        <v>664</v>
      </c>
      <c r="I858" s="18">
        <v>90</v>
      </c>
      <c r="J858" s="18"/>
      <c r="K858" s="687"/>
      <c r="L858" s="687"/>
      <c r="M858" s="687"/>
      <c r="N858" s="690"/>
    </row>
    <row r="859" spans="1:14" ht="15.75" thickBot="1" x14ac:dyDescent="0.3">
      <c r="A859" t="s">
        <v>180</v>
      </c>
      <c r="B859" s="153" t="s">
        <v>1287</v>
      </c>
      <c r="C859" s="12"/>
      <c r="D859" s="17">
        <v>610000004146</v>
      </c>
      <c r="E859" s="18">
        <f>VLOOKUP(D859,'[1]Task list &amp; Maintenace plan'!$B:$G,6,FALSE)</f>
        <v>100580</v>
      </c>
      <c r="F859" s="18" t="s">
        <v>1303</v>
      </c>
      <c r="G859" s="19" t="s">
        <v>1298</v>
      </c>
      <c r="H859" s="19" t="s">
        <v>1305</v>
      </c>
      <c r="I859" s="18">
        <v>90</v>
      </c>
      <c r="J859" s="18"/>
      <c r="K859" s="687"/>
      <c r="L859" s="687"/>
      <c r="M859" s="687"/>
      <c r="N859" s="690"/>
    </row>
    <row r="860" spans="1:14" ht="15.75" thickBot="1" x14ac:dyDescent="0.3">
      <c r="A860" t="s">
        <v>180</v>
      </c>
      <c r="B860" s="153" t="s">
        <v>1287</v>
      </c>
      <c r="C860" s="12"/>
      <c r="D860" s="17">
        <v>610000004146</v>
      </c>
      <c r="E860" s="18">
        <f>VLOOKUP(D860,'[1]Task list &amp; Maintenace plan'!$B:$G,6,FALSE)</f>
        <v>100580</v>
      </c>
      <c r="F860" s="18" t="s">
        <v>1303</v>
      </c>
      <c r="G860" s="19" t="s">
        <v>1293</v>
      </c>
      <c r="H860" s="19" t="s">
        <v>1306</v>
      </c>
      <c r="I860" s="18">
        <v>90</v>
      </c>
      <c r="J860" s="18"/>
      <c r="K860" s="687"/>
      <c r="L860" s="687"/>
      <c r="M860" s="687"/>
      <c r="N860" s="690"/>
    </row>
    <row r="861" spans="1:14" ht="15.75" thickBot="1" x14ac:dyDescent="0.3">
      <c r="A861" t="s">
        <v>180</v>
      </c>
      <c r="B861" s="153" t="s">
        <v>1287</v>
      </c>
      <c r="C861" s="12"/>
      <c r="D861" s="17">
        <v>610000004146</v>
      </c>
      <c r="E861" s="18">
        <f>VLOOKUP(D861,'[1]Task list &amp; Maintenace plan'!$B:$G,6,FALSE)</f>
        <v>100580</v>
      </c>
      <c r="F861" s="18" t="s">
        <v>1303</v>
      </c>
      <c r="G861" s="19" t="s">
        <v>1301</v>
      </c>
      <c r="H861" s="19" t="s">
        <v>1307</v>
      </c>
      <c r="I861" s="18">
        <v>90</v>
      </c>
      <c r="J861" s="18"/>
      <c r="K861" s="687"/>
      <c r="L861" s="687"/>
      <c r="M861" s="687"/>
      <c r="N861" s="690"/>
    </row>
    <row r="862" spans="1:14" ht="15.75" thickBot="1" x14ac:dyDescent="0.3">
      <c r="A862" t="s">
        <v>180</v>
      </c>
      <c r="B862" s="153" t="s">
        <v>1287</v>
      </c>
      <c r="C862" s="12"/>
      <c r="D862" s="17">
        <v>610000004146</v>
      </c>
      <c r="E862" s="18">
        <f>VLOOKUP(D862,'[1]Task list &amp; Maintenace plan'!$B:$G,6,FALSE)</f>
        <v>100580</v>
      </c>
      <c r="F862" s="18" t="s">
        <v>1303</v>
      </c>
      <c r="G862" s="19" t="s">
        <v>1296</v>
      </c>
      <c r="H862" s="19" t="s">
        <v>1308</v>
      </c>
      <c r="I862" s="18">
        <v>90</v>
      </c>
      <c r="J862" s="18"/>
      <c r="K862" s="687"/>
      <c r="L862" s="687"/>
      <c r="M862" s="687"/>
      <c r="N862" s="690"/>
    </row>
    <row r="863" spans="1:14" ht="15.75" thickBot="1" x14ac:dyDescent="0.3">
      <c r="A863" t="s">
        <v>180</v>
      </c>
      <c r="B863" s="153" t="s">
        <v>1287</v>
      </c>
      <c r="C863" s="12"/>
      <c r="D863" s="17">
        <v>610000004146</v>
      </c>
      <c r="E863" s="18">
        <f>VLOOKUP(D863,'[1]Task list &amp; Maintenace plan'!$B:$G,6,FALSE)</f>
        <v>100580</v>
      </c>
      <c r="F863" s="18" t="s">
        <v>1303</v>
      </c>
      <c r="G863" s="19" t="s">
        <v>1301</v>
      </c>
      <c r="H863" s="19" t="s">
        <v>1309</v>
      </c>
      <c r="I863" s="18">
        <v>90</v>
      </c>
      <c r="J863" s="18"/>
      <c r="K863" s="687"/>
      <c r="L863" s="687"/>
      <c r="M863" s="687"/>
      <c r="N863" s="690"/>
    </row>
    <row r="864" spans="1:14" ht="15.75" thickBot="1" x14ac:dyDescent="0.3">
      <c r="A864" t="s">
        <v>180</v>
      </c>
      <c r="B864" s="153" t="s">
        <v>1287</v>
      </c>
      <c r="C864" s="12"/>
      <c r="D864" s="17">
        <v>610000004146</v>
      </c>
      <c r="E864" s="18">
        <f>VLOOKUP(D864,'[1]Task list &amp; Maintenace plan'!$B:$G,6,FALSE)</f>
        <v>100580</v>
      </c>
      <c r="F864" s="18" t="s">
        <v>1303</v>
      </c>
      <c r="G864" s="19" t="s">
        <v>1298</v>
      </c>
      <c r="H864" s="19" t="s">
        <v>1310</v>
      </c>
      <c r="I864" s="18">
        <v>90</v>
      </c>
      <c r="J864" s="18"/>
      <c r="K864" s="687"/>
      <c r="L864" s="687"/>
      <c r="M864" s="687"/>
      <c r="N864" s="690"/>
    </row>
    <row r="865" spans="1:14" ht="15.75" thickBot="1" x14ac:dyDescent="0.3">
      <c r="A865" t="s">
        <v>180</v>
      </c>
      <c r="B865" s="153" t="s">
        <v>1287</v>
      </c>
      <c r="C865" s="12"/>
      <c r="D865" s="22">
        <v>610000004146</v>
      </c>
      <c r="E865" s="23">
        <f>VLOOKUP(D865,'[1]Task list &amp; Maintenace plan'!$B:$G,6,FALSE)</f>
        <v>100580</v>
      </c>
      <c r="F865" s="23" t="s">
        <v>1303</v>
      </c>
      <c r="G865" s="24" t="s">
        <v>1293</v>
      </c>
      <c r="H865" s="24" t="s">
        <v>1311</v>
      </c>
      <c r="I865" s="23">
        <v>90</v>
      </c>
      <c r="J865" s="23"/>
      <c r="K865" s="688"/>
      <c r="L865" s="688"/>
      <c r="M865" s="688"/>
      <c r="N865" s="691"/>
    </row>
    <row r="866" spans="1:14" ht="15.75" thickBot="1" x14ac:dyDescent="0.3">
      <c r="A866" t="s">
        <v>180</v>
      </c>
      <c r="B866" s="153" t="s">
        <v>1287</v>
      </c>
      <c r="C866" s="12"/>
      <c r="D866" s="284"/>
      <c r="E866" s="285" t="e">
        <f>VLOOKUP(D866,'[1]Task list &amp; Maintenace plan'!$B:$G,6,FALSE)</f>
        <v>#N/A</v>
      </c>
      <c r="F866" s="285" t="s">
        <v>1312</v>
      </c>
      <c r="G866" s="76" t="s">
        <v>1313</v>
      </c>
      <c r="H866" s="76" t="s">
        <v>1314</v>
      </c>
      <c r="I866" s="285">
        <v>90</v>
      </c>
      <c r="J866" s="285"/>
      <c r="K866" s="285"/>
      <c r="L866" s="285"/>
      <c r="M866" s="285"/>
      <c r="N866" s="286"/>
    </row>
    <row r="867" spans="1:14" ht="15.75" thickBot="1" x14ac:dyDescent="0.3">
      <c r="A867" t="s">
        <v>180</v>
      </c>
      <c r="B867" s="153" t="s">
        <v>1287</v>
      </c>
      <c r="C867" s="12"/>
      <c r="D867" s="131"/>
      <c r="E867" s="135" t="e">
        <f>VLOOKUP(D867,'[1]Task list &amp; Maintenace plan'!$B:$G,6,FALSE)</f>
        <v>#N/A</v>
      </c>
      <c r="F867" s="135" t="s">
        <v>1312</v>
      </c>
      <c r="G867" s="287" t="s">
        <v>1315</v>
      </c>
      <c r="H867" s="287" t="s">
        <v>1316</v>
      </c>
      <c r="I867" s="135">
        <v>90</v>
      </c>
      <c r="J867" s="135"/>
      <c r="K867" s="135"/>
      <c r="L867" s="135"/>
      <c r="M867" s="135"/>
      <c r="N867" s="136"/>
    </row>
    <row r="868" spans="1:14" ht="15.75" thickBot="1" x14ac:dyDescent="0.3">
      <c r="A868" t="s">
        <v>180</v>
      </c>
      <c r="B868" s="153" t="s">
        <v>1287</v>
      </c>
      <c r="C868" s="12"/>
      <c r="D868" s="131"/>
      <c r="E868" s="135" t="e">
        <f>VLOOKUP(D868,'[1]Task list &amp; Maintenace plan'!$B:$G,6,FALSE)</f>
        <v>#N/A</v>
      </c>
      <c r="F868" s="135" t="s">
        <v>1312</v>
      </c>
      <c r="G868" s="287" t="s">
        <v>1317</v>
      </c>
      <c r="H868" s="287" t="s">
        <v>1318</v>
      </c>
      <c r="I868" s="135">
        <v>90</v>
      </c>
      <c r="J868" s="135"/>
      <c r="K868" s="135"/>
      <c r="L868" s="135"/>
      <c r="M868" s="135"/>
      <c r="N868" s="136"/>
    </row>
    <row r="869" spans="1:14" ht="15.75" thickBot="1" x14ac:dyDescent="0.3">
      <c r="A869" t="s">
        <v>180</v>
      </c>
      <c r="B869" s="153" t="s">
        <v>1287</v>
      </c>
      <c r="C869" s="12"/>
      <c r="D869" s="22">
        <v>610000004147</v>
      </c>
      <c r="E869" s="23">
        <f>VLOOKUP(D869,'[1]Task list &amp; Maintenace plan'!$B:$G,6,FALSE)</f>
        <v>100581</v>
      </c>
      <c r="F869" s="23" t="s">
        <v>1319</v>
      </c>
      <c r="G869" s="24" t="s">
        <v>667</v>
      </c>
      <c r="H869" s="24" t="s">
        <v>683</v>
      </c>
      <c r="I869" s="23">
        <v>180</v>
      </c>
      <c r="J869" s="23">
        <v>1</v>
      </c>
      <c r="K869" s="23">
        <v>30</v>
      </c>
      <c r="L869" s="23">
        <v>1</v>
      </c>
      <c r="M869" s="23">
        <v>30</v>
      </c>
      <c r="N869" s="43" t="s">
        <v>34</v>
      </c>
    </row>
    <row r="870" spans="1:14" ht="15.75" thickBot="1" x14ac:dyDescent="0.3">
      <c r="A870" t="s">
        <v>180</v>
      </c>
      <c r="B870" s="153" t="s">
        <v>1287</v>
      </c>
      <c r="C870" s="12"/>
      <c r="D870" s="13">
        <v>610000004148</v>
      </c>
      <c r="E870" s="14">
        <f>VLOOKUP(D870,'[1]Task list &amp; Maintenace plan'!$B:$G,6,FALSE)</f>
        <v>100582</v>
      </c>
      <c r="F870" s="14" t="s">
        <v>1320</v>
      </c>
      <c r="G870" s="15" t="s">
        <v>667</v>
      </c>
      <c r="H870" s="15" t="s">
        <v>1321</v>
      </c>
      <c r="I870" s="14">
        <v>180</v>
      </c>
      <c r="J870" s="14"/>
      <c r="K870" s="686">
        <v>30</v>
      </c>
      <c r="L870" s="686">
        <v>1</v>
      </c>
      <c r="M870" s="686">
        <v>30</v>
      </c>
      <c r="N870" s="689" t="s">
        <v>20</v>
      </c>
    </row>
    <row r="871" spans="1:14" ht="15.75" thickBot="1" x14ac:dyDescent="0.3">
      <c r="A871" t="s">
        <v>180</v>
      </c>
      <c r="B871" s="153" t="s">
        <v>1287</v>
      </c>
      <c r="C871" s="12"/>
      <c r="D871" s="17">
        <v>610000004148</v>
      </c>
      <c r="E871" s="18">
        <f>VLOOKUP(D871,'[1]Task list &amp; Maintenace plan'!$B:$G,6,FALSE)</f>
        <v>100582</v>
      </c>
      <c r="F871" s="18" t="s">
        <v>1320</v>
      </c>
      <c r="G871" s="19" t="s">
        <v>667</v>
      </c>
      <c r="H871" s="19" t="s">
        <v>668</v>
      </c>
      <c r="I871" s="18">
        <v>180</v>
      </c>
      <c r="J871" s="18"/>
      <c r="K871" s="687"/>
      <c r="L871" s="687"/>
      <c r="M871" s="687"/>
      <c r="N871" s="690"/>
    </row>
    <row r="872" spans="1:14" ht="15.75" thickBot="1" x14ac:dyDescent="0.3">
      <c r="A872" t="s">
        <v>180</v>
      </c>
      <c r="B872" s="153" t="s">
        <v>1287</v>
      </c>
      <c r="C872" s="12"/>
      <c r="D872" s="38">
        <v>610000004148</v>
      </c>
      <c r="E872" s="39">
        <f>VLOOKUP(D872,'[1]Task list &amp; Maintenace plan'!$B:$G,6,FALSE)</f>
        <v>100582</v>
      </c>
      <c r="F872" s="39" t="s">
        <v>1320</v>
      </c>
      <c r="G872" s="40" t="s">
        <v>667</v>
      </c>
      <c r="H872" s="40" t="s">
        <v>676</v>
      </c>
      <c r="I872" s="39">
        <v>180</v>
      </c>
      <c r="J872" s="39"/>
      <c r="K872" s="688"/>
      <c r="L872" s="688"/>
      <c r="M872" s="688"/>
      <c r="N872" s="691"/>
    </row>
    <row r="873" spans="1:14" ht="15.75" thickBot="1" x14ac:dyDescent="0.3">
      <c r="A873" t="s">
        <v>180</v>
      </c>
      <c r="B873" s="153" t="s">
        <v>1287</v>
      </c>
      <c r="C873" s="12"/>
      <c r="D873" s="32">
        <v>610000004149</v>
      </c>
      <c r="E873" s="270">
        <f>VLOOKUP(D873,'[1]Task list &amp; Maintenace plan'!$B:$G,6,FALSE)</f>
        <v>100583</v>
      </c>
      <c r="F873" s="270" t="s">
        <v>1322</v>
      </c>
      <c r="G873" s="26" t="s">
        <v>665</v>
      </c>
      <c r="H873" s="288" t="s">
        <v>1323</v>
      </c>
      <c r="I873" s="34">
        <v>180</v>
      </c>
      <c r="J873" s="34">
        <v>1</v>
      </c>
      <c r="K873" s="686">
        <v>120</v>
      </c>
      <c r="L873" s="686">
        <v>1</v>
      </c>
      <c r="M873" s="686">
        <v>120</v>
      </c>
      <c r="N873" s="689" t="s">
        <v>468</v>
      </c>
    </row>
    <row r="874" spans="1:14" ht="15.75" thickBot="1" x14ac:dyDescent="0.3">
      <c r="A874" t="s">
        <v>180</v>
      </c>
      <c r="B874" s="153" t="s">
        <v>1287</v>
      </c>
      <c r="C874" s="12"/>
      <c r="D874" s="22">
        <v>610000004149</v>
      </c>
      <c r="E874" s="23">
        <f>VLOOKUP(D874,'[1]Task list &amp; Maintenace plan'!$B:$G,6,FALSE)</f>
        <v>100583</v>
      </c>
      <c r="F874" s="23" t="s">
        <v>1322</v>
      </c>
      <c r="G874" s="24" t="s">
        <v>663</v>
      </c>
      <c r="H874" s="111" t="s">
        <v>1324</v>
      </c>
      <c r="I874" s="23">
        <v>180</v>
      </c>
      <c r="J874" s="23">
        <v>1</v>
      </c>
      <c r="K874" s="688"/>
      <c r="L874" s="688"/>
      <c r="M874" s="688"/>
      <c r="N874" s="691"/>
    </row>
    <row r="875" spans="1:14" ht="15.75" thickBot="1" x14ac:dyDescent="0.3">
      <c r="A875" t="s">
        <v>180</v>
      </c>
      <c r="B875" s="153" t="s">
        <v>1287</v>
      </c>
      <c r="C875" s="12"/>
      <c r="D875" s="185">
        <v>343825</v>
      </c>
      <c r="E875" s="186">
        <f>VLOOKUP(D875,'[1]Task list &amp; Maintenace plan'!$B:$G,6,FALSE)</f>
        <v>750</v>
      </c>
      <c r="F875" s="186" t="s">
        <v>1325</v>
      </c>
      <c r="G875" s="187" t="s">
        <v>667</v>
      </c>
      <c r="H875" s="187" t="s">
        <v>1326</v>
      </c>
      <c r="I875" s="186">
        <v>180</v>
      </c>
      <c r="J875" s="186">
        <v>1</v>
      </c>
      <c r="K875" s="186">
        <v>60</v>
      </c>
      <c r="L875" s="186">
        <v>1</v>
      </c>
      <c r="M875" s="186">
        <v>60</v>
      </c>
      <c r="N875" s="188" t="s">
        <v>468</v>
      </c>
    </row>
    <row r="876" spans="1:14" ht="15.75" thickBot="1" x14ac:dyDescent="0.3">
      <c r="A876" t="s">
        <v>180</v>
      </c>
      <c r="B876" s="153" t="s">
        <v>1327</v>
      </c>
      <c r="C876" s="154"/>
      <c r="D876" s="57">
        <v>610000004151</v>
      </c>
      <c r="E876" s="58">
        <f>VLOOKUP(D876,'[1]Task list &amp; Maintenace plan'!$B:$G,6,FALSE)</f>
        <v>100585</v>
      </c>
      <c r="F876" s="58" t="s">
        <v>1328</v>
      </c>
      <c r="G876" s="59" t="s">
        <v>1329</v>
      </c>
      <c r="H876" s="59" t="s">
        <v>1330</v>
      </c>
      <c r="I876" s="58">
        <v>60</v>
      </c>
      <c r="J876" s="58">
        <v>1</v>
      </c>
      <c r="K876" s="58">
        <v>60</v>
      </c>
      <c r="L876" s="58">
        <v>1</v>
      </c>
      <c r="M876" s="58">
        <v>60</v>
      </c>
      <c r="N876" s="155" t="s">
        <v>34</v>
      </c>
    </row>
    <row r="877" spans="1:14" ht="15.75" thickBot="1" x14ac:dyDescent="0.3">
      <c r="A877" t="s">
        <v>180</v>
      </c>
      <c r="B877" s="153" t="s">
        <v>1327</v>
      </c>
      <c r="C877" s="12"/>
      <c r="D877" s="156">
        <v>610000004152</v>
      </c>
      <c r="E877" s="157">
        <f>VLOOKUP(D877,'[1]Task list &amp; Maintenace plan'!$B:$G,6,FALSE)</f>
        <v>100586</v>
      </c>
      <c r="F877" s="157" t="s">
        <v>1332</v>
      </c>
      <c r="G877" s="158" t="s">
        <v>1333</v>
      </c>
      <c r="H877" s="158" t="s">
        <v>1334</v>
      </c>
      <c r="I877" s="157">
        <v>30</v>
      </c>
      <c r="J877" s="157">
        <v>1</v>
      </c>
      <c r="K877" s="157">
        <v>60</v>
      </c>
      <c r="L877" s="157">
        <v>1</v>
      </c>
      <c r="M877" s="157">
        <v>60</v>
      </c>
      <c r="N877" s="159" t="s">
        <v>34</v>
      </c>
    </row>
    <row r="878" spans="1:14" ht="15.75" thickBot="1" x14ac:dyDescent="0.3">
      <c r="A878" t="s">
        <v>180</v>
      </c>
      <c r="B878" s="153" t="s">
        <v>1327</v>
      </c>
      <c r="C878" s="12"/>
      <c r="D878" s="156">
        <v>342586</v>
      </c>
      <c r="E878" s="157">
        <f>VLOOKUP(D878,'[1]Task list &amp; Maintenace plan'!$B:$G,6,FALSE)</f>
        <v>591</v>
      </c>
      <c r="F878" s="157" t="s">
        <v>1335</v>
      </c>
      <c r="G878" s="158" t="s">
        <v>1336</v>
      </c>
      <c r="H878" s="158" t="s">
        <v>1337</v>
      </c>
      <c r="I878" s="157">
        <v>30</v>
      </c>
      <c r="J878" s="157">
        <v>1</v>
      </c>
      <c r="K878" s="157">
        <v>45</v>
      </c>
      <c r="L878" s="157">
        <v>1</v>
      </c>
      <c r="M878" s="157">
        <v>45</v>
      </c>
      <c r="N878" s="159" t="s">
        <v>117</v>
      </c>
    </row>
    <row r="879" spans="1:14" ht="15.75" thickBot="1" x14ac:dyDescent="0.3">
      <c r="A879" t="s">
        <v>180</v>
      </c>
      <c r="B879" s="153" t="s">
        <v>1327</v>
      </c>
      <c r="C879" s="12"/>
      <c r="D879" s="100">
        <v>610000004153</v>
      </c>
      <c r="E879" s="101">
        <f>VLOOKUP(D879,'[1]Task list &amp; Maintenace plan'!$B:$G,6,FALSE)</f>
        <v>100587</v>
      </c>
      <c r="F879" s="101" t="s">
        <v>1338</v>
      </c>
      <c r="G879" s="102" t="s">
        <v>1339</v>
      </c>
      <c r="H879" s="102" t="s">
        <v>1340</v>
      </c>
      <c r="I879" s="101">
        <v>60</v>
      </c>
      <c r="J879" s="101">
        <v>1</v>
      </c>
      <c r="K879" s="710">
        <v>120</v>
      </c>
      <c r="L879" s="710">
        <v>1</v>
      </c>
      <c r="M879" s="710">
        <v>120</v>
      </c>
      <c r="N879" s="712" t="s">
        <v>34</v>
      </c>
    </row>
    <row r="880" spans="1:14" ht="15.75" thickBot="1" x14ac:dyDescent="0.3">
      <c r="A880" t="s">
        <v>180</v>
      </c>
      <c r="B880" s="153" t="s">
        <v>1327</v>
      </c>
      <c r="C880" s="12"/>
      <c r="D880" s="123">
        <v>610000004153</v>
      </c>
      <c r="E880" s="124">
        <f>VLOOKUP(D880,'[1]Task list &amp; Maintenace plan'!$B:$G,6,FALSE)</f>
        <v>100587</v>
      </c>
      <c r="F880" s="124" t="s">
        <v>1338</v>
      </c>
      <c r="G880" s="107" t="s">
        <v>1342</v>
      </c>
      <c r="H880" s="107" t="s">
        <v>1343</v>
      </c>
      <c r="I880" s="124">
        <v>60</v>
      </c>
      <c r="J880" s="124">
        <v>1</v>
      </c>
      <c r="K880" s="705"/>
      <c r="L880" s="705"/>
      <c r="M880" s="705"/>
      <c r="N880" s="708"/>
    </row>
    <row r="881" spans="1:14" ht="15.75" thickBot="1" x14ac:dyDescent="0.3">
      <c r="A881" t="s">
        <v>180</v>
      </c>
      <c r="B881" s="153" t="s">
        <v>1327</v>
      </c>
      <c r="C881" s="12"/>
      <c r="D881" s="123">
        <v>610000004153</v>
      </c>
      <c r="E881" s="124">
        <f>VLOOKUP(D881,'[1]Task list &amp; Maintenace plan'!$B:$G,6,FALSE)</f>
        <v>100587</v>
      </c>
      <c r="F881" s="124" t="s">
        <v>1338</v>
      </c>
      <c r="G881" s="107" t="s">
        <v>1345</v>
      </c>
      <c r="H881" s="107" t="s">
        <v>1346</v>
      </c>
      <c r="I881" s="124">
        <v>60</v>
      </c>
      <c r="J881" s="124">
        <v>1</v>
      </c>
      <c r="K881" s="705"/>
      <c r="L881" s="705"/>
      <c r="M881" s="705"/>
      <c r="N881" s="708"/>
    </row>
    <row r="882" spans="1:14" ht="15.75" thickBot="1" x14ac:dyDescent="0.3">
      <c r="A882" t="s">
        <v>180</v>
      </c>
      <c r="B882" s="153" t="s">
        <v>1327</v>
      </c>
      <c r="C882" s="12"/>
      <c r="D882" s="123">
        <v>610000004153</v>
      </c>
      <c r="E882" s="124">
        <f>VLOOKUP(D882,'[1]Task list &amp; Maintenace plan'!$B:$G,6,FALSE)</f>
        <v>100587</v>
      </c>
      <c r="F882" s="124" t="s">
        <v>1338</v>
      </c>
      <c r="G882" s="180" t="s">
        <v>1347</v>
      </c>
      <c r="H882" s="180" t="s">
        <v>1348</v>
      </c>
      <c r="I882" s="181">
        <v>60</v>
      </c>
      <c r="J882" s="181">
        <v>1</v>
      </c>
      <c r="K882" s="705"/>
      <c r="L882" s="705"/>
      <c r="M882" s="705"/>
      <c r="N882" s="708"/>
    </row>
    <row r="883" spans="1:14" ht="15.75" thickBot="1" x14ac:dyDescent="0.3">
      <c r="A883" t="s">
        <v>180</v>
      </c>
      <c r="B883" s="153" t="s">
        <v>1327</v>
      </c>
      <c r="C883" s="12"/>
      <c r="D883" s="123">
        <v>610000004153</v>
      </c>
      <c r="E883" s="124">
        <f>VLOOKUP(D883,'[1]Task list &amp; Maintenace plan'!$B:$G,6,FALSE)</f>
        <v>100587</v>
      </c>
      <c r="F883" s="124" t="s">
        <v>1338</v>
      </c>
      <c r="G883" s="180" t="s">
        <v>1349</v>
      </c>
      <c r="H883" s="180" t="s">
        <v>1350</v>
      </c>
      <c r="I883" s="181">
        <v>60</v>
      </c>
      <c r="J883" s="181">
        <v>1</v>
      </c>
      <c r="K883" s="705"/>
      <c r="L883" s="705"/>
      <c r="M883" s="705"/>
      <c r="N883" s="708"/>
    </row>
    <row r="884" spans="1:14" ht="15.75" thickBot="1" x14ac:dyDescent="0.3">
      <c r="A884" t="s">
        <v>180</v>
      </c>
      <c r="B884" s="153" t="s">
        <v>1327</v>
      </c>
      <c r="C884" s="12"/>
      <c r="D884" s="123">
        <v>610000004153</v>
      </c>
      <c r="E884" s="124">
        <f>VLOOKUP(D884,'[1]Task list &amp; Maintenace plan'!$B:$G,6,FALSE)</f>
        <v>100587</v>
      </c>
      <c r="F884" s="124" t="s">
        <v>1338</v>
      </c>
      <c r="G884" s="180" t="s">
        <v>1351</v>
      </c>
      <c r="H884" s="180" t="s">
        <v>1352</v>
      </c>
      <c r="I884" s="181">
        <v>60</v>
      </c>
      <c r="J884" s="181">
        <v>1</v>
      </c>
      <c r="K884" s="705"/>
      <c r="L884" s="705"/>
      <c r="M884" s="705"/>
      <c r="N884" s="708"/>
    </row>
    <row r="885" spans="1:14" ht="15.75" thickBot="1" x14ac:dyDescent="0.3">
      <c r="A885" t="s">
        <v>180</v>
      </c>
      <c r="B885" s="153" t="s">
        <v>1327</v>
      </c>
      <c r="C885" s="12"/>
      <c r="D885" s="123">
        <v>610000004153</v>
      </c>
      <c r="E885" s="124">
        <f>VLOOKUP(D885,'[1]Task list &amp; Maintenace plan'!$B:$G,6,FALSE)</f>
        <v>100587</v>
      </c>
      <c r="F885" s="124" t="s">
        <v>1338</v>
      </c>
      <c r="G885" s="180" t="s">
        <v>1341</v>
      </c>
      <c r="H885" s="180" t="s">
        <v>1353</v>
      </c>
      <c r="I885" s="181">
        <v>60</v>
      </c>
      <c r="J885" s="181">
        <v>1</v>
      </c>
      <c r="K885" s="705"/>
      <c r="L885" s="705"/>
      <c r="M885" s="705"/>
      <c r="N885" s="708"/>
    </row>
    <row r="886" spans="1:14" ht="15.75" thickBot="1" x14ac:dyDescent="0.3">
      <c r="A886" t="s">
        <v>180</v>
      </c>
      <c r="B886" s="153" t="s">
        <v>1327</v>
      </c>
      <c r="C886" s="12"/>
      <c r="D886" s="17">
        <v>610000004153</v>
      </c>
      <c r="E886" s="18">
        <f>VLOOKUP(D886,'[1]Task list &amp; Maintenace plan'!$B:$G,6,FALSE)</f>
        <v>100587</v>
      </c>
      <c r="F886" s="18" t="s">
        <v>1338</v>
      </c>
      <c r="G886" s="19" t="s">
        <v>1354</v>
      </c>
      <c r="H886" s="19" t="s">
        <v>1355</v>
      </c>
      <c r="I886" s="18">
        <v>60</v>
      </c>
      <c r="J886" s="18">
        <v>1</v>
      </c>
      <c r="K886" s="705"/>
      <c r="L886" s="705"/>
      <c r="M886" s="705"/>
      <c r="N886" s="708"/>
    </row>
    <row r="887" spans="1:14" ht="15.75" thickBot="1" x14ac:dyDescent="0.3">
      <c r="A887" t="s">
        <v>180</v>
      </c>
      <c r="B887" s="153" t="s">
        <v>1327</v>
      </c>
      <c r="C887" s="12"/>
      <c r="D887" s="17">
        <v>610000004153</v>
      </c>
      <c r="E887" s="39">
        <f>VLOOKUP(D887,'[1]Task list &amp; Maintenace plan'!$B:$G,6,FALSE)</f>
        <v>100587</v>
      </c>
      <c r="F887" s="39" t="s">
        <v>1338</v>
      </c>
      <c r="G887" s="19" t="s">
        <v>1336</v>
      </c>
      <c r="H887" s="19" t="s">
        <v>1356</v>
      </c>
      <c r="I887" s="18">
        <v>60</v>
      </c>
      <c r="J887" s="18">
        <v>1</v>
      </c>
      <c r="K887" s="705"/>
      <c r="L887" s="705"/>
      <c r="M887" s="705"/>
      <c r="N887" s="708"/>
    </row>
    <row r="888" spans="1:14" ht="15.75" thickBot="1" x14ac:dyDescent="0.3">
      <c r="A888" t="s">
        <v>180</v>
      </c>
      <c r="B888" s="153" t="s">
        <v>1327</v>
      </c>
      <c r="C888" s="12"/>
      <c r="D888" s="22">
        <v>610000004153</v>
      </c>
      <c r="E888" s="23">
        <f>VLOOKUP(D888,'[1]Task list &amp; Maintenace plan'!$B:$G,6,FALSE)</f>
        <v>100587</v>
      </c>
      <c r="F888" s="23" t="s">
        <v>1338</v>
      </c>
      <c r="G888" s="24" t="s">
        <v>1357</v>
      </c>
      <c r="H888" s="24" t="s">
        <v>1358</v>
      </c>
      <c r="I888" s="23">
        <v>60</v>
      </c>
      <c r="J888" s="23">
        <v>1</v>
      </c>
      <c r="K888" s="706"/>
      <c r="L888" s="706"/>
      <c r="M888" s="706"/>
      <c r="N888" s="709"/>
    </row>
    <row r="889" spans="1:14" ht="15.75" thickBot="1" x14ac:dyDescent="0.3">
      <c r="A889" t="s">
        <v>180</v>
      </c>
      <c r="B889" s="153" t="s">
        <v>1327</v>
      </c>
      <c r="C889" s="12"/>
      <c r="D889" s="100">
        <v>610000004156</v>
      </c>
      <c r="E889" s="101">
        <f>VLOOKUP(D889,'[1]Task list &amp; Maintenace plan'!$B:$G,6,FALSE)</f>
        <v>100590</v>
      </c>
      <c r="F889" s="101" t="s">
        <v>1359</v>
      </c>
      <c r="G889" s="178" t="s">
        <v>1341</v>
      </c>
      <c r="H889" s="178" t="s">
        <v>1360</v>
      </c>
      <c r="I889" s="179">
        <v>90</v>
      </c>
      <c r="J889" s="179"/>
      <c r="K889" s="716">
        <v>60</v>
      </c>
      <c r="L889" s="716">
        <v>1</v>
      </c>
      <c r="M889" s="716">
        <v>60</v>
      </c>
      <c r="N889" s="719" t="s">
        <v>20</v>
      </c>
    </row>
    <row r="890" spans="1:14" ht="15.75" thickBot="1" x14ac:dyDescent="0.3">
      <c r="A890" t="s">
        <v>180</v>
      </c>
      <c r="B890" s="153" t="s">
        <v>1327</v>
      </c>
      <c r="C890" s="12"/>
      <c r="D890" s="123">
        <v>610000004156</v>
      </c>
      <c r="E890" s="124">
        <f>VLOOKUP(D890,'[1]Task list &amp; Maintenace plan'!$B:$G,6,FALSE)</f>
        <v>100590</v>
      </c>
      <c r="F890" s="124" t="s">
        <v>1359</v>
      </c>
      <c r="G890" s="180" t="s">
        <v>1351</v>
      </c>
      <c r="H890" s="180" t="s">
        <v>1361</v>
      </c>
      <c r="I890" s="181">
        <v>90</v>
      </c>
      <c r="J890" s="181"/>
      <c r="K890" s="717"/>
      <c r="L890" s="717"/>
      <c r="M890" s="717"/>
      <c r="N890" s="720"/>
    </row>
    <row r="891" spans="1:14" ht="15.75" thickBot="1" x14ac:dyDescent="0.3">
      <c r="A891" t="s">
        <v>180</v>
      </c>
      <c r="B891" s="153" t="s">
        <v>1327</v>
      </c>
      <c r="C891" s="12"/>
      <c r="D891" s="123">
        <v>610000004156</v>
      </c>
      <c r="E891" s="124">
        <f>VLOOKUP(D891,'[1]Task list &amp; Maintenace plan'!$B:$G,6,FALSE)</f>
        <v>100590</v>
      </c>
      <c r="F891" s="124" t="s">
        <v>1359</v>
      </c>
      <c r="G891" s="180" t="s">
        <v>1339</v>
      </c>
      <c r="H891" s="180" t="s">
        <v>1362</v>
      </c>
      <c r="I891" s="181">
        <v>90</v>
      </c>
      <c r="J891" s="181"/>
      <c r="K891" s="717"/>
      <c r="L891" s="717"/>
      <c r="M891" s="717"/>
      <c r="N891" s="720"/>
    </row>
    <row r="892" spans="1:14" ht="15.75" thickBot="1" x14ac:dyDescent="0.3">
      <c r="A892" t="s">
        <v>180</v>
      </c>
      <c r="B892" s="153" t="s">
        <v>1327</v>
      </c>
      <c r="C892" s="12"/>
      <c r="D892" s="123">
        <v>610000004156</v>
      </c>
      <c r="E892" s="124">
        <f>VLOOKUP(D892,'[1]Task list &amp; Maintenace plan'!$B:$G,6,FALSE)</f>
        <v>100590</v>
      </c>
      <c r="F892" s="124" t="s">
        <v>1359</v>
      </c>
      <c r="G892" s="180" t="s">
        <v>1342</v>
      </c>
      <c r="H892" s="180" t="s">
        <v>1364</v>
      </c>
      <c r="I892" s="181">
        <v>90</v>
      </c>
      <c r="J892" s="181"/>
      <c r="K892" s="717"/>
      <c r="L892" s="717"/>
      <c r="M892" s="717"/>
      <c r="N892" s="720"/>
    </row>
    <row r="893" spans="1:14" ht="15.75" thickBot="1" x14ac:dyDescent="0.3">
      <c r="A893" t="s">
        <v>180</v>
      </c>
      <c r="B893" s="153" t="s">
        <v>1327</v>
      </c>
      <c r="C893" s="12"/>
      <c r="D893" s="123">
        <v>610000004156</v>
      </c>
      <c r="E893" s="124">
        <f>VLOOKUP(D893,'[1]Task list &amp; Maintenace plan'!$B:$G,6,FALSE)</f>
        <v>100590</v>
      </c>
      <c r="F893" s="124" t="s">
        <v>1359</v>
      </c>
      <c r="G893" s="180" t="s">
        <v>1345</v>
      </c>
      <c r="H893" s="180" t="s">
        <v>1365</v>
      </c>
      <c r="I893" s="181">
        <v>90</v>
      </c>
      <c r="J893" s="181"/>
      <c r="K893" s="717"/>
      <c r="L893" s="717"/>
      <c r="M893" s="717"/>
      <c r="N893" s="720"/>
    </row>
    <row r="894" spans="1:14" ht="15.75" thickBot="1" x14ac:dyDescent="0.3">
      <c r="A894" t="s">
        <v>180</v>
      </c>
      <c r="B894" s="153" t="s">
        <v>1327</v>
      </c>
      <c r="C894" s="12"/>
      <c r="D894" s="123">
        <v>610000004156</v>
      </c>
      <c r="E894" s="124">
        <f>VLOOKUP(D894,'[1]Task list &amp; Maintenace plan'!$B:$G,6,FALSE)</f>
        <v>100590</v>
      </c>
      <c r="F894" s="124" t="s">
        <v>1359</v>
      </c>
      <c r="G894" s="180" t="s">
        <v>1347</v>
      </c>
      <c r="H894" s="180" t="s">
        <v>1366</v>
      </c>
      <c r="I894" s="181">
        <v>90</v>
      </c>
      <c r="J894" s="181"/>
      <c r="K894" s="717"/>
      <c r="L894" s="717"/>
      <c r="M894" s="717"/>
      <c r="N894" s="720"/>
    </row>
    <row r="895" spans="1:14" ht="15.75" thickBot="1" x14ac:dyDescent="0.3">
      <c r="A895" t="s">
        <v>180</v>
      </c>
      <c r="B895" s="153" t="s">
        <v>1327</v>
      </c>
      <c r="C895" s="12"/>
      <c r="D895" s="123">
        <v>610000004156</v>
      </c>
      <c r="E895" s="124">
        <f>VLOOKUP(D895,'[1]Task list &amp; Maintenace plan'!$B:$G,6,FALSE)</f>
        <v>100590</v>
      </c>
      <c r="F895" s="124" t="s">
        <v>1359</v>
      </c>
      <c r="G895" s="180" t="s">
        <v>1349</v>
      </c>
      <c r="H895" s="180" t="s">
        <v>1367</v>
      </c>
      <c r="I895" s="181">
        <v>90</v>
      </c>
      <c r="J895" s="181"/>
      <c r="K895" s="717"/>
      <c r="L895" s="717"/>
      <c r="M895" s="717"/>
      <c r="N895" s="720"/>
    </row>
    <row r="896" spans="1:14" ht="15.75" thickBot="1" x14ac:dyDescent="0.3">
      <c r="A896" t="s">
        <v>180</v>
      </c>
      <c r="B896" s="153" t="s">
        <v>1327</v>
      </c>
      <c r="C896" s="12"/>
      <c r="D896" s="123">
        <v>610000004156</v>
      </c>
      <c r="E896" s="18">
        <f>VLOOKUP(D896,'[1]Task list &amp; Maintenace plan'!$B:$G,6,FALSE)</f>
        <v>100590</v>
      </c>
      <c r="F896" s="18" t="s">
        <v>1359</v>
      </c>
      <c r="G896" s="19" t="s">
        <v>1354</v>
      </c>
      <c r="H896" s="19" t="s">
        <v>1368</v>
      </c>
      <c r="I896" s="18">
        <v>90</v>
      </c>
      <c r="J896" s="18"/>
      <c r="K896" s="717"/>
      <c r="L896" s="717"/>
      <c r="M896" s="717"/>
      <c r="N896" s="720"/>
    </row>
    <row r="897" spans="1:14" ht="15.75" thickBot="1" x14ac:dyDescent="0.3">
      <c r="A897" t="s">
        <v>180</v>
      </c>
      <c r="B897" s="153" t="s">
        <v>1327</v>
      </c>
      <c r="C897" s="12"/>
      <c r="D897" s="123">
        <v>610000004156</v>
      </c>
      <c r="E897" s="18">
        <f>VLOOKUP(D897,'[1]Task list &amp; Maintenace plan'!$B:$G,6,FALSE)</f>
        <v>100590</v>
      </c>
      <c r="F897" s="18" t="s">
        <v>1359</v>
      </c>
      <c r="G897" s="19" t="s">
        <v>1336</v>
      </c>
      <c r="H897" s="19" t="s">
        <v>1369</v>
      </c>
      <c r="I897" s="18">
        <v>90</v>
      </c>
      <c r="J897" s="18"/>
      <c r="K897" s="717"/>
      <c r="L897" s="717"/>
      <c r="M897" s="717"/>
      <c r="N897" s="720"/>
    </row>
    <row r="898" spans="1:14" ht="15.75" thickBot="1" x14ac:dyDescent="0.3">
      <c r="A898" t="s">
        <v>180</v>
      </c>
      <c r="B898" s="153" t="s">
        <v>1327</v>
      </c>
      <c r="C898" s="12"/>
      <c r="D898" s="123">
        <v>610000004156</v>
      </c>
      <c r="E898" s="18">
        <f>VLOOKUP(D898,'[1]Task list &amp; Maintenace plan'!$B:$G,6,FALSE)</f>
        <v>100590</v>
      </c>
      <c r="F898" s="18" t="s">
        <v>1359</v>
      </c>
      <c r="G898" s="19" t="s">
        <v>1370</v>
      </c>
      <c r="H898" s="19" t="s">
        <v>1371</v>
      </c>
      <c r="I898" s="18">
        <v>90</v>
      </c>
      <c r="J898" s="18"/>
      <c r="K898" s="717"/>
      <c r="L898" s="717"/>
      <c r="M898" s="717"/>
      <c r="N898" s="720"/>
    </row>
    <row r="899" spans="1:14" ht="15.75" thickBot="1" x14ac:dyDescent="0.3">
      <c r="A899" t="s">
        <v>180</v>
      </c>
      <c r="B899" s="153" t="s">
        <v>1327</v>
      </c>
      <c r="C899" s="12"/>
      <c r="D899" s="123">
        <v>610000004156</v>
      </c>
      <c r="E899" s="18">
        <f>VLOOKUP(D899,'[1]Task list &amp; Maintenace plan'!$B:$G,6,FALSE)</f>
        <v>100590</v>
      </c>
      <c r="F899" s="18" t="s">
        <v>1359</v>
      </c>
      <c r="G899" s="19" t="s">
        <v>1341</v>
      </c>
      <c r="H899" s="19" t="s">
        <v>1372</v>
      </c>
      <c r="I899" s="18">
        <v>90</v>
      </c>
      <c r="J899" s="18"/>
      <c r="K899" s="717"/>
      <c r="L899" s="717"/>
      <c r="M899" s="717"/>
      <c r="N899" s="720"/>
    </row>
    <row r="900" spans="1:14" ht="15.75" thickBot="1" x14ac:dyDescent="0.3">
      <c r="A900" t="s">
        <v>180</v>
      </c>
      <c r="B900" s="153" t="s">
        <v>1327</v>
      </c>
      <c r="C900" s="12"/>
      <c r="D900" s="123">
        <v>610000004156</v>
      </c>
      <c r="E900" s="18">
        <f>VLOOKUP(D900,'[1]Task list &amp; Maintenace plan'!$B:$G,6,FALSE)</f>
        <v>100590</v>
      </c>
      <c r="F900" s="18" t="s">
        <v>1359</v>
      </c>
      <c r="G900" s="19" t="s">
        <v>1351</v>
      </c>
      <c r="H900" s="19" t="s">
        <v>1373</v>
      </c>
      <c r="I900" s="18">
        <v>90</v>
      </c>
      <c r="J900" s="18"/>
      <c r="K900" s="717"/>
      <c r="L900" s="717"/>
      <c r="M900" s="717"/>
      <c r="N900" s="720"/>
    </row>
    <row r="901" spans="1:14" ht="15.75" thickBot="1" x14ac:dyDescent="0.3">
      <c r="A901" t="s">
        <v>180</v>
      </c>
      <c r="B901" s="153" t="s">
        <v>1327</v>
      </c>
      <c r="C901" s="12"/>
      <c r="D901" s="123">
        <v>610000004156</v>
      </c>
      <c r="E901" s="18">
        <f>VLOOKUP(D901,'[1]Task list &amp; Maintenace plan'!$B:$G,6,FALSE)</f>
        <v>100590</v>
      </c>
      <c r="F901" s="18" t="s">
        <v>1359</v>
      </c>
      <c r="G901" s="19" t="s">
        <v>1339</v>
      </c>
      <c r="H901" s="19" t="s">
        <v>1374</v>
      </c>
      <c r="I901" s="18">
        <v>90</v>
      </c>
      <c r="J901" s="18"/>
      <c r="K901" s="717"/>
      <c r="L901" s="717"/>
      <c r="M901" s="717"/>
      <c r="N901" s="720"/>
    </row>
    <row r="902" spans="1:14" ht="15.75" thickBot="1" x14ac:dyDescent="0.3">
      <c r="A902" t="s">
        <v>180</v>
      </c>
      <c r="B902" s="153" t="s">
        <v>1327</v>
      </c>
      <c r="C902" s="12"/>
      <c r="D902" s="123">
        <v>610000004156</v>
      </c>
      <c r="E902" s="18">
        <f>VLOOKUP(D902,'[1]Task list &amp; Maintenace plan'!$B:$G,6,FALSE)</f>
        <v>100590</v>
      </c>
      <c r="F902" s="18" t="s">
        <v>1359</v>
      </c>
      <c r="G902" s="19" t="s">
        <v>1342</v>
      </c>
      <c r="H902" s="19" t="s">
        <v>1375</v>
      </c>
      <c r="I902" s="18">
        <v>90</v>
      </c>
      <c r="J902" s="18"/>
      <c r="K902" s="717"/>
      <c r="L902" s="717"/>
      <c r="M902" s="717"/>
      <c r="N902" s="720"/>
    </row>
    <row r="903" spans="1:14" ht="15.75" thickBot="1" x14ac:dyDescent="0.3">
      <c r="A903" t="s">
        <v>180</v>
      </c>
      <c r="B903" s="153" t="s">
        <v>1327</v>
      </c>
      <c r="C903" s="12"/>
      <c r="D903" s="123">
        <v>610000004156</v>
      </c>
      <c r="E903" s="18">
        <f>VLOOKUP(D903,'[1]Task list &amp; Maintenace plan'!$B:$G,6,FALSE)</f>
        <v>100590</v>
      </c>
      <c r="F903" s="18" t="s">
        <v>1359</v>
      </c>
      <c r="G903" s="19" t="s">
        <v>1347</v>
      </c>
      <c r="H903" s="19" t="s">
        <v>1376</v>
      </c>
      <c r="I903" s="18">
        <v>90</v>
      </c>
      <c r="J903" s="18"/>
      <c r="K903" s="717"/>
      <c r="L903" s="717"/>
      <c r="M903" s="717"/>
      <c r="N903" s="720"/>
    </row>
    <row r="904" spans="1:14" ht="15.75" thickBot="1" x14ac:dyDescent="0.3">
      <c r="A904" t="s">
        <v>180</v>
      </c>
      <c r="B904" s="153" t="s">
        <v>1327</v>
      </c>
      <c r="C904" s="12"/>
      <c r="D904" s="123">
        <v>610000004156</v>
      </c>
      <c r="E904" s="39">
        <f>VLOOKUP(D904,'[1]Task list &amp; Maintenace plan'!$B:$G,6,FALSE)</f>
        <v>100590</v>
      </c>
      <c r="F904" s="39" t="s">
        <v>1359</v>
      </c>
      <c r="G904" s="40" t="s">
        <v>1349</v>
      </c>
      <c r="H904" s="40" t="s">
        <v>1377</v>
      </c>
      <c r="I904" s="39">
        <v>90</v>
      </c>
      <c r="J904" s="39"/>
      <c r="K904" s="717"/>
      <c r="L904" s="717"/>
      <c r="M904" s="717"/>
      <c r="N904" s="720"/>
    </row>
    <row r="905" spans="1:14" ht="15.75" thickBot="1" x14ac:dyDescent="0.3">
      <c r="A905" t="s">
        <v>180</v>
      </c>
      <c r="B905" s="153" t="s">
        <v>1327</v>
      </c>
      <c r="C905" s="12"/>
      <c r="D905" s="123">
        <v>610000004156</v>
      </c>
      <c r="E905" s="18">
        <f>VLOOKUP(D905,'[1]Task list &amp; Maintenace plan'!$B:$G,6,FALSE)</f>
        <v>100590</v>
      </c>
      <c r="F905" s="18" t="s">
        <v>1359</v>
      </c>
      <c r="G905" s="19" t="s">
        <v>1354</v>
      </c>
      <c r="H905" s="19" t="s">
        <v>1378</v>
      </c>
      <c r="I905" s="18">
        <v>90</v>
      </c>
      <c r="J905" s="18"/>
      <c r="K905" s="717"/>
      <c r="L905" s="717"/>
      <c r="M905" s="717"/>
      <c r="N905" s="720"/>
    </row>
    <row r="906" spans="1:14" ht="15.75" thickBot="1" x14ac:dyDescent="0.3">
      <c r="A906" t="s">
        <v>180</v>
      </c>
      <c r="B906" s="153" t="s">
        <v>1327</v>
      </c>
      <c r="C906" s="12"/>
      <c r="D906" s="123">
        <v>610000004156</v>
      </c>
      <c r="E906" s="18">
        <f>VLOOKUP(D906,'[1]Task list &amp; Maintenace plan'!$B:$G,6,FALSE)</f>
        <v>100590</v>
      </c>
      <c r="F906" s="18" t="s">
        <v>1359</v>
      </c>
      <c r="G906" s="19" t="s">
        <v>1336</v>
      </c>
      <c r="H906" s="19" t="s">
        <v>1379</v>
      </c>
      <c r="I906" s="18">
        <v>90</v>
      </c>
      <c r="J906" s="18"/>
      <c r="K906" s="717"/>
      <c r="L906" s="717"/>
      <c r="M906" s="717"/>
      <c r="N906" s="720"/>
    </row>
    <row r="907" spans="1:14" ht="15.75" thickBot="1" x14ac:dyDescent="0.3">
      <c r="A907" t="s">
        <v>180</v>
      </c>
      <c r="B907" s="153" t="s">
        <v>1327</v>
      </c>
      <c r="C907" s="12"/>
      <c r="D907" s="123">
        <v>610000004156</v>
      </c>
      <c r="E907" s="18">
        <f>VLOOKUP(D907,'[1]Task list &amp; Maintenace plan'!$B:$G,6,FALSE)</f>
        <v>100590</v>
      </c>
      <c r="F907" s="18" t="s">
        <v>1359</v>
      </c>
      <c r="G907" s="19" t="s">
        <v>1370</v>
      </c>
      <c r="H907" s="19" t="s">
        <v>1380</v>
      </c>
      <c r="I907" s="18">
        <v>90</v>
      </c>
      <c r="J907" s="18"/>
      <c r="K907" s="717"/>
      <c r="L907" s="717"/>
      <c r="M907" s="717"/>
      <c r="N907" s="720"/>
    </row>
    <row r="908" spans="1:14" ht="15.75" thickBot="1" x14ac:dyDescent="0.3">
      <c r="A908" t="s">
        <v>180</v>
      </c>
      <c r="B908" s="153" t="s">
        <v>1327</v>
      </c>
      <c r="C908" s="12"/>
      <c r="D908" s="160">
        <v>610000004156</v>
      </c>
      <c r="E908" s="45">
        <f>VLOOKUP(D908,'[1]Task list &amp; Maintenace plan'!$B:$G,6,FALSE)</f>
        <v>100590</v>
      </c>
      <c r="F908" s="45" t="s">
        <v>1359</v>
      </c>
      <c r="G908" s="46" t="s">
        <v>1345</v>
      </c>
      <c r="H908" s="46" t="s">
        <v>1381</v>
      </c>
      <c r="I908" s="45">
        <v>90</v>
      </c>
      <c r="J908" s="45"/>
      <c r="K908" s="718"/>
      <c r="L908" s="718"/>
      <c r="M908" s="718"/>
      <c r="N908" s="721"/>
    </row>
    <row r="909" spans="1:14" ht="15.75" thickBot="1" x14ac:dyDescent="0.3">
      <c r="A909" t="s">
        <v>180</v>
      </c>
      <c r="B909" s="153" t="s">
        <v>1327</v>
      </c>
      <c r="C909" s="12"/>
      <c r="D909" s="36">
        <v>343826</v>
      </c>
      <c r="E909" s="45">
        <f>VLOOKUP(D909,'[1]Task list &amp; Maintenace plan'!$B:$G,6,FALSE)</f>
        <v>751</v>
      </c>
      <c r="F909" s="45" t="s">
        <v>1382</v>
      </c>
      <c r="G909" s="46" t="s">
        <v>1344</v>
      </c>
      <c r="H909" s="46" t="s">
        <v>1383</v>
      </c>
      <c r="I909" s="45">
        <v>180</v>
      </c>
      <c r="J909" s="45"/>
      <c r="K909" s="45">
        <v>60</v>
      </c>
      <c r="L909" s="45">
        <v>1</v>
      </c>
      <c r="M909" s="45">
        <f>L909*K909</f>
        <v>60</v>
      </c>
      <c r="N909" s="49" t="s">
        <v>20</v>
      </c>
    </row>
    <row r="910" spans="1:14" ht="15.75" thickBot="1" x14ac:dyDescent="0.3">
      <c r="A910" t="s">
        <v>180</v>
      </c>
      <c r="B910" s="153" t="s">
        <v>1327</v>
      </c>
      <c r="C910" s="12"/>
      <c r="D910" s="6">
        <v>342730</v>
      </c>
      <c r="E910" s="7">
        <f>VLOOKUP(D910,'[1]Task list &amp; Maintenace plan'!$B:$G,6,FALSE)</f>
        <v>638</v>
      </c>
      <c r="F910" s="7" t="s">
        <v>1384</v>
      </c>
      <c r="G910" s="8" t="s">
        <v>1331</v>
      </c>
      <c r="H910" s="8" t="s">
        <v>465</v>
      </c>
      <c r="I910" s="7">
        <v>180</v>
      </c>
      <c r="J910" s="7">
        <v>1</v>
      </c>
      <c r="K910" s="7">
        <v>60</v>
      </c>
      <c r="L910" s="7">
        <v>1</v>
      </c>
      <c r="M910" s="45">
        <f t="shared" ref="M910:M914" si="0">L910*K910</f>
        <v>60</v>
      </c>
      <c r="N910" s="49" t="s">
        <v>34</v>
      </c>
    </row>
    <row r="911" spans="1:14" ht="15.75" thickBot="1" x14ac:dyDescent="0.3">
      <c r="A911" t="s">
        <v>180</v>
      </c>
      <c r="B911" s="153" t="s">
        <v>1327</v>
      </c>
      <c r="C911" s="12"/>
      <c r="D911" s="33">
        <v>343914</v>
      </c>
      <c r="E911" s="34">
        <f>VLOOKUP(D911,'[1]Task list &amp; Maintenace plan'!$B:$G,6,FALSE)</f>
        <v>775</v>
      </c>
      <c r="F911" s="34" t="s">
        <v>1385</v>
      </c>
      <c r="G911" s="26" t="s">
        <v>1329</v>
      </c>
      <c r="H911" s="26" t="s">
        <v>1386</v>
      </c>
      <c r="I911" s="34">
        <v>180</v>
      </c>
      <c r="J911" s="34">
        <v>1</v>
      </c>
      <c r="K911" s="34">
        <v>60</v>
      </c>
      <c r="L911" s="34">
        <v>1</v>
      </c>
      <c r="M911" s="45">
        <f t="shared" si="0"/>
        <v>60</v>
      </c>
      <c r="N911" s="49" t="s">
        <v>34</v>
      </c>
    </row>
    <row r="912" spans="1:14" ht="15.75" thickBot="1" x14ac:dyDescent="0.3">
      <c r="A912" t="s">
        <v>180</v>
      </c>
      <c r="B912" s="153" t="s">
        <v>1327</v>
      </c>
      <c r="C912" s="12"/>
      <c r="D912" s="32">
        <v>356774</v>
      </c>
      <c r="E912" s="270">
        <f>VLOOKUP(D912,'[1]Task list &amp; Maintenace plan'!$B:$G,6,FALSE)</f>
        <v>1997</v>
      </c>
      <c r="F912" s="270" t="s">
        <v>1384</v>
      </c>
      <c r="G912" s="289" t="s">
        <v>1333</v>
      </c>
      <c r="H912" s="289" t="s">
        <v>1387</v>
      </c>
      <c r="I912" s="270">
        <v>180</v>
      </c>
      <c r="J912" s="270">
        <v>1</v>
      </c>
      <c r="K912" s="270">
        <v>60</v>
      </c>
      <c r="L912" s="270">
        <v>1</v>
      </c>
      <c r="M912" s="45">
        <f t="shared" si="0"/>
        <v>60</v>
      </c>
      <c r="N912" s="49" t="s">
        <v>20</v>
      </c>
    </row>
    <row r="913" spans="1:14" ht="15.75" thickBot="1" x14ac:dyDescent="0.3">
      <c r="A913" t="s">
        <v>180</v>
      </c>
      <c r="B913" s="153" t="s">
        <v>1327</v>
      </c>
      <c r="C913" s="12"/>
      <c r="D913" s="6">
        <v>342761</v>
      </c>
      <c r="E913" s="7">
        <f>VLOOKUP(D913,'[1]Task list &amp; Maintenace plan'!$B:$G,6,FALSE)</f>
        <v>639</v>
      </c>
      <c r="F913" s="7" t="s">
        <v>1388</v>
      </c>
      <c r="G913" s="8" t="s">
        <v>1331</v>
      </c>
      <c r="H913" s="8" t="s">
        <v>467</v>
      </c>
      <c r="I913" s="7">
        <v>365</v>
      </c>
      <c r="J913" s="7">
        <v>1</v>
      </c>
      <c r="K913" s="7">
        <v>120</v>
      </c>
      <c r="L913" s="7">
        <v>2</v>
      </c>
      <c r="M913" s="45">
        <f t="shared" si="0"/>
        <v>240</v>
      </c>
      <c r="N913" s="49" t="s">
        <v>468</v>
      </c>
    </row>
    <row r="914" spans="1:14" ht="15.75" thickBot="1" x14ac:dyDescent="0.3">
      <c r="A914" t="s">
        <v>180</v>
      </c>
      <c r="B914" s="153" t="s">
        <v>1327</v>
      </c>
      <c r="C914" s="12"/>
      <c r="D914" s="213">
        <v>356726</v>
      </c>
      <c r="E914" s="201">
        <f>VLOOKUP(D914,'[1]Task list &amp; Maintenace plan'!$B:$G,6,FALSE)</f>
        <v>1970</v>
      </c>
      <c r="F914" s="186" t="s">
        <v>1389</v>
      </c>
      <c r="G914" s="67" t="s">
        <v>1333</v>
      </c>
      <c r="H914" s="67" t="s">
        <v>1390</v>
      </c>
      <c r="I914" s="66">
        <v>365</v>
      </c>
      <c r="J914" s="66">
        <v>1</v>
      </c>
      <c r="K914" s="66">
        <v>120</v>
      </c>
      <c r="L914" s="66">
        <v>2</v>
      </c>
      <c r="M914" s="45">
        <f t="shared" si="0"/>
        <v>240</v>
      </c>
      <c r="N914" s="49" t="s">
        <v>34</v>
      </c>
    </row>
    <row r="915" spans="1:14" ht="15.75" thickBot="1" x14ac:dyDescent="0.3">
      <c r="A915" t="s">
        <v>180</v>
      </c>
      <c r="B915" s="153" t="s">
        <v>1391</v>
      </c>
      <c r="C915" s="154"/>
      <c r="D915" s="100">
        <v>610000004161</v>
      </c>
      <c r="E915" s="101">
        <f>VLOOKUP(D915,'[1]Task list &amp; Maintenace plan'!$B:$G,6,FALSE)</f>
        <v>100595</v>
      </c>
      <c r="F915" s="101" t="s">
        <v>1393</v>
      </c>
      <c r="G915" s="102" t="s">
        <v>1394</v>
      </c>
      <c r="H915" s="102" t="s">
        <v>1395</v>
      </c>
      <c r="I915" s="101">
        <v>15</v>
      </c>
      <c r="J915" s="101">
        <v>1</v>
      </c>
      <c r="K915" s="724">
        <v>60</v>
      </c>
      <c r="L915" s="724">
        <v>1</v>
      </c>
      <c r="M915" s="724">
        <v>60</v>
      </c>
      <c r="N915" s="725" t="s">
        <v>34</v>
      </c>
    </row>
    <row r="916" spans="1:14" ht="15.75" thickBot="1" x14ac:dyDescent="0.3">
      <c r="A916" t="s">
        <v>180</v>
      </c>
      <c r="B916" s="153" t="s">
        <v>1391</v>
      </c>
      <c r="C916" s="12"/>
      <c r="D916" s="123">
        <v>610000004161</v>
      </c>
      <c r="E916" s="124">
        <f>VLOOKUP(D916,'[1]Task list &amp; Maintenace plan'!$B:$G,6,FALSE)</f>
        <v>100595</v>
      </c>
      <c r="F916" s="124" t="s">
        <v>1393</v>
      </c>
      <c r="G916" s="107" t="s">
        <v>1397</v>
      </c>
      <c r="H916" s="107" t="s">
        <v>1398</v>
      </c>
      <c r="I916" s="124">
        <v>15</v>
      </c>
      <c r="J916" s="124">
        <v>1</v>
      </c>
      <c r="K916" s="705"/>
      <c r="L916" s="705"/>
      <c r="M916" s="705"/>
      <c r="N916" s="708"/>
    </row>
    <row r="917" spans="1:14" ht="15.75" thickBot="1" x14ac:dyDescent="0.3">
      <c r="A917" t="s">
        <v>180</v>
      </c>
      <c r="B917" s="153" t="s">
        <v>1391</v>
      </c>
      <c r="C917" s="12"/>
      <c r="D917" s="123">
        <v>610000004161</v>
      </c>
      <c r="E917" s="124">
        <f>VLOOKUP(D917,'[1]Task list &amp; Maintenace plan'!$B:$G,6,FALSE)</f>
        <v>100595</v>
      </c>
      <c r="F917" s="124" t="s">
        <v>1393</v>
      </c>
      <c r="G917" s="107" t="s">
        <v>1400</v>
      </c>
      <c r="H917" s="107" t="s">
        <v>1401</v>
      </c>
      <c r="I917" s="124">
        <v>15</v>
      </c>
      <c r="J917" s="124">
        <v>1</v>
      </c>
      <c r="K917" s="705"/>
      <c r="L917" s="705"/>
      <c r="M917" s="705"/>
      <c r="N917" s="708"/>
    </row>
    <row r="918" spans="1:14" ht="15.75" thickBot="1" x14ac:dyDescent="0.3">
      <c r="A918" t="s">
        <v>180</v>
      </c>
      <c r="B918" s="153" t="s">
        <v>1391</v>
      </c>
      <c r="C918" s="12"/>
      <c r="D918" s="103">
        <v>610000004161</v>
      </c>
      <c r="E918" s="85">
        <f>VLOOKUP(D918,'[1]Task list &amp; Maintenace plan'!$B:$G,6,FALSE)</f>
        <v>100595</v>
      </c>
      <c r="F918" s="85" t="s">
        <v>1393</v>
      </c>
      <c r="G918" s="84" t="s">
        <v>1403</v>
      </c>
      <c r="H918" s="84" t="s">
        <v>1404</v>
      </c>
      <c r="I918" s="85">
        <v>15</v>
      </c>
      <c r="J918" s="85">
        <v>1</v>
      </c>
      <c r="K918" s="706"/>
      <c r="L918" s="706"/>
      <c r="M918" s="706"/>
      <c r="N918" s="709"/>
    </row>
    <row r="919" spans="1:14" ht="15.75" thickBot="1" x14ac:dyDescent="0.3">
      <c r="A919" t="s">
        <v>180</v>
      </c>
      <c r="B919" s="153" t="s">
        <v>1391</v>
      </c>
      <c r="C919" s="177"/>
      <c r="D919" s="131"/>
      <c r="E919" s="133" t="e">
        <f>VLOOKUP(D919,'[1]Task list &amp; Maintenace plan'!$B:$G,6,FALSE)</f>
        <v>#N/A</v>
      </c>
      <c r="F919" s="133" t="s">
        <v>1405</v>
      </c>
      <c r="G919" s="287" t="s">
        <v>1406</v>
      </c>
      <c r="H919" s="287" t="s">
        <v>1407</v>
      </c>
      <c r="I919" s="135">
        <v>15</v>
      </c>
      <c r="J919" s="135"/>
      <c r="K919" s="135"/>
      <c r="L919" s="135"/>
      <c r="M919" s="135"/>
      <c r="N919" s="136"/>
    </row>
    <row r="920" spans="1:14" ht="15.75" thickBot="1" x14ac:dyDescent="0.3">
      <c r="A920" t="s">
        <v>180</v>
      </c>
      <c r="B920" s="153" t="s">
        <v>1391</v>
      </c>
      <c r="C920" s="12"/>
      <c r="D920" s="131"/>
      <c r="E920" s="133" t="e">
        <f>VLOOKUP(D920,'[1]Task list &amp; Maintenace plan'!$B:$G,6,FALSE)</f>
        <v>#N/A</v>
      </c>
      <c r="F920" s="133" t="s">
        <v>1405</v>
      </c>
      <c r="G920" s="287" t="s">
        <v>1406</v>
      </c>
      <c r="H920" s="290" t="s">
        <v>1408</v>
      </c>
      <c r="I920" s="127">
        <v>15</v>
      </c>
      <c r="J920" s="127"/>
      <c r="K920" s="127"/>
      <c r="L920" s="127"/>
      <c r="M920" s="127"/>
      <c r="N920" s="217"/>
    </row>
    <row r="921" spans="1:14" ht="15.75" thickBot="1" x14ac:dyDescent="0.3">
      <c r="A921" t="s">
        <v>180</v>
      </c>
      <c r="B921" s="153" t="s">
        <v>1391</v>
      </c>
      <c r="C921" s="12"/>
      <c r="D921" s="131"/>
      <c r="E921" s="133" t="e">
        <f>VLOOKUP(D921,'[1]Task list &amp; Maintenace plan'!$B:$G,6,FALSE)</f>
        <v>#N/A</v>
      </c>
      <c r="F921" s="133" t="s">
        <v>1405</v>
      </c>
      <c r="G921" s="287" t="s">
        <v>1406</v>
      </c>
      <c r="H921" s="290" t="s">
        <v>1409</v>
      </c>
      <c r="I921" s="135">
        <v>180</v>
      </c>
      <c r="J921" s="135"/>
      <c r="K921" s="135"/>
      <c r="L921" s="135"/>
      <c r="M921" s="135"/>
      <c r="N921" s="136"/>
    </row>
    <row r="922" spans="1:14" ht="15.75" thickBot="1" x14ac:dyDescent="0.3">
      <c r="A922" t="s">
        <v>180</v>
      </c>
      <c r="B922" s="153" t="s">
        <v>1391</v>
      </c>
      <c r="C922" s="12"/>
      <c r="D922" s="132"/>
      <c r="E922" s="127" t="e">
        <f>VLOOKUP(D922,'[1]Task list &amp; Maintenace plan'!$B:$G,6,FALSE)</f>
        <v>#N/A</v>
      </c>
      <c r="F922" s="133" t="s">
        <v>1405</v>
      </c>
      <c r="G922" s="216" t="s">
        <v>1406</v>
      </c>
      <c r="H922" s="291" t="s">
        <v>1410</v>
      </c>
      <c r="I922" s="133">
        <v>180</v>
      </c>
      <c r="J922" s="133"/>
      <c r="K922" s="133"/>
      <c r="L922" s="133"/>
      <c r="M922" s="133"/>
      <c r="N922" s="292"/>
    </row>
    <row r="923" spans="1:14" ht="15.75" thickBot="1" x14ac:dyDescent="0.3">
      <c r="A923" t="s">
        <v>180</v>
      </c>
      <c r="B923" s="153" t="s">
        <v>1391</v>
      </c>
      <c r="C923" s="12"/>
      <c r="D923" s="117">
        <v>610000004162</v>
      </c>
      <c r="E923" s="118">
        <f>VLOOKUP(D923,'[1]Task list &amp; Maintenace plan'!$B:$G,6,FALSE)</f>
        <v>100596</v>
      </c>
      <c r="F923" s="118" t="s">
        <v>1411</v>
      </c>
      <c r="G923" s="220" t="s">
        <v>1412</v>
      </c>
      <c r="H923" s="26" t="s">
        <v>1413</v>
      </c>
      <c r="I923" s="221">
        <v>30</v>
      </c>
      <c r="J923" s="221"/>
      <c r="K923" s="716">
        <v>60</v>
      </c>
      <c r="L923" s="716">
        <v>1</v>
      </c>
      <c r="M923" s="716">
        <v>60</v>
      </c>
      <c r="N923" s="719" t="s">
        <v>20</v>
      </c>
    </row>
    <row r="924" spans="1:14" ht="15.75" thickBot="1" x14ac:dyDescent="0.3">
      <c r="A924" t="s">
        <v>180</v>
      </c>
      <c r="B924" s="153" t="s">
        <v>1391</v>
      </c>
      <c r="C924" s="12"/>
      <c r="D924" s="123">
        <v>610000004162</v>
      </c>
      <c r="E924" s="124">
        <f>VLOOKUP(D924,'[1]Task list &amp; Maintenace plan'!$B:$G,6,FALSE)</f>
        <v>100596</v>
      </c>
      <c r="F924" s="124" t="s">
        <v>1411</v>
      </c>
      <c r="G924" s="180" t="s">
        <v>1415</v>
      </c>
      <c r="H924" s="19" t="s">
        <v>1416</v>
      </c>
      <c r="I924" s="181">
        <v>30</v>
      </c>
      <c r="J924" s="181"/>
      <c r="K924" s="717"/>
      <c r="L924" s="717"/>
      <c r="M924" s="717"/>
      <c r="N924" s="720"/>
    </row>
    <row r="925" spans="1:14" ht="15.75" thickBot="1" x14ac:dyDescent="0.3">
      <c r="A925" t="s">
        <v>180</v>
      </c>
      <c r="B925" s="153" t="s">
        <v>1391</v>
      </c>
      <c r="C925" s="12"/>
      <c r="D925" s="123">
        <v>610000004162</v>
      </c>
      <c r="E925" s="124">
        <f>VLOOKUP(D925,'[1]Task list &amp; Maintenace plan'!$B:$G,6,FALSE)</f>
        <v>100596</v>
      </c>
      <c r="F925" s="124" t="s">
        <v>1411</v>
      </c>
      <c r="G925" s="180" t="s">
        <v>1418</v>
      </c>
      <c r="H925" s="19" t="s">
        <v>1419</v>
      </c>
      <c r="I925" s="181">
        <v>30</v>
      </c>
      <c r="J925" s="181"/>
      <c r="K925" s="717"/>
      <c r="L925" s="717"/>
      <c r="M925" s="717"/>
      <c r="N925" s="720"/>
    </row>
    <row r="926" spans="1:14" ht="15.75" thickBot="1" x14ac:dyDescent="0.3">
      <c r="A926" t="s">
        <v>180</v>
      </c>
      <c r="B926" s="153" t="s">
        <v>1391</v>
      </c>
      <c r="C926" s="12"/>
      <c r="D926" s="123">
        <v>610000004162</v>
      </c>
      <c r="E926" s="124">
        <f>VLOOKUP(D926,'[1]Task list &amp; Maintenace plan'!$B:$G,6,FALSE)</f>
        <v>100596</v>
      </c>
      <c r="F926" s="124" t="s">
        <v>1411</v>
      </c>
      <c r="G926" s="180" t="s">
        <v>1421</v>
      </c>
      <c r="H926" s="19" t="s">
        <v>1422</v>
      </c>
      <c r="I926" s="181">
        <v>30</v>
      </c>
      <c r="J926" s="181"/>
      <c r="K926" s="717"/>
      <c r="L926" s="717"/>
      <c r="M926" s="717"/>
      <c r="N926" s="720"/>
    </row>
    <row r="927" spans="1:14" ht="15.75" thickBot="1" x14ac:dyDescent="0.3">
      <c r="A927" t="s">
        <v>180</v>
      </c>
      <c r="B927" s="153" t="s">
        <v>1391</v>
      </c>
      <c r="C927" s="12"/>
      <c r="D927" s="123">
        <v>610000004162</v>
      </c>
      <c r="E927" s="124">
        <f>VLOOKUP(D927,'[1]Task list &amp; Maintenace plan'!$B:$G,6,FALSE)</f>
        <v>100596</v>
      </c>
      <c r="F927" s="124" t="s">
        <v>1411</v>
      </c>
      <c r="G927" s="180" t="s">
        <v>1424</v>
      </c>
      <c r="H927" s="19" t="s">
        <v>1425</v>
      </c>
      <c r="I927" s="181">
        <v>30</v>
      </c>
      <c r="J927" s="181"/>
      <c r="K927" s="717"/>
      <c r="L927" s="717"/>
      <c r="M927" s="717"/>
      <c r="N927" s="720"/>
    </row>
    <row r="928" spans="1:14" ht="15.75" thickBot="1" x14ac:dyDescent="0.3">
      <c r="A928" t="s">
        <v>180</v>
      </c>
      <c r="B928" s="153" t="s">
        <v>1391</v>
      </c>
      <c r="C928" s="12"/>
      <c r="D928" s="123">
        <v>610000004162</v>
      </c>
      <c r="E928" s="124">
        <f>VLOOKUP(D928,'[1]Task list &amp; Maintenace plan'!$B:$G,6,FALSE)</f>
        <v>100596</v>
      </c>
      <c r="F928" s="124" t="s">
        <v>1411</v>
      </c>
      <c r="G928" s="180" t="s">
        <v>1427</v>
      </c>
      <c r="H928" s="19" t="s">
        <v>1428</v>
      </c>
      <c r="I928" s="181">
        <v>30</v>
      </c>
      <c r="J928" s="181"/>
      <c r="K928" s="717"/>
      <c r="L928" s="717"/>
      <c r="M928" s="717"/>
      <c r="N928" s="720"/>
    </row>
    <row r="929" spans="1:14" ht="15.75" thickBot="1" x14ac:dyDescent="0.3">
      <c r="A929" t="s">
        <v>180</v>
      </c>
      <c r="B929" s="153" t="s">
        <v>1391</v>
      </c>
      <c r="C929" s="12"/>
      <c r="D929" s="123">
        <v>610000004162</v>
      </c>
      <c r="E929" s="124">
        <f>VLOOKUP(D929,'[1]Task list &amp; Maintenace plan'!$B:$G,6,FALSE)</f>
        <v>100596</v>
      </c>
      <c r="F929" s="124" t="s">
        <v>1411</v>
      </c>
      <c r="G929" s="180" t="s">
        <v>1430</v>
      </c>
      <c r="H929" s="19" t="s">
        <v>1431</v>
      </c>
      <c r="I929" s="181">
        <v>30</v>
      </c>
      <c r="J929" s="181"/>
      <c r="K929" s="717"/>
      <c r="L929" s="717"/>
      <c r="M929" s="717"/>
      <c r="N929" s="720"/>
    </row>
    <row r="930" spans="1:14" ht="15.75" thickBot="1" x14ac:dyDescent="0.3">
      <c r="A930" t="s">
        <v>180</v>
      </c>
      <c r="B930" s="153" t="s">
        <v>1391</v>
      </c>
      <c r="C930" s="12"/>
      <c r="D930" s="123">
        <v>610000004162</v>
      </c>
      <c r="E930" s="124">
        <f>VLOOKUP(D930,'[1]Task list &amp; Maintenace plan'!$B:$G,6,FALSE)</f>
        <v>100596</v>
      </c>
      <c r="F930" s="124" t="s">
        <v>1411</v>
      </c>
      <c r="G930" s="180" t="s">
        <v>1433</v>
      </c>
      <c r="H930" s="19" t="s">
        <v>1434</v>
      </c>
      <c r="I930" s="181">
        <v>30</v>
      </c>
      <c r="J930" s="181"/>
      <c r="K930" s="717"/>
      <c r="L930" s="717"/>
      <c r="M930" s="717"/>
      <c r="N930" s="720"/>
    </row>
    <row r="931" spans="1:14" ht="15.75" thickBot="1" x14ac:dyDescent="0.3">
      <c r="A931" t="s">
        <v>180</v>
      </c>
      <c r="B931" s="153" t="s">
        <v>1391</v>
      </c>
      <c r="C931" s="12"/>
      <c r="D931" s="123">
        <v>610000004162</v>
      </c>
      <c r="E931" s="124">
        <f>VLOOKUP(D931,'[1]Task list &amp; Maintenace plan'!$B:$G,6,FALSE)</f>
        <v>100596</v>
      </c>
      <c r="F931" s="124" t="s">
        <v>1411</v>
      </c>
      <c r="G931" s="180" t="s">
        <v>1436</v>
      </c>
      <c r="H931" s="19" t="s">
        <v>1437</v>
      </c>
      <c r="I931" s="181">
        <v>30</v>
      </c>
      <c r="J931" s="181"/>
      <c r="K931" s="717"/>
      <c r="L931" s="717"/>
      <c r="M931" s="717"/>
      <c r="N931" s="720"/>
    </row>
    <row r="932" spans="1:14" ht="15.75" thickBot="1" x14ac:dyDescent="0.3">
      <c r="A932" t="s">
        <v>180</v>
      </c>
      <c r="B932" s="153" t="s">
        <v>1391</v>
      </c>
      <c r="C932" s="12"/>
      <c r="D932" s="123">
        <v>610000004162</v>
      </c>
      <c r="E932" s="124">
        <f>VLOOKUP(D932,'[1]Task list &amp; Maintenace plan'!$B:$G,6,FALSE)</f>
        <v>100596</v>
      </c>
      <c r="F932" s="124" t="s">
        <v>1411</v>
      </c>
      <c r="G932" s="180" t="s">
        <v>1439</v>
      </c>
      <c r="H932" s="19" t="s">
        <v>1440</v>
      </c>
      <c r="I932" s="181">
        <v>30</v>
      </c>
      <c r="J932" s="181"/>
      <c r="K932" s="717"/>
      <c r="L932" s="717"/>
      <c r="M932" s="717"/>
      <c r="N932" s="720"/>
    </row>
    <row r="933" spans="1:14" ht="15.75" thickBot="1" x14ac:dyDescent="0.3">
      <c r="A933" t="s">
        <v>180</v>
      </c>
      <c r="B933" s="153" t="s">
        <v>1391</v>
      </c>
      <c r="C933" s="12"/>
      <c r="D933" s="123">
        <v>610000004162</v>
      </c>
      <c r="E933" s="124">
        <f>VLOOKUP(D933,'[1]Task list &amp; Maintenace plan'!$B:$G,6,FALSE)</f>
        <v>100596</v>
      </c>
      <c r="F933" s="124" t="s">
        <v>1411</v>
      </c>
      <c r="G933" s="180" t="s">
        <v>1441</v>
      </c>
      <c r="H933" s="19" t="s">
        <v>1442</v>
      </c>
      <c r="I933" s="181">
        <v>30</v>
      </c>
      <c r="J933" s="181"/>
      <c r="K933" s="717"/>
      <c r="L933" s="717"/>
      <c r="M933" s="717"/>
      <c r="N933" s="720"/>
    </row>
    <row r="934" spans="1:14" ht="15.75" thickBot="1" x14ac:dyDescent="0.3">
      <c r="A934" t="s">
        <v>180</v>
      </c>
      <c r="B934" s="153" t="s">
        <v>1391</v>
      </c>
      <c r="C934" s="12"/>
      <c r="D934" s="123">
        <v>610000004162</v>
      </c>
      <c r="E934" s="124">
        <f>VLOOKUP(D934,'[1]Task list &amp; Maintenace plan'!$B:$G,6,FALSE)</f>
        <v>100596</v>
      </c>
      <c r="F934" s="124" t="s">
        <v>1411</v>
      </c>
      <c r="G934" s="180" t="s">
        <v>1443</v>
      </c>
      <c r="H934" s="19" t="s">
        <v>1444</v>
      </c>
      <c r="I934" s="181">
        <v>30</v>
      </c>
      <c r="J934" s="181"/>
      <c r="K934" s="717"/>
      <c r="L934" s="717"/>
      <c r="M934" s="717"/>
      <c r="N934" s="720"/>
    </row>
    <row r="935" spans="1:14" ht="15.75" thickBot="1" x14ac:dyDescent="0.3">
      <c r="A935" t="s">
        <v>180</v>
      </c>
      <c r="B935" s="153" t="s">
        <v>1391</v>
      </c>
      <c r="C935" s="12"/>
      <c r="D935" s="123">
        <v>610000004162</v>
      </c>
      <c r="E935" s="124">
        <f>VLOOKUP(D935,'[1]Task list &amp; Maintenace plan'!$B:$G,6,FALSE)</f>
        <v>100596</v>
      </c>
      <c r="F935" s="124" t="s">
        <v>1411</v>
      </c>
      <c r="G935" s="180" t="s">
        <v>1446</v>
      </c>
      <c r="H935" s="19" t="s">
        <v>1447</v>
      </c>
      <c r="I935" s="181">
        <v>30</v>
      </c>
      <c r="J935" s="181"/>
      <c r="K935" s="717"/>
      <c r="L935" s="717"/>
      <c r="M935" s="717"/>
      <c r="N935" s="720"/>
    </row>
    <row r="936" spans="1:14" ht="15.75" thickBot="1" x14ac:dyDescent="0.3">
      <c r="A936" t="s">
        <v>180</v>
      </c>
      <c r="B936" s="153" t="s">
        <v>1391</v>
      </c>
      <c r="C936" s="12"/>
      <c r="D936" s="123">
        <v>610000004162</v>
      </c>
      <c r="E936" s="124">
        <f>VLOOKUP(D936,'[1]Task list &amp; Maintenace plan'!$B:$G,6,FALSE)</f>
        <v>100596</v>
      </c>
      <c r="F936" s="124" t="s">
        <v>1411</v>
      </c>
      <c r="G936" s="180" t="s">
        <v>1449</v>
      </c>
      <c r="H936" s="19" t="s">
        <v>1450</v>
      </c>
      <c r="I936" s="181">
        <v>30</v>
      </c>
      <c r="J936" s="181"/>
      <c r="K936" s="717"/>
      <c r="L936" s="717"/>
      <c r="M936" s="717"/>
      <c r="N936" s="720"/>
    </row>
    <row r="937" spans="1:14" ht="15.75" thickBot="1" x14ac:dyDescent="0.3">
      <c r="A937" t="s">
        <v>180</v>
      </c>
      <c r="B937" s="153" t="s">
        <v>1391</v>
      </c>
      <c r="C937" s="12"/>
      <c r="D937" s="123">
        <v>610000004162</v>
      </c>
      <c r="E937" s="124">
        <f>VLOOKUP(D937,'[1]Task list &amp; Maintenace plan'!$B:$G,6,FALSE)</f>
        <v>100596</v>
      </c>
      <c r="F937" s="124" t="s">
        <v>1411</v>
      </c>
      <c r="G937" s="180" t="s">
        <v>1452</v>
      </c>
      <c r="H937" s="19" t="s">
        <v>1453</v>
      </c>
      <c r="I937" s="181">
        <v>30</v>
      </c>
      <c r="J937" s="181"/>
      <c r="K937" s="717"/>
      <c r="L937" s="717"/>
      <c r="M937" s="717"/>
      <c r="N937" s="720"/>
    </row>
    <row r="938" spans="1:14" ht="15.75" thickBot="1" x14ac:dyDescent="0.3">
      <c r="A938" t="s">
        <v>180</v>
      </c>
      <c r="B938" s="153" t="s">
        <v>1391</v>
      </c>
      <c r="C938" s="12"/>
      <c r="D938" s="123">
        <v>610000004162</v>
      </c>
      <c r="E938" s="124">
        <f>VLOOKUP(D938,'[1]Task list &amp; Maintenace plan'!$B:$G,6,FALSE)</f>
        <v>100596</v>
      </c>
      <c r="F938" s="124" t="s">
        <v>1411</v>
      </c>
      <c r="G938" s="180" t="s">
        <v>1455</v>
      </c>
      <c r="H938" s="19" t="s">
        <v>1456</v>
      </c>
      <c r="I938" s="181">
        <v>30</v>
      </c>
      <c r="J938" s="181"/>
      <c r="K938" s="717"/>
      <c r="L938" s="717"/>
      <c r="M938" s="717"/>
      <c r="N938" s="720"/>
    </row>
    <row r="939" spans="1:14" ht="15.75" thickBot="1" x14ac:dyDescent="0.3">
      <c r="A939" t="s">
        <v>180</v>
      </c>
      <c r="B939" s="153" t="s">
        <v>1391</v>
      </c>
      <c r="C939" s="12"/>
      <c r="D939" s="123">
        <v>610000004162</v>
      </c>
      <c r="E939" s="124">
        <f>VLOOKUP(D939,'[1]Task list &amp; Maintenace plan'!$B:$G,6,FALSE)</f>
        <v>100596</v>
      </c>
      <c r="F939" s="124" t="s">
        <v>1411</v>
      </c>
      <c r="G939" s="180" t="s">
        <v>1457</v>
      </c>
      <c r="H939" s="19" t="s">
        <v>1458</v>
      </c>
      <c r="I939" s="181">
        <v>30</v>
      </c>
      <c r="J939" s="181"/>
      <c r="K939" s="717"/>
      <c r="L939" s="717"/>
      <c r="M939" s="717"/>
      <c r="N939" s="720"/>
    </row>
    <row r="940" spans="1:14" ht="15.75" thickBot="1" x14ac:dyDescent="0.3">
      <c r="A940" t="s">
        <v>180</v>
      </c>
      <c r="B940" s="153" t="s">
        <v>1391</v>
      </c>
      <c r="C940" s="12"/>
      <c r="D940" s="123">
        <v>610000004162</v>
      </c>
      <c r="E940" s="124">
        <f>VLOOKUP(D940,'[1]Task list &amp; Maintenace plan'!$B:$G,6,FALSE)</f>
        <v>100596</v>
      </c>
      <c r="F940" s="124" t="s">
        <v>1411</v>
      </c>
      <c r="G940" s="180" t="s">
        <v>1460</v>
      </c>
      <c r="H940" s="19" t="s">
        <v>1461</v>
      </c>
      <c r="I940" s="181">
        <v>30</v>
      </c>
      <c r="J940" s="181"/>
      <c r="K940" s="717"/>
      <c r="L940" s="717"/>
      <c r="M940" s="717"/>
      <c r="N940" s="720"/>
    </row>
    <row r="941" spans="1:14" ht="15.75" thickBot="1" x14ac:dyDescent="0.3">
      <c r="A941" t="s">
        <v>180</v>
      </c>
      <c r="B941" s="153" t="s">
        <v>1391</v>
      </c>
      <c r="C941" s="12"/>
      <c r="D941" s="123">
        <v>610000004162</v>
      </c>
      <c r="E941" s="124">
        <f>VLOOKUP(D941,'[1]Task list &amp; Maintenace plan'!$B:$G,6,FALSE)</f>
        <v>100596</v>
      </c>
      <c r="F941" s="124" t="s">
        <v>1411</v>
      </c>
      <c r="G941" s="180" t="s">
        <v>1462</v>
      </c>
      <c r="H941" s="19" t="s">
        <v>1463</v>
      </c>
      <c r="I941" s="181">
        <v>30</v>
      </c>
      <c r="J941" s="181"/>
      <c r="K941" s="717"/>
      <c r="L941" s="717"/>
      <c r="M941" s="717"/>
      <c r="N941" s="720"/>
    </row>
    <row r="942" spans="1:14" ht="15.75" thickBot="1" x14ac:dyDescent="0.3">
      <c r="A942" t="s">
        <v>180</v>
      </c>
      <c r="B942" s="153" t="s">
        <v>1391</v>
      </c>
      <c r="C942" s="12"/>
      <c r="D942" s="123">
        <v>610000004162</v>
      </c>
      <c r="E942" s="124">
        <f>VLOOKUP(D942,'[1]Task list &amp; Maintenace plan'!$B:$G,6,FALSE)</f>
        <v>100596</v>
      </c>
      <c r="F942" s="124" t="s">
        <v>1411</v>
      </c>
      <c r="G942" s="180" t="s">
        <v>1464</v>
      </c>
      <c r="H942" s="19" t="s">
        <v>1465</v>
      </c>
      <c r="I942" s="181">
        <v>30</v>
      </c>
      <c r="J942" s="181"/>
      <c r="K942" s="717"/>
      <c r="L942" s="717"/>
      <c r="M942" s="717"/>
      <c r="N942" s="720"/>
    </row>
    <row r="943" spans="1:14" ht="15.75" thickBot="1" x14ac:dyDescent="0.3">
      <c r="A943" t="s">
        <v>180</v>
      </c>
      <c r="B943" s="153" t="s">
        <v>1391</v>
      </c>
      <c r="C943" s="12"/>
      <c r="D943" s="123">
        <v>610000004162</v>
      </c>
      <c r="E943" s="124">
        <f>VLOOKUP(D943,'[1]Task list &amp; Maintenace plan'!$B:$G,6,FALSE)</f>
        <v>100596</v>
      </c>
      <c r="F943" s="124" t="s">
        <v>1411</v>
      </c>
      <c r="G943" s="180" t="s">
        <v>1466</v>
      </c>
      <c r="H943" s="19" t="s">
        <v>1467</v>
      </c>
      <c r="I943" s="181">
        <v>30</v>
      </c>
      <c r="J943" s="181"/>
      <c r="K943" s="717"/>
      <c r="L943" s="717"/>
      <c r="M943" s="717"/>
      <c r="N943" s="720"/>
    </row>
    <row r="944" spans="1:14" ht="15.75" thickBot="1" x14ac:dyDescent="0.3">
      <c r="A944" t="s">
        <v>180</v>
      </c>
      <c r="B944" s="153" t="s">
        <v>1391</v>
      </c>
      <c r="C944" s="12"/>
      <c r="D944" s="103">
        <v>610000004162</v>
      </c>
      <c r="E944" s="85">
        <f>VLOOKUP(D944,'[1]Task list &amp; Maintenace plan'!$B:$G,6,FALSE)</f>
        <v>100596</v>
      </c>
      <c r="F944" s="85" t="s">
        <v>1411</v>
      </c>
      <c r="G944" s="182" t="s">
        <v>1468</v>
      </c>
      <c r="H944" s="24" t="s">
        <v>1469</v>
      </c>
      <c r="I944" s="183">
        <v>30</v>
      </c>
      <c r="J944" s="183"/>
      <c r="K944" s="718"/>
      <c r="L944" s="718"/>
      <c r="M944" s="718"/>
      <c r="N944" s="721"/>
    </row>
    <row r="945" spans="1:14" ht="15.75" thickBot="1" x14ac:dyDescent="0.3">
      <c r="A945" t="s">
        <v>180</v>
      </c>
      <c r="B945" s="153" t="s">
        <v>1391</v>
      </c>
      <c r="C945" s="12"/>
      <c r="D945" s="100">
        <v>342588</v>
      </c>
      <c r="E945" s="101">
        <f>VLOOKUP(D945,'[1]Task list &amp; Maintenace plan'!$B:$G,6,FALSE)</f>
        <v>593</v>
      </c>
      <c r="F945" s="101" t="s">
        <v>1470</v>
      </c>
      <c r="G945" s="102" t="s">
        <v>1392</v>
      </c>
      <c r="H945" s="102" t="s">
        <v>1471</v>
      </c>
      <c r="I945" s="101">
        <v>30</v>
      </c>
      <c r="J945" s="101"/>
      <c r="K945" s="710">
        <v>60</v>
      </c>
      <c r="L945" s="710">
        <v>1</v>
      </c>
      <c r="M945" s="710">
        <v>60</v>
      </c>
      <c r="N945" s="712" t="s">
        <v>20</v>
      </c>
    </row>
    <row r="946" spans="1:14" ht="15.75" thickBot="1" x14ac:dyDescent="0.3">
      <c r="A946" t="s">
        <v>180</v>
      </c>
      <c r="B946" s="153" t="s">
        <v>1391</v>
      </c>
      <c r="C946" s="12"/>
      <c r="D946" s="123">
        <v>342588</v>
      </c>
      <c r="E946" s="124">
        <f>VLOOKUP(D946,'[1]Task list &amp; Maintenace plan'!$B:$G,6,FALSE)</f>
        <v>593</v>
      </c>
      <c r="F946" s="124" t="s">
        <v>1470</v>
      </c>
      <c r="G946" s="107" t="s">
        <v>1396</v>
      </c>
      <c r="H946" s="107" t="s">
        <v>1472</v>
      </c>
      <c r="I946" s="124">
        <v>30</v>
      </c>
      <c r="J946" s="124"/>
      <c r="K946" s="705"/>
      <c r="L946" s="705"/>
      <c r="M946" s="705"/>
      <c r="N946" s="708"/>
    </row>
    <row r="947" spans="1:14" ht="15.75" thickBot="1" x14ac:dyDescent="0.3">
      <c r="A947" t="s">
        <v>180</v>
      </c>
      <c r="B947" s="153" t="s">
        <v>1391</v>
      </c>
      <c r="C947" s="12"/>
      <c r="D947" s="123">
        <v>342588</v>
      </c>
      <c r="E947" s="124">
        <f>VLOOKUP(D947,'[1]Task list &amp; Maintenace plan'!$B:$G,6,FALSE)</f>
        <v>593</v>
      </c>
      <c r="F947" s="124" t="s">
        <v>1470</v>
      </c>
      <c r="G947" s="107" t="s">
        <v>1399</v>
      </c>
      <c r="H947" s="107" t="s">
        <v>1471</v>
      </c>
      <c r="I947" s="124">
        <v>30</v>
      </c>
      <c r="J947" s="124"/>
      <c r="K947" s="705"/>
      <c r="L947" s="705"/>
      <c r="M947" s="705"/>
      <c r="N947" s="708"/>
    </row>
    <row r="948" spans="1:14" ht="15.75" thickBot="1" x14ac:dyDescent="0.3">
      <c r="A948" t="s">
        <v>180</v>
      </c>
      <c r="B948" s="153" t="s">
        <v>1391</v>
      </c>
      <c r="C948" s="12"/>
      <c r="D948" s="104">
        <v>342588</v>
      </c>
      <c r="E948" s="105">
        <f>VLOOKUP(D948,'[1]Task list &amp; Maintenace plan'!$B:$G,6,FALSE)</f>
        <v>593</v>
      </c>
      <c r="F948" s="105" t="s">
        <v>1470</v>
      </c>
      <c r="G948" s="107" t="s">
        <v>1402</v>
      </c>
      <c r="H948" s="106" t="s">
        <v>1472</v>
      </c>
      <c r="I948" s="105">
        <v>30</v>
      </c>
      <c r="J948" s="105"/>
      <c r="K948" s="705"/>
      <c r="L948" s="705"/>
      <c r="M948" s="705"/>
      <c r="N948" s="708"/>
    </row>
    <row r="949" spans="1:14" ht="15.75" thickBot="1" x14ac:dyDescent="0.3">
      <c r="A949" t="s">
        <v>180</v>
      </c>
      <c r="B949" s="153" t="s">
        <v>1391</v>
      </c>
      <c r="C949" s="12"/>
      <c r="D949" s="104">
        <v>342588</v>
      </c>
      <c r="E949" s="105">
        <f>VLOOKUP(D949,'[1]Task list &amp; Maintenace plan'!$B:$G,6,FALSE)</f>
        <v>593</v>
      </c>
      <c r="F949" s="105" t="s">
        <v>1470</v>
      </c>
      <c r="G949" s="106" t="s">
        <v>1473</v>
      </c>
      <c r="H949" s="106" t="s">
        <v>1474</v>
      </c>
      <c r="I949" s="105">
        <v>30</v>
      </c>
      <c r="J949" s="105"/>
      <c r="K949" s="705"/>
      <c r="L949" s="705"/>
      <c r="M949" s="705"/>
      <c r="N949" s="708"/>
    </row>
    <row r="950" spans="1:14" ht="15.75" thickBot="1" x14ac:dyDescent="0.3">
      <c r="A950" t="s">
        <v>180</v>
      </c>
      <c r="B950" s="153" t="s">
        <v>1391</v>
      </c>
      <c r="C950" s="12"/>
      <c r="D950" s="103">
        <v>342588</v>
      </c>
      <c r="E950" s="85">
        <f>VLOOKUP(D950,'[1]Task list &amp; Maintenace plan'!$B:$G,6,FALSE)</f>
        <v>593</v>
      </c>
      <c r="F950" s="85" t="s">
        <v>1470</v>
      </c>
      <c r="G950" s="84" t="s">
        <v>1475</v>
      </c>
      <c r="H950" s="84" t="s">
        <v>1474</v>
      </c>
      <c r="I950" s="85">
        <v>30</v>
      </c>
      <c r="J950" s="85"/>
      <c r="K950" s="706"/>
      <c r="L950" s="706"/>
      <c r="M950" s="706"/>
      <c r="N950" s="709"/>
    </row>
    <row r="951" spans="1:14" ht="15.75" thickBot="1" x14ac:dyDescent="0.3">
      <c r="A951" t="s">
        <v>180</v>
      </c>
      <c r="B951" s="153" t="s">
        <v>1391</v>
      </c>
      <c r="C951" s="12"/>
      <c r="D951" s="117">
        <v>356711</v>
      </c>
      <c r="E951" s="118">
        <f>VLOOKUP(D951,'[1]Task list &amp; Maintenace plan'!$B:$G,6,FALSE)</f>
        <v>1618</v>
      </c>
      <c r="F951" s="118" t="s">
        <v>1476</v>
      </c>
      <c r="G951" s="119" t="s">
        <v>1394</v>
      </c>
      <c r="H951" s="119" t="s">
        <v>1477</v>
      </c>
      <c r="I951" s="118">
        <v>30</v>
      </c>
      <c r="J951" s="118">
        <v>1</v>
      </c>
      <c r="K951" s="710">
        <v>90</v>
      </c>
      <c r="L951" s="710">
        <v>1</v>
      </c>
      <c r="M951" s="710">
        <f>K951*L951</f>
        <v>90</v>
      </c>
      <c r="N951" s="712" t="s">
        <v>20</v>
      </c>
    </row>
    <row r="952" spans="1:14" ht="15.75" thickBot="1" x14ac:dyDescent="0.3">
      <c r="A952" t="s">
        <v>180</v>
      </c>
      <c r="B952" s="153" t="s">
        <v>1391</v>
      </c>
      <c r="C952" s="12"/>
      <c r="D952" s="123">
        <v>356711</v>
      </c>
      <c r="E952" s="124">
        <f>VLOOKUP(D952,'[1]Task list &amp; Maintenace plan'!$B:$G,6,FALSE)</f>
        <v>1618</v>
      </c>
      <c r="F952" s="124" t="s">
        <v>1476</v>
      </c>
      <c r="G952" s="107" t="s">
        <v>1397</v>
      </c>
      <c r="H952" s="107" t="s">
        <v>1478</v>
      </c>
      <c r="I952" s="124">
        <v>30</v>
      </c>
      <c r="J952" s="124">
        <v>1</v>
      </c>
      <c r="K952" s="705"/>
      <c r="L952" s="705"/>
      <c r="M952" s="705"/>
      <c r="N952" s="708"/>
    </row>
    <row r="953" spans="1:14" ht="15.75" thickBot="1" x14ac:dyDescent="0.3">
      <c r="A953" t="s">
        <v>180</v>
      </c>
      <c r="B953" s="153" t="s">
        <v>1391</v>
      </c>
      <c r="C953" s="12"/>
      <c r="D953" s="123">
        <v>356711</v>
      </c>
      <c r="E953" s="124">
        <f>VLOOKUP(D953,'[1]Task list &amp; Maintenace plan'!$B:$G,6,FALSE)</f>
        <v>1618</v>
      </c>
      <c r="F953" s="124" t="s">
        <v>1476</v>
      </c>
      <c r="G953" s="107" t="s">
        <v>1400</v>
      </c>
      <c r="H953" s="107" t="s">
        <v>1479</v>
      </c>
      <c r="I953" s="124">
        <v>30</v>
      </c>
      <c r="J953" s="124">
        <v>1</v>
      </c>
      <c r="K953" s="705"/>
      <c r="L953" s="705"/>
      <c r="M953" s="705"/>
      <c r="N953" s="708"/>
    </row>
    <row r="954" spans="1:14" ht="15.75" thickBot="1" x14ac:dyDescent="0.3">
      <c r="A954" t="s">
        <v>180</v>
      </c>
      <c r="B954" s="153" t="s">
        <v>1391</v>
      </c>
      <c r="C954" s="12"/>
      <c r="D954" s="123">
        <v>356711</v>
      </c>
      <c r="E954" s="124">
        <f>VLOOKUP(D954,'[1]Task list &amp; Maintenace plan'!$B:$G,6,FALSE)</f>
        <v>1618</v>
      </c>
      <c r="F954" s="124" t="s">
        <v>1476</v>
      </c>
      <c r="G954" s="107" t="s">
        <v>1403</v>
      </c>
      <c r="H954" s="107" t="s">
        <v>1480</v>
      </c>
      <c r="I954" s="124">
        <v>30</v>
      </c>
      <c r="J954" s="124">
        <v>1</v>
      </c>
      <c r="K954" s="705"/>
      <c r="L954" s="705"/>
      <c r="M954" s="705"/>
      <c r="N954" s="708"/>
    </row>
    <row r="955" spans="1:14" ht="15.75" thickBot="1" x14ac:dyDescent="0.3">
      <c r="A955" t="s">
        <v>180</v>
      </c>
      <c r="B955" s="153" t="s">
        <v>1391</v>
      </c>
      <c r="C955" s="12"/>
      <c r="D955" s="123">
        <v>356711</v>
      </c>
      <c r="E955" s="124">
        <f>VLOOKUP(D955,'[1]Task list &amp; Maintenace plan'!$B:$G,6,FALSE)</f>
        <v>1618</v>
      </c>
      <c r="F955" s="124" t="s">
        <v>1476</v>
      </c>
      <c r="G955" s="107" t="s">
        <v>1473</v>
      </c>
      <c r="H955" s="107" t="s">
        <v>1481</v>
      </c>
      <c r="I955" s="124">
        <v>30</v>
      </c>
      <c r="J955" s="124">
        <v>1</v>
      </c>
      <c r="K955" s="705"/>
      <c r="L955" s="705"/>
      <c r="M955" s="705"/>
      <c r="N955" s="708"/>
    </row>
    <row r="956" spans="1:14" ht="15.75" thickBot="1" x14ac:dyDescent="0.3">
      <c r="A956" t="s">
        <v>180</v>
      </c>
      <c r="B956" s="153" t="s">
        <v>1391</v>
      </c>
      <c r="C956" s="12"/>
      <c r="D956" s="123">
        <v>356711</v>
      </c>
      <c r="E956" s="124">
        <f>VLOOKUP(D956,'[1]Task list &amp; Maintenace plan'!$B:$G,6,FALSE)</f>
        <v>1618</v>
      </c>
      <c r="F956" s="124" t="s">
        <v>1476</v>
      </c>
      <c r="G956" s="107" t="s">
        <v>1466</v>
      </c>
      <c r="H956" s="107" t="s">
        <v>1482</v>
      </c>
      <c r="I956" s="124">
        <v>30</v>
      </c>
      <c r="J956" s="124">
        <v>1</v>
      </c>
      <c r="K956" s="705"/>
      <c r="L956" s="705"/>
      <c r="M956" s="705"/>
      <c r="N956" s="708"/>
    </row>
    <row r="957" spans="1:14" ht="15.75" thickBot="1" x14ac:dyDescent="0.3">
      <c r="A957" t="s">
        <v>180</v>
      </c>
      <c r="B957" s="153" t="s">
        <v>1391</v>
      </c>
      <c r="C957" s="12"/>
      <c r="D957" s="123">
        <v>356711</v>
      </c>
      <c r="E957" s="124">
        <f>VLOOKUP(D957,'[1]Task list &amp; Maintenace plan'!$B:$G,6,FALSE)</f>
        <v>1618</v>
      </c>
      <c r="F957" s="124" t="s">
        <v>1476</v>
      </c>
      <c r="G957" s="107" t="s">
        <v>1468</v>
      </c>
      <c r="H957" s="107" t="s">
        <v>1483</v>
      </c>
      <c r="I957" s="124">
        <v>30</v>
      </c>
      <c r="J957" s="124">
        <v>1</v>
      </c>
      <c r="K957" s="705"/>
      <c r="L957" s="705"/>
      <c r="M957" s="705"/>
      <c r="N957" s="708"/>
    </row>
    <row r="958" spans="1:14" ht="15.75" thickBot="1" x14ac:dyDescent="0.3">
      <c r="A958" t="s">
        <v>180</v>
      </c>
      <c r="B958" s="153" t="s">
        <v>1391</v>
      </c>
      <c r="C958" s="12"/>
      <c r="D958" s="103">
        <v>356711</v>
      </c>
      <c r="E958" s="85">
        <f>VLOOKUP(D958,'[1]Task list &amp; Maintenace plan'!$B:$G,6,FALSE)</f>
        <v>1618</v>
      </c>
      <c r="F958" s="85" t="s">
        <v>1476</v>
      </c>
      <c r="G958" s="84" t="s">
        <v>1475</v>
      </c>
      <c r="H958" s="84" t="s">
        <v>1481</v>
      </c>
      <c r="I958" s="85">
        <v>30</v>
      </c>
      <c r="J958" s="85">
        <v>1</v>
      </c>
      <c r="K958" s="706"/>
      <c r="L958" s="706"/>
      <c r="M958" s="706"/>
      <c r="N958" s="709"/>
    </row>
    <row r="959" spans="1:14" ht="15.75" thickBot="1" x14ac:dyDescent="0.3">
      <c r="A959" t="s">
        <v>180</v>
      </c>
      <c r="B959" s="153" t="s">
        <v>1391</v>
      </c>
      <c r="C959" s="12"/>
      <c r="D959" s="117">
        <v>610000004163</v>
      </c>
      <c r="E959" s="118">
        <f>VLOOKUP(D959,'[1]Task list &amp; Maintenace plan'!$B:$G,6,FALSE)</f>
        <v>100597</v>
      </c>
      <c r="F959" s="118" t="s">
        <v>1484</v>
      </c>
      <c r="G959" s="119" t="s">
        <v>1448</v>
      </c>
      <c r="H959" s="119" t="s">
        <v>1485</v>
      </c>
      <c r="I959" s="118">
        <v>30</v>
      </c>
      <c r="J959" s="118">
        <v>1</v>
      </c>
      <c r="K959" s="710">
        <v>90</v>
      </c>
      <c r="L959" s="710">
        <v>1</v>
      </c>
      <c r="M959" s="710">
        <f>K959*L959</f>
        <v>90</v>
      </c>
      <c r="N959" s="712" t="s">
        <v>34</v>
      </c>
    </row>
    <row r="960" spans="1:14" ht="15.75" thickBot="1" x14ac:dyDescent="0.3">
      <c r="A960" t="s">
        <v>180</v>
      </c>
      <c r="B960" s="153" t="s">
        <v>1391</v>
      </c>
      <c r="C960" s="12"/>
      <c r="D960" s="123">
        <v>610000004163</v>
      </c>
      <c r="E960" s="124">
        <f>VLOOKUP(D960,'[1]Task list &amp; Maintenace plan'!$B:$G,6,FALSE)</f>
        <v>100597</v>
      </c>
      <c r="F960" s="124" t="s">
        <v>1484</v>
      </c>
      <c r="G960" s="107" t="s">
        <v>1473</v>
      </c>
      <c r="H960" s="107" t="s">
        <v>1486</v>
      </c>
      <c r="I960" s="124">
        <v>30</v>
      </c>
      <c r="J960" s="124">
        <v>1</v>
      </c>
      <c r="K960" s="705"/>
      <c r="L960" s="705"/>
      <c r="M960" s="705"/>
      <c r="N960" s="708"/>
    </row>
    <row r="961" spans="1:14" ht="15.75" thickBot="1" x14ac:dyDescent="0.3">
      <c r="A961" t="s">
        <v>180</v>
      </c>
      <c r="B961" s="153" t="s">
        <v>1391</v>
      </c>
      <c r="C961" s="12"/>
      <c r="D961" s="123">
        <v>610000004163</v>
      </c>
      <c r="E961" s="124">
        <f>VLOOKUP(D961,'[1]Task list &amp; Maintenace plan'!$B:$G,6,FALSE)</f>
        <v>100597</v>
      </c>
      <c r="F961" s="124" t="s">
        <v>1484</v>
      </c>
      <c r="G961" s="107" t="s">
        <v>1451</v>
      </c>
      <c r="H961" s="107" t="s">
        <v>1487</v>
      </c>
      <c r="I961" s="124">
        <v>30</v>
      </c>
      <c r="J961" s="124">
        <v>1</v>
      </c>
      <c r="K961" s="705"/>
      <c r="L961" s="705"/>
      <c r="M961" s="705"/>
      <c r="N961" s="708"/>
    </row>
    <row r="962" spans="1:14" ht="15.75" thickBot="1" x14ac:dyDescent="0.3">
      <c r="A962" t="s">
        <v>180</v>
      </c>
      <c r="B962" s="153" t="s">
        <v>1391</v>
      </c>
      <c r="C962" s="12"/>
      <c r="D962" s="123">
        <v>610000004163</v>
      </c>
      <c r="E962" s="124">
        <f>VLOOKUP(D962,'[1]Task list &amp; Maintenace plan'!$B:$G,6,FALSE)</f>
        <v>100597</v>
      </c>
      <c r="F962" s="124" t="s">
        <v>1484</v>
      </c>
      <c r="G962" s="107" t="s">
        <v>1392</v>
      </c>
      <c r="H962" s="107" t="s">
        <v>1488</v>
      </c>
      <c r="I962" s="124">
        <v>30</v>
      </c>
      <c r="J962" s="124">
        <v>1</v>
      </c>
      <c r="K962" s="705"/>
      <c r="L962" s="705"/>
      <c r="M962" s="705"/>
      <c r="N962" s="708"/>
    </row>
    <row r="963" spans="1:14" ht="15.75" thickBot="1" x14ac:dyDescent="0.3">
      <c r="A963" t="s">
        <v>180</v>
      </c>
      <c r="B963" s="153" t="s">
        <v>1391</v>
      </c>
      <c r="C963" s="12"/>
      <c r="D963" s="123">
        <v>610000004163</v>
      </c>
      <c r="E963" s="124">
        <f>VLOOKUP(D963,'[1]Task list &amp; Maintenace plan'!$B:$G,6,FALSE)</f>
        <v>100597</v>
      </c>
      <c r="F963" s="124" t="s">
        <v>1484</v>
      </c>
      <c r="G963" s="107" t="s">
        <v>1489</v>
      </c>
      <c r="H963" s="107" t="s">
        <v>1490</v>
      </c>
      <c r="I963" s="124">
        <v>30</v>
      </c>
      <c r="J963" s="124">
        <v>1</v>
      </c>
      <c r="K963" s="705"/>
      <c r="L963" s="705"/>
      <c r="M963" s="705"/>
      <c r="N963" s="708"/>
    </row>
    <row r="964" spans="1:14" ht="15.75" thickBot="1" x14ac:dyDescent="0.3">
      <c r="A964" t="s">
        <v>180</v>
      </c>
      <c r="B964" s="153" t="s">
        <v>1391</v>
      </c>
      <c r="C964" s="12"/>
      <c r="D964" s="123">
        <v>610000004163</v>
      </c>
      <c r="E964" s="124">
        <f>VLOOKUP(D964,'[1]Task list &amp; Maintenace plan'!$B:$G,6,FALSE)</f>
        <v>100597</v>
      </c>
      <c r="F964" s="124" t="s">
        <v>1484</v>
      </c>
      <c r="G964" s="107" t="s">
        <v>1491</v>
      </c>
      <c r="H964" s="107" t="s">
        <v>1492</v>
      </c>
      <c r="I964" s="124">
        <v>30</v>
      </c>
      <c r="J964" s="124">
        <v>1</v>
      </c>
      <c r="K964" s="705"/>
      <c r="L964" s="705"/>
      <c r="M964" s="705"/>
      <c r="N964" s="708"/>
    </row>
    <row r="965" spans="1:14" ht="15.75" thickBot="1" x14ac:dyDescent="0.3">
      <c r="A965" t="s">
        <v>180</v>
      </c>
      <c r="B965" s="153" t="s">
        <v>1391</v>
      </c>
      <c r="C965" s="12"/>
      <c r="D965" s="123">
        <v>610000004163</v>
      </c>
      <c r="E965" s="124">
        <f>VLOOKUP(D965,'[1]Task list &amp; Maintenace plan'!$B:$G,6,FALSE)</f>
        <v>100597</v>
      </c>
      <c r="F965" s="124" t="s">
        <v>1484</v>
      </c>
      <c r="G965" s="107" t="s">
        <v>1459</v>
      </c>
      <c r="H965" s="107" t="s">
        <v>1493</v>
      </c>
      <c r="I965" s="124">
        <v>30</v>
      </c>
      <c r="J965" s="124">
        <v>1</v>
      </c>
      <c r="K965" s="705"/>
      <c r="L965" s="705"/>
      <c r="M965" s="705"/>
      <c r="N965" s="708"/>
    </row>
    <row r="966" spans="1:14" ht="15.75" thickBot="1" x14ac:dyDescent="0.3">
      <c r="A966" t="s">
        <v>180</v>
      </c>
      <c r="B966" s="153" t="s">
        <v>1391</v>
      </c>
      <c r="C966" s="12"/>
      <c r="D966" s="123">
        <v>610000004163</v>
      </c>
      <c r="E966" s="124">
        <f>VLOOKUP(D966,'[1]Task list &amp; Maintenace plan'!$B:$G,6,FALSE)</f>
        <v>100597</v>
      </c>
      <c r="F966" s="124" t="s">
        <v>1484</v>
      </c>
      <c r="G966" s="107" t="s">
        <v>1396</v>
      </c>
      <c r="H966" s="107" t="s">
        <v>1494</v>
      </c>
      <c r="I966" s="124">
        <v>30</v>
      </c>
      <c r="J966" s="124">
        <v>1</v>
      </c>
      <c r="K966" s="705"/>
      <c r="L966" s="705"/>
      <c r="M966" s="705"/>
      <c r="N966" s="708"/>
    </row>
    <row r="967" spans="1:14" ht="15.75" thickBot="1" x14ac:dyDescent="0.3">
      <c r="A967" t="s">
        <v>180</v>
      </c>
      <c r="B967" s="153" t="s">
        <v>1391</v>
      </c>
      <c r="C967" s="12"/>
      <c r="D967" s="123">
        <v>610000004163</v>
      </c>
      <c r="E967" s="124">
        <f>VLOOKUP(D967,'[1]Task list &amp; Maintenace plan'!$B:$G,6,FALSE)</f>
        <v>100597</v>
      </c>
      <c r="F967" s="124" t="s">
        <v>1484</v>
      </c>
      <c r="G967" s="107" t="s">
        <v>1495</v>
      </c>
      <c r="H967" s="107" t="s">
        <v>1496</v>
      </c>
      <c r="I967" s="124">
        <v>30</v>
      </c>
      <c r="J967" s="124">
        <v>1</v>
      </c>
      <c r="K967" s="705"/>
      <c r="L967" s="705"/>
      <c r="M967" s="705"/>
      <c r="N967" s="708"/>
    </row>
    <row r="968" spans="1:14" ht="15.75" thickBot="1" x14ac:dyDescent="0.3">
      <c r="A968" t="s">
        <v>180</v>
      </c>
      <c r="B968" s="153" t="s">
        <v>1391</v>
      </c>
      <c r="C968" s="12"/>
      <c r="D968" s="123">
        <v>610000004163</v>
      </c>
      <c r="E968" s="124">
        <f>VLOOKUP(D968,'[1]Task list &amp; Maintenace plan'!$B:$G,6,FALSE)</f>
        <v>100597</v>
      </c>
      <c r="F968" s="124" t="s">
        <v>1484</v>
      </c>
      <c r="G968" s="107" t="s">
        <v>1497</v>
      </c>
      <c r="H968" s="107" t="s">
        <v>1498</v>
      </c>
      <c r="I968" s="124">
        <v>30</v>
      </c>
      <c r="J968" s="124">
        <v>1</v>
      </c>
      <c r="K968" s="705"/>
      <c r="L968" s="705"/>
      <c r="M968" s="705"/>
      <c r="N968" s="708"/>
    </row>
    <row r="969" spans="1:14" ht="15.75" thickBot="1" x14ac:dyDescent="0.3">
      <c r="A969" t="s">
        <v>180</v>
      </c>
      <c r="B969" s="153" t="s">
        <v>1391</v>
      </c>
      <c r="C969" s="12"/>
      <c r="D969" s="123">
        <v>610000004163</v>
      </c>
      <c r="E969" s="124">
        <f>VLOOKUP(D969,'[1]Task list &amp; Maintenace plan'!$B:$G,6,FALSE)</f>
        <v>100597</v>
      </c>
      <c r="F969" s="124" t="s">
        <v>1484</v>
      </c>
      <c r="G969" s="107" t="s">
        <v>1499</v>
      </c>
      <c r="H969" s="107" t="s">
        <v>1500</v>
      </c>
      <c r="I969" s="124">
        <v>30</v>
      </c>
      <c r="J969" s="124">
        <v>1</v>
      </c>
      <c r="K969" s="705"/>
      <c r="L969" s="705"/>
      <c r="M969" s="705"/>
      <c r="N969" s="708"/>
    </row>
    <row r="970" spans="1:14" ht="15.75" thickBot="1" x14ac:dyDescent="0.3">
      <c r="A970" t="s">
        <v>180</v>
      </c>
      <c r="B970" s="153" t="s">
        <v>1391</v>
      </c>
      <c r="C970" s="12"/>
      <c r="D970" s="123">
        <v>610000004163</v>
      </c>
      <c r="E970" s="124">
        <f>VLOOKUP(D970,'[1]Task list &amp; Maintenace plan'!$B:$G,6,FALSE)</f>
        <v>100597</v>
      </c>
      <c r="F970" s="124" t="s">
        <v>1484</v>
      </c>
      <c r="G970" s="107" t="s">
        <v>1399</v>
      </c>
      <c r="H970" s="107" t="s">
        <v>1501</v>
      </c>
      <c r="I970" s="124">
        <v>30</v>
      </c>
      <c r="J970" s="124">
        <v>1</v>
      </c>
      <c r="K970" s="705"/>
      <c r="L970" s="705"/>
      <c r="M970" s="705"/>
      <c r="N970" s="708"/>
    </row>
    <row r="971" spans="1:14" ht="15.75" thickBot="1" x14ac:dyDescent="0.3">
      <c r="A971" t="s">
        <v>180</v>
      </c>
      <c r="B971" s="153" t="s">
        <v>1391</v>
      </c>
      <c r="C971" s="12"/>
      <c r="D971" s="123">
        <v>610000004163</v>
      </c>
      <c r="E971" s="124">
        <f>VLOOKUP(D971,'[1]Task list &amp; Maintenace plan'!$B:$G,6,FALSE)</f>
        <v>100597</v>
      </c>
      <c r="F971" s="124" t="s">
        <v>1484</v>
      </c>
      <c r="G971" s="107" t="s">
        <v>1502</v>
      </c>
      <c r="H971" s="107" t="s">
        <v>1503</v>
      </c>
      <c r="I971" s="124">
        <v>30</v>
      </c>
      <c r="J971" s="124">
        <v>1</v>
      </c>
      <c r="K971" s="705"/>
      <c r="L971" s="705"/>
      <c r="M971" s="705"/>
      <c r="N971" s="708"/>
    </row>
    <row r="972" spans="1:14" ht="15.75" thickBot="1" x14ac:dyDescent="0.3">
      <c r="A972" t="s">
        <v>180</v>
      </c>
      <c r="B972" s="153" t="s">
        <v>1391</v>
      </c>
      <c r="C972" s="12"/>
      <c r="D972" s="123">
        <v>610000004163</v>
      </c>
      <c r="E972" s="124">
        <f>VLOOKUP(D972,'[1]Task list &amp; Maintenace plan'!$B:$G,6,FALSE)</f>
        <v>100597</v>
      </c>
      <c r="F972" s="124" t="s">
        <v>1484</v>
      </c>
      <c r="G972" s="107" t="s">
        <v>1504</v>
      </c>
      <c r="H972" s="107" t="s">
        <v>1505</v>
      </c>
      <c r="I972" s="124">
        <v>30</v>
      </c>
      <c r="J972" s="124">
        <v>1</v>
      </c>
      <c r="K972" s="705"/>
      <c r="L972" s="705"/>
      <c r="M972" s="705"/>
      <c r="N972" s="708"/>
    </row>
    <row r="973" spans="1:14" ht="15.75" thickBot="1" x14ac:dyDescent="0.3">
      <c r="A973" t="s">
        <v>180</v>
      </c>
      <c r="B973" s="153" t="s">
        <v>1391</v>
      </c>
      <c r="C973" s="12"/>
      <c r="D973" s="123">
        <v>610000004163</v>
      </c>
      <c r="E973" s="124">
        <f>VLOOKUP(D973,'[1]Task list &amp; Maintenace plan'!$B:$G,6,FALSE)</f>
        <v>100597</v>
      </c>
      <c r="F973" s="124" t="s">
        <v>1484</v>
      </c>
      <c r="G973" s="107" t="s">
        <v>1475</v>
      </c>
      <c r="H973" s="107" t="s">
        <v>1506</v>
      </c>
      <c r="I973" s="124">
        <v>30</v>
      </c>
      <c r="J973" s="124">
        <v>1</v>
      </c>
      <c r="K973" s="705"/>
      <c r="L973" s="705"/>
      <c r="M973" s="705"/>
      <c r="N973" s="708"/>
    </row>
    <row r="974" spans="1:14" ht="15.75" thickBot="1" x14ac:dyDescent="0.3">
      <c r="A974" t="s">
        <v>180</v>
      </c>
      <c r="B974" s="153" t="s">
        <v>1391</v>
      </c>
      <c r="C974" s="12"/>
      <c r="D974" s="123">
        <v>610000004163</v>
      </c>
      <c r="E974" s="124">
        <f>VLOOKUP(D974,'[1]Task list &amp; Maintenace plan'!$B:$G,6,FALSE)</f>
        <v>100597</v>
      </c>
      <c r="F974" s="124" t="s">
        <v>1484</v>
      </c>
      <c r="G974" s="107" t="s">
        <v>1507</v>
      </c>
      <c r="H974" s="107" t="s">
        <v>1508</v>
      </c>
      <c r="I974" s="124">
        <v>30</v>
      </c>
      <c r="J974" s="124">
        <v>1</v>
      </c>
      <c r="K974" s="705"/>
      <c r="L974" s="705"/>
      <c r="M974" s="705"/>
      <c r="N974" s="708"/>
    </row>
    <row r="975" spans="1:14" ht="15.75" thickBot="1" x14ac:dyDescent="0.3">
      <c r="A975" t="s">
        <v>180</v>
      </c>
      <c r="B975" s="153" t="s">
        <v>1391</v>
      </c>
      <c r="C975" s="12"/>
      <c r="D975" s="103">
        <v>610000004163</v>
      </c>
      <c r="E975" s="85">
        <f>VLOOKUP(D975,'[1]Task list &amp; Maintenace plan'!$B:$G,6,FALSE)</f>
        <v>100597</v>
      </c>
      <c r="F975" s="85" t="s">
        <v>1484</v>
      </c>
      <c r="G975" s="84" t="s">
        <v>1509</v>
      </c>
      <c r="H975" s="84" t="s">
        <v>1510</v>
      </c>
      <c r="I975" s="85">
        <v>30</v>
      </c>
      <c r="J975" s="85">
        <v>1</v>
      </c>
      <c r="K975" s="706"/>
      <c r="L975" s="706"/>
      <c r="M975" s="706"/>
      <c r="N975" s="709"/>
    </row>
    <row r="976" spans="1:14" ht="15.75" thickBot="1" x14ac:dyDescent="0.3">
      <c r="A976" t="s">
        <v>180</v>
      </c>
      <c r="B976" s="153" t="s">
        <v>1391</v>
      </c>
      <c r="C976" s="12"/>
      <c r="D976" s="100">
        <v>610000004165</v>
      </c>
      <c r="E976" s="101">
        <f>VLOOKUP(D976,'[1]Task list &amp; Maintenace plan'!$B:$G,6,FALSE)</f>
        <v>100599</v>
      </c>
      <c r="F976" s="101" t="s">
        <v>1511</v>
      </c>
      <c r="G976" s="178" t="s">
        <v>1412</v>
      </c>
      <c r="H976" s="178" t="s">
        <v>1512</v>
      </c>
      <c r="I976" s="179">
        <v>60</v>
      </c>
      <c r="J976" s="179">
        <v>1</v>
      </c>
      <c r="K976" s="716">
        <v>180</v>
      </c>
      <c r="L976" s="716">
        <v>1</v>
      </c>
      <c r="M976" s="716">
        <f>K976*L976</f>
        <v>180</v>
      </c>
      <c r="N976" s="719" t="s">
        <v>34</v>
      </c>
    </row>
    <row r="977" spans="1:14" ht="15.75" thickBot="1" x14ac:dyDescent="0.3">
      <c r="A977" t="s">
        <v>180</v>
      </c>
      <c r="B977" s="153" t="s">
        <v>1391</v>
      </c>
      <c r="C977" s="12"/>
      <c r="D977" s="123">
        <v>610000004165</v>
      </c>
      <c r="E977" s="124">
        <f>VLOOKUP(D977,'[1]Task list &amp; Maintenace plan'!$B:$G,6,FALSE)</f>
        <v>100599</v>
      </c>
      <c r="F977" s="124" t="s">
        <v>1511</v>
      </c>
      <c r="G977" s="180" t="s">
        <v>1418</v>
      </c>
      <c r="H977" s="180" t="s">
        <v>1513</v>
      </c>
      <c r="I977" s="181">
        <v>60</v>
      </c>
      <c r="J977" s="181">
        <v>1</v>
      </c>
      <c r="K977" s="717"/>
      <c r="L977" s="717"/>
      <c r="M977" s="717"/>
      <c r="N977" s="720"/>
    </row>
    <row r="978" spans="1:14" ht="15.75" thickBot="1" x14ac:dyDescent="0.3">
      <c r="A978" t="s">
        <v>180</v>
      </c>
      <c r="B978" s="153" t="s">
        <v>1391</v>
      </c>
      <c r="C978" s="12"/>
      <c r="D978" s="123">
        <v>610000004165</v>
      </c>
      <c r="E978" s="124">
        <f>VLOOKUP(D978,'[1]Task list &amp; Maintenace plan'!$B:$G,6,FALSE)</f>
        <v>100599</v>
      </c>
      <c r="F978" s="124" t="s">
        <v>1511</v>
      </c>
      <c r="G978" s="180" t="s">
        <v>1424</v>
      </c>
      <c r="H978" s="180" t="s">
        <v>1514</v>
      </c>
      <c r="I978" s="181">
        <v>60</v>
      </c>
      <c r="J978" s="181">
        <v>1</v>
      </c>
      <c r="K978" s="717"/>
      <c r="L978" s="717"/>
      <c r="M978" s="717"/>
      <c r="N978" s="720"/>
    </row>
    <row r="979" spans="1:14" ht="15.75" thickBot="1" x14ac:dyDescent="0.3">
      <c r="A979" t="s">
        <v>180</v>
      </c>
      <c r="B979" s="153" t="s">
        <v>1391</v>
      </c>
      <c r="C979" s="12"/>
      <c r="D979" s="123">
        <v>610000004165</v>
      </c>
      <c r="E979" s="124">
        <f>VLOOKUP(D979,'[1]Task list &amp; Maintenace plan'!$B:$G,6,FALSE)</f>
        <v>100599</v>
      </c>
      <c r="F979" s="124" t="s">
        <v>1511</v>
      </c>
      <c r="G979" s="180" t="s">
        <v>1430</v>
      </c>
      <c r="H979" s="180" t="s">
        <v>1515</v>
      </c>
      <c r="I979" s="181">
        <v>60</v>
      </c>
      <c r="J979" s="181">
        <v>1</v>
      </c>
      <c r="K979" s="717"/>
      <c r="L979" s="717"/>
      <c r="M979" s="717"/>
      <c r="N979" s="720"/>
    </row>
    <row r="980" spans="1:14" ht="15.75" thickBot="1" x14ac:dyDescent="0.3">
      <c r="A980" t="s">
        <v>180</v>
      </c>
      <c r="B980" s="153" t="s">
        <v>1391</v>
      </c>
      <c r="C980" s="12"/>
      <c r="D980" s="123">
        <v>610000004165</v>
      </c>
      <c r="E980" s="124">
        <f>VLOOKUP(D980,'[1]Task list &amp; Maintenace plan'!$B:$G,6,FALSE)</f>
        <v>100599</v>
      </c>
      <c r="F980" s="124" t="s">
        <v>1511</v>
      </c>
      <c r="G980" s="180" t="s">
        <v>1415</v>
      </c>
      <c r="H980" s="180" t="s">
        <v>1516</v>
      </c>
      <c r="I980" s="181">
        <v>60</v>
      </c>
      <c r="J980" s="181">
        <v>1</v>
      </c>
      <c r="K980" s="717"/>
      <c r="L980" s="717"/>
      <c r="M980" s="717"/>
      <c r="N980" s="720"/>
    </row>
    <row r="981" spans="1:14" ht="15.75" thickBot="1" x14ac:dyDescent="0.3">
      <c r="A981" t="s">
        <v>180</v>
      </c>
      <c r="B981" s="153" t="s">
        <v>1391</v>
      </c>
      <c r="C981" s="12"/>
      <c r="D981" s="123">
        <v>610000004165</v>
      </c>
      <c r="E981" s="124">
        <f>VLOOKUP(D981,'[1]Task list &amp; Maintenace plan'!$B:$G,6,FALSE)</f>
        <v>100599</v>
      </c>
      <c r="F981" s="124" t="s">
        <v>1511</v>
      </c>
      <c r="G981" s="180" t="s">
        <v>1421</v>
      </c>
      <c r="H981" s="180" t="s">
        <v>1517</v>
      </c>
      <c r="I981" s="181">
        <v>60</v>
      </c>
      <c r="J981" s="181">
        <v>1</v>
      </c>
      <c r="K981" s="717"/>
      <c r="L981" s="717"/>
      <c r="M981" s="717"/>
      <c r="N981" s="720"/>
    </row>
    <row r="982" spans="1:14" ht="15.75" thickBot="1" x14ac:dyDescent="0.3">
      <c r="A982" t="s">
        <v>180</v>
      </c>
      <c r="B982" s="153" t="s">
        <v>1391</v>
      </c>
      <c r="C982" s="12"/>
      <c r="D982" s="123">
        <v>610000004165</v>
      </c>
      <c r="E982" s="124">
        <f>VLOOKUP(D982,'[1]Task list &amp; Maintenace plan'!$B:$G,6,FALSE)</f>
        <v>100599</v>
      </c>
      <c r="F982" s="124" t="s">
        <v>1511</v>
      </c>
      <c r="G982" s="180" t="s">
        <v>1427</v>
      </c>
      <c r="H982" s="180" t="s">
        <v>1518</v>
      </c>
      <c r="I982" s="181">
        <v>60</v>
      </c>
      <c r="J982" s="181">
        <v>1</v>
      </c>
      <c r="K982" s="717"/>
      <c r="L982" s="717"/>
      <c r="M982" s="717"/>
      <c r="N982" s="720"/>
    </row>
    <row r="983" spans="1:14" ht="15.75" thickBot="1" x14ac:dyDescent="0.3">
      <c r="A983" t="s">
        <v>180</v>
      </c>
      <c r="B983" s="153" t="s">
        <v>1391</v>
      </c>
      <c r="C983" s="12"/>
      <c r="D983" s="123">
        <v>610000004165</v>
      </c>
      <c r="E983" s="124">
        <f>VLOOKUP(D983,'[1]Task list &amp; Maintenace plan'!$B:$G,6,FALSE)</f>
        <v>100599</v>
      </c>
      <c r="F983" s="124" t="s">
        <v>1511</v>
      </c>
      <c r="G983" s="180" t="s">
        <v>1433</v>
      </c>
      <c r="H983" s="180" t="s">
        <v>1519</v>
      </c>
      <c r="I983" s="181">
        <v>60</v>
      </c>
      <c r="J983" s="181">
        <v>1</v>
      </c>
      <c r="K983" s="717"/>
      <c r="L983" s="717"/>
      <c r="M983" s="717"/>
      <c r="N983" s="720"/>
    </row>
    <row r="984" spans="1:14" ht="15.75" thickBot="1" x14ac:dyDescent="0.3">
      <c r="A984" t="s">
        <v>180</v>
      </c>
      <c r="B984" s="153" t="s">
        <v>1391</v>
      </c>
      <c r="C984" s="12"/>
      <c r="D984" s="123">
        <v>610000004165</v>
      </c>
      <c r="E984" s="124">
        <f>VLOOKUP(D984,'[1]Task list &amp; Maintenace plan'!$B:$G,6,FALSE)</f>
        <v>100599</v>
      </c>
      <c r="F984" s="124" t="s">
        <v>1511</v>
      </c>
      <c r="G984" s="180" t="s">
        <v>1520</v>
      </c>
      <c r="H984" s="180" t="s">
        <v>1521</v>
      </c>
      <c r="I984" s="181">
        <v>60</v>
      </c>
      <c r="J984" s="181">
        <v>1</v>
      </c>
      <c r="K984" s="717"/>
      <c r="L984" s="717"/>
      <c r="M984" s="717"/>
      <c r="N984" s="720"/>
    </row>
    <row r="985" spans="1:14" ht="15.75" thickBot="1" x14ac:dyDescent="0.3">
      <c r="A985" t="s">
        <v>180</v>
      </c>
      <c r="B985" s="153" t="s">
        <v>1391</v>
      </c>
      <c r="C985" s="12"/>
      <c r="D985" s="123">
        <v>610000004165</v>
      </c>
      <c r="E985" s="124">
        <f>VLOOKUP(D985,'[1]Task list &amp; Maintenace plan'!$B:$G,6,FALSE)</f>
        <v>100599</v>
      </c>
      <c r="F985" s="124" t="s">
        <v>1511</v>
      </c>
      <c r="G985" s="180" t="s">
        <v>1522</v>
      </c>
      <c r="H985" s="180" t="s">
        <v>1523</v>
      </c>
      <c r="I985" s="181">
        <v>60</v>
      </c>
      <c r="J985" s="181">
        <v>1</v>
      </c>
      <c r="K985" s="717"/>
      <c r="L985" s="717"/>
      <c r="M985" s="717"/>
      <c r="N985" s="720"/>
    </row>
    <row r="986" spans="1:14" ht="15.75" thickBot="1" x14ac:dyDescent="0.3">
      <c r="A986" t="s">
        <v>180</v>
      </c>
      <c r="B986" s="153" t="s">
        <v>1391</v>
      </c>
      <c r="C986" s="12"/>
      <c r="D986" s="123">
        <v>610000004165</v>
      </c>
      <c r="E986" s="124">
        <f>VLOOKUP(D986,'[1]Task list &amp; Maintenace plan'!$B:$G,6,FALSE)</f>
        <v>100599</v>
      </c>
      <c r="F986" s="124" t="s">
        <v>1511</v>
      </c>
      <c r="G986" s="180" t="s">
        <v>1524</v>
      </c>
      <c r="H986" s="180" t="s">
        <v>1525</v>
      </c>
      <c r="I986" s="181">
        <v>60</v>
      </c>
      <c r="J986" s="181">
        <v>1</v>
      </c>
      <c r="K986" s="717"/>
      <c r="L986" s="717"/>
      <c r="M986" s="717"/>
      <c r="N986" s="720"/>
    </row>
    <row r="987" spans="1:14" ht="15.75" thickBot="1" x14ac:dyDescent="0.3">
      <c r="A987" t="s">
        <v>180</v>
      </c>
      <c r="B987" s="153" t="s">
        <v>1391</v>
      </c>
      <c r="C987" s="12"/>
      <c r="D987" s="123">
        <v>610000004165</v>
      </c>
      <c r="E987" s="124">
        <f>VLOOKUP(D987,'[1]Task list &amp; Maintenace plan'!$B:$G,6,FALSE)</f>
        <v>100599</v>
      </c>
      <c r="F987" s="124" t="s">
        <v>1511</v>
      </c>
      <c r="G987" s="180" t="s">
        <v>1526</v>
      </c>
      <c r="H987" s="180" t="s">
        <v>1527</v>
      </c>
      <c r="I987" s="181">
        <v>60</v>
      </c>
      <c r="J987" s="181">
        <v>1</v>
      </c>
      <c r="K987" s="717"/>
      <c r="L987" s="717"/>
      <c r="M987" s="717"/>
      <c r="N987" s="720"/>
    </row>
    <row r="988" spans="1:14" ht="15.75" thickBot="1" x14ac:dyDescent="0.3">
      <c r="A988" t="s">
        <v>180</v>
      </c>
      <c r="B988" s="153" t="s">
        <v>1391</v>
      </c>
      <c r="C988" s="12"/>
      <c r="D988" s="123">
        <v>610000004165</v>
      </c>
      <c r="E988" s="124">
        <f>VLOOKUP(D988,'[1]Task list &amp; Maintenace plan'!$B:$G,6,FALSE)</f>
        <v>100599</v>
      </c>
      <c r="F988" s="124" t="s">
        <v>1511</v>
      </c>
      <c r="G988" s="180" t="s">
        <v>1457</v>
      </c>
      <c r="H988" s="180" t="s">
        <v>1528</v>
      </c>
      <c r="I988" s="181">
        <v>60</v>
      </c>
      <c r="J988" s="181">
        <v>1</v>
      </c>
      <c r="K988" s="717"/>
      <c r="L988" s="717"/>
      <c r="M988" s="717"/>
      <c r="N988" s="720"/>
    </row>
    <row r="989" spans="1:14" ht="15.75" thickBot="1" x14ac:dyDescent="0.3">
      <c r="A989" t="s">
        <v>180</v>
      </c>
      <c r="B989" s="153" t="s">
        <v>1391</v>
      </c>
      <c r="C989" s="12"/>
      <c r="D989" s="123">
        <v>610000004165</v>
      </c>
      <c r="E989" s="124">
        <f>VLOOKUP(D989,'[1]Task list &amp; Maintenace plan'!$B:$G,6,FALSE)</f>
        <v>100599</v>
      </c>
      <c r="F989" s="124" t="s">
        <v>1511</v>
      </c>
      <c r="G989" s="180" t="s">
        <v>1460</v>
      </c>
      <c r="H989" s="180" t="s">
        <v>1529</v>
      </c>
      <c r="I989" s="181">
        <v>60</v>
      </c>
      <c r="J989" s="181">
        <v>1</v>
      </c>
      <c r="K989" s="717"/>
      <c r="L989" s="717"/>
      <c r="M989" s="717"/>
      <c r="N989" s="720"/>
    </row>
    <row r="990" spans="1:14" ht="15.75" thickBot="1" x14ac:dyDescent="0.3">
      <c r="A990" t="s">
        <v>180</v>
      </c>
      <c r="B990" s="153" t="s">
        <v>1391</v>
      </c>
      <c r="C990" s="12"/>
      <c r="D990" s="123">
        <v>610000004165</v>
      </c>
      <c r="E990" s="124">
        <f>VLOOKUP(D990,'[1]Task list &amp; Maintenace plan'!$B:$G,6,FALSE)</f>
        <v>100599</v>
      </c>
      <c r="F990" s="124" t="s">
        <v>1511</v>
      </c>
      <c r="G990" s="180" t="s">
        <v>1462</v>
      </c>
      <c r="H990" s="180" t="s">
        <v>1530</v>
      </c>
      <c r="I990" s="181">
        <v>60</v>
      </c>
      <c r="J990" s="181">
        <v>1</v>
      </c>
      <c r="K990" s="717"/>
      <c r="L990" s="717"/>
      <c r="M990" s="717"/>
      <c r="N990" s="720"/>
    </row>
    <row r="991" spans="1:14" ht="15.75" thickBot="1" x14ac:dyDescent="0.3">
      <c r="A991" t="s">
        <v>180</v>
      </c>
      <c r="B991" s="153" t="s">
        <v>1391</v>
      </c>
      <c r="C991" s="12"/>
      <c r="D991" s="123">
        <v>610000004165</v>
      </c>
      <c r="E991" s="124">
        <f>VLOOKUP(D991,'[1]Task list &amp; Maintenace plan'!$B:$G,6,FALSE)</f>
        <v>100599</v>
      </c>
      <c r="F991" s="124" t="s">
        <v>1511</v>
      </c>
      <c r="G991" s="180" t="s">
        <v>1464</v>
      </c>
      <c r="H991" s="180" t="s">
        <v>1531</v>
      </c>
      <c r="I991" s="181">
        <v>60</v>
      </c>
      <c r="J991" s="181">
        <v>1</v>
      </c>
      <c r="K991" s="717"/>
      <c r="L991" s="717"/>
      <c r="M991" s="717"/>
      <c r="N991" s="720"/>
    </row>
    <row r="992" spans="1:14" ht="15.75" thickBot="1" x14ac:dyDescent="0.3">
      <c r="A992" t="s">
        <v>180</v>
      </c>
      <c r="B992" s="153" t="s">
        <v>1391</v>
      </c>
      <c r="C992" s="12"/>
      <c r="D992" s="123">
        <v>610000004165</v>
      </c>
      <c r="E992" s="124">
        <f>VLOOKUP(D992,'[1]Task list &amp; Maintenace plan'!$B:$G,6,FALSE)</f>
        <v>100599</v>
      </c>
      <c r="F992" s="124" t="s">
        <v>1511</v>
      </c>
      <c r="G992" s="180" t="s">
        <v>1466</v>
      </c>
      <c r="H992" s="180" t="s">
        <v>1532</v>
      </c>
      <c r="I992" s="181">
        <v>60</v>
      </c>
      <c r="J992" s="181">
        <v>1</v>
      </c>
      <c r="K992" s="717"/>
      <c r="L992" s="717"/>
      <c r="M992" s="717"/>
      <c r="N992" s="720"/>
    </row>
    <row r="993" spans="1:14" ht="15.75" thickBot="1" x14ac:dyDescent="0.3">
      <c r="A993" t="s">
        <v>180</v>
      </c>
      <c r="B993" s="153" t="s">
        <v>1391</v>
      </c>
      <c r="C993" s="12"/>
      <c r="D993" s="103">
        <v>610000004165</v>
      </c>
      <c r="E993" s="85">
        <f>VLOOKUP(D993,'[1]Task list &amp; Maintenace plan'!$B:$G,6,FALSE)</f>
        <v>100599</v>
      </c>
      <c r="F993" s="85" t="s">
        <v>1511</v>
      </c>
      <c r="G993" s="182" t="s">
        <v>1468</v>
      </c>
      <c r="H993" s="182" t="s">
        <v>1533</v>
      </c>
      <c r="I993" s="183">
        <v>60</v>
      </c>
      <c r="J993" s="183">
        <v>1</v>
      </c>
      <c r="K993" s="718"/>
      <c r="L993" s="718"/>
      <c r="M993" s="718"/>
      <c r="N993" s="721"/>
    </row>
    <row r="994" spans="1:14" ht="15.75" thickBot="1" x14ac:dyDescent="0.3">
      <c r="A994" t="s">
        <v>180</v>
      </c>
      <c r="B994" s="153" t="s">
        <v>1391</v>
      </c>
      <c r="C994" s="12"/>
      <c r="D994" s="123">
        <v>610000004166</v>
      </c>
      <c r="E994" s="124">
        <f>VLOOKUP(D994,'[1]Task list &amp; Maintenace plan'!$B:$G,6,FALSE)</f>
        <v>100600</v>
      </c>
      <c r="F994" s="124" t="s">
        <v>1534</v>
      </c>
      <c r="G994" s="180" t="s">
        <v>1412</v>
      </c>
      <c r="H994" s="180" t="s">
        <v>1535</v>
      </c>
      <c r="I994" s="181">
        <v>60</v>
      </c>
      <c r="J994" s="181"/>
      <c r="K994" s="716">
        <v>60</v>
      </c>
      <c r="L994" s="716">
        <v>2</v>
      </c>
      <c r="M994" s="716">
        <f>K994*L994</f>
        <v>120</v>
      </c>
      <c r="N994" s="719" t="s">
        <v>20</v>
      </c>
    </row>
    <row r="995" spans="1:14" ht="15.75" thickBot="1" x14ac:dyDescent="0.3">
      <c r="A995" t="s">
        <v>180</v>
      </c>
      <c r="B995" s="153" t="s">
        <v>1391</v>
      </c>
      <c r="C995" s="12"/>
      <c r="D995" s="123">
        <v>610000004166</v>
      </c>
      <c r="E995" s="124">
        <f>VLOOKUP(D995,'[1]Task list &amp; Maintenace plan'!$B:$G,6,FALSE)</f>
        <v>100600</v>
      </c>
      <c r="F995" s="124" t="s">
        <v>1534</v>
      </c>
      <c r="G995" s="180" t="s">
        <v>1418</v>
      </c>
      <c r="H995" s="180" t="s">
        <v>1536</v>
      </c>
      <c r="I995" s="181">
        <v>60</v>
      </c>
      <c r="J995" s="181"/>
      <c r="K995" s="717"/>
      <c r="L995" s="717"/>
      <c r="M995" s="717"/>
      <c r="N995" s="720"/>
    </row>
    <row r="996" spans="1:14" ht="15.75" thickBot="1" x14ac:dyDescent="0.3">
      <c r="A996" t="s">
        <v>180</v>
      </c>
      <c r="B996" s="153" t="s">
        <v>1391</v>
      </c>
      <c r="C996" s="12"/>
      <c r="D996" s="123">
        <v>610000004166</v>
      </c>
      <c r="E996" s="124">
        <f>VLOOKUP(D996,'[1]Task list &amp; Maintenace plan'!$B:$G,6,FALSE)</f>
        <v>100600</v>
      </c>
      <c r="F996" s="124" t="s">
        <v>1534</v>
      </c>
      <c r="G996" s="180" t="s">
        <v>1424</v>
      </c>
      <c r="H996" s="180" t="s">
        <v>1537</v>
      </c>
      <c r="I996" s="181">
        <v>60</v>
      </c>
      <c r="J996" s="181"/>
      <c r="K996" s="717"/>
      <c r="L996" s="717"/>
      <c r="M996" s="717"/>
      <c r="N996" s="720"/>
    </row>
    <row r="997" spans="1:14" ht="15.75" thickBot="1" x14ac:dyDescent="0.3">
      <c r="A997" t="s">
        <v>180</v>
      </c>
      <c r="B997" s="153" t="s">
        <v>1391</v>
      </c>
      <c r="C997" s="12"/>
      <c r="D997" s="123">
        <v>610000004166</v>
      </c>
      <c r="E997" s="124">
        <f>VLOOKUP(D997,'[1]Task list &amp; Maintenace plan'!$B:$G,6,FALSE)</f>
        <v>100600</v>
      </c>
      <c r="F997" s="124" t="s">
        <v>1534</v>
      </c>
      <c r="G997" s="180" t="s">
        <v>1430</v>
      </c>
      <c r="H997" s="180" t="s">
        <v>1538</v>
      </c>
      <c r="I997" s="181">
        <v>60</v>
      </c>
      <c r="J997" s="181"/>
      <c r="K997" s="717"/>
      <c r="L997" s="717"/>
      <c r="M997" s="717"/>
      <c r="N997" s="720"/>
    </row>
    <row r="998" spans="1:14" ht="15.75" thickBot="1" x14ac:dyDescent="0.3">
      <c r="A998" t="s">
        <v>180</v>
      </c>
      <c r="B998" s="153" t="s">
        <v>1391</v>
      </c>
      <c r="C998" s="12"/>
      <c r="D998" s="123">
        <v>610000004166</v>
      </c>
      <c r="E998" s="124">
        <f>VLOOKUP(D998,'[1]Task list &amp; Maintenace plan'!$B:$G,6,FALSE)</f>
        <v>100600</v>
      </c>
      <c r="F998" s="124" t="s">
        <v>1534</v>
      </c>
      <c r="G998" s="180" t="s">
        <v>1415</v>
      </c>
      <c r="H998" s="180" t="s">
        <v>1539</v>
      </c>
      <c r="I998" s="181">
        <v>60</v>
      </c>
      <c r="J998" s="181"/>
      <c r="K998" s="717"/>
      <c r="L998" s="717"/>
      <c r="M998" s="717"/>
      <c r="N998" s="720"/>
    </row>
    <row r="999" spans="1:14" ht="15.75" thickBot="1" x14ac:dyDescent="0.3">
      <c r="A999" t="s">
        <v>180</v>
      </c>
      <c r="B999" s="153" t="s">
        <v>1391</v>
      </c>
      <c r="C999" s="12"/>
      <c r="D999" s="123">
        <v>610000004166</v>
      </c>
      <c r="E999" s="124">
        <f>VLOOKUP(D999,'[1]Task list &amp; Maintenace plan'!$B:$G,6,FALSE)</f>
        <v>100600</v>
      </c>
      <c r="F999" s="124" t="s">
        <v>1534</v>
      </c>
      <c r="G999" s="180" t="s">
        <v>1421</v>
      </c>
      <c r="H999" s="180" t="s">
        <v>1540</v>
      </c>
      <c r="I999" s="181">
        <v>60</v>
      </c>
      <c r="J999" s="181"/>
      <c r="K999" s="717"/>
      <c r="L999" s="717"/>
      <c r="M999" s="717"/>
      <c r="N999" s="720"/>
    </row>
    <row r="1000" spans="1:14" ht="15.75" thickBot="1" x14ac:dyDescent="0.3">
      <c r="A1000" t="s">
        <v>180</v>
      </c>
      <c r="B1000" s="153" t="s">
        <v>1391</v>
      </c>
      <c r="C1000" s="12"/>
      <c r="D1000" s="123">
        <v>610000004166</v>
      </c>
      <c r="E1000" s="124">
        <f>VLOOKUP(D1000,'[1]Task list &amp; Maintenace plan'!$B:$G,6,FALSE)</f>
        <v>100600</v>
      </c>
      <c r="F1000" s="124" t="s">
        <v>1534</v>
      </c>
      <c r="G1000" s="180" t="s">
        <v>1427</v>
      </c>
      <c r="H1000" s="180" t="s">
        <v>1541</v>
      </c>
      <c r="I1000" s="181">
        <v>60</v>
      </c>
      <c r="J1000" s="181"/>
      <c r="K1000" s="717"/>
      <c r="L1000" s="717"/>
      <c r="M1000" s="717"/>
      <c r="N1000" s="720"/>
    </row>
    <row r="1001" spans="1:14" ht="15.75" thickBot="1" x14ac:dyDescent="0.3">
      <c r="A1001" t="s">
        <v>180</v>
      </c>
      <c r="B1001" s="153" t="s">
        <v>1391</v>
      </c>
      <c r="C1001" s="12"/>
      <c r="D1001" s="123">
        <v>610000004166</v>
      </c>
      <c r="E1001" s="124">
        <f>VLOOKUP(D1001,'[1]Task list &amp; Maintenace plan'!$B:$G,6,FALSE)</f>
        <v>100600</v>
      </c>
      <c r="F1001" s="124" t="s">
        <v>1534</v>
      </c>
      <c r="G1001" s="180" t="s">
        <v>1433</v>
      </c>
      <c r="H1001" s="180" t="s">
        <v>1542</v>
      </c>
      <c r="I1001" s="181">
        <v>60</v>
      </c>
      <c r="J1001" s="181"/>
      <c r="K1001" s="717"/>
      <c r="L1001" s="717"/>
      <c r="M1001" s="717"/>
      <c r="N1001" s="720"/>
    </row>
    <row r="1002" spans="1:14" ht="15.75" thickBot="1" x14ac:dyDescent="0.3">
      <c r="A1002" t="s">
        <v>180</v>
      </c>
      <c r="B1002" s="153" t="s">
        <v>1391</v>
      </c>
      <c r="C1002" s="12"/>
      <c r="D1002" s="123">
        <v>610000004166</v>
      </c>
      <c r="E1002" s="124">
        <f>VLOOKUP(D1002,'[1]Task list &amp; Maintenace plan'!$B:$G,6,FALSE)</f>
        <v>100600</v>
      </c>
      <c r="F1002" s="124" t="s">
        <v>1534</v>
      </c>
      <c r="G1002" s="180" t="s">
        <v>1439</v>
      </c>
      <c r="H1002" s="180" t="s">
        <v>1543</v>
      </c>
      <c r="I1002" s="181">
        <v>60</v>
      </c>
      <c r="J1002" s="181"/>
      <c r="K1002" s="717"/>
      <c r="L1002" s="717"/>
      <c r="M1002" s="717"/>
      <c r="N1002" s="720"/>
    </row>
    <row r="1003" spans="1:14" ht="15.75" thickBot="1" x14ac:dyDescent="0.3">
      <c r="A1003" t="s">
        <v>180</v>
      </c>
      <c r="B1003" s="153" t="s">
        <v>1391</v>
      </c>
      <c r="C1003" s="12"/>
      <c r="D1003" s="123">
        <v>610000004166</v>
      </c>
      <c r="E1003" s="124">
        <f>VLOOKUP(D1003,'[1]Task list &amp; Maintenace plan'!$B:$G,6,FALSE)</f>
        <v>100600</v>
      </c>
      <c r="F1003" s="124" t="s">
        <v>1534</v>
      </c>
      <c r="G1003" s="180" t="s">
        <v>1443</v>
      </c>
      <c r="H1003" s="180" t="s">
        <v>1544</v>
      </c>
      <c r="I1003" s="181">
        <v>60</v>
      </c>
      <c r="J1003" s="181"/>
      <c r="K1003" s="717"/>
      <c r="L1003" s="717"/>
      <c r="M1003" s="717"/>
      <c r="N1003" s="720"/>
    </row>
    <row r="1004" spans="1:14" ht="15.75" thickBot="1" x14ac:dyDescent="0.3">
      <c r="A1004" t="s">
        <v>180</v>
      </c>
      <c r="B1004" s="153" t="s">
        <v>1391</v>
      </c>
      <c r="C1004" s="12"/>
      <c r="D1004" s="123">
        <v>610000004166</v>
      </c>
      <c r="E1004" s="124">
        <f>VLOOKUP(D1004,'[1]Task list &amp; Maintenace plan'!$B:$G,6,FALSE)</f>
        <v>100600</v>
      </c>
      <c r="F1004" s="124" t="s">
        <v>1534</v>
      </c>
      <c r="G1004" s="180" t="s">
        <v>1449</v>
      </c>
      <c r="H1004" s="180" t="s">
        <v>1545</v>
      </c>
      <c r="I1004" s="181">
        <v>60</v>
      </c>
      <c r="J1004" s="181"/>
      <c r="K1004" s="717"/>
      <c r="L1004" s="717"/>
      <c r="M1004" s="717"/>
      <c r="N1004" s="720"/>
    </row>
    <row r="1005" spans="1:14" ht="15.75" thickBot="1" x14ac:dyDescent="0.3">
      <c r="A1005" t="s">
        <v>180</v>
      </c>
      <c r="B1005" s="153" t="s">
        <v>1391</v>
      </c>
      <c r="C1005" s="12"/>
      <c r="D1005" s="123">
        <v>610000004166</v>
      </c>
      <c r="E1005" s="124">
        <f>VLOOKUP(D1005,'[1]Task list &amp; Maintenace plan'!$B:$G,6,FALSE)</f>
        <v>100600</v>
      </c>
      <c r="F1005" s="124" t="s">
        <v>1534</v>
      </c>
      <c r="G1005" s="180" t="s">
        <v>1455</v>
      </c>
      <c r="H1005" s="180" t="s">
        <v>1546</v>
      </c>
      <c r="I1005" s="181">
        <v>60</v>
      </c>
      <c r="J1005" s="181"/>
      <c r="K1005" s="717"/>
      <c r="L1005" s="717"/>
      <c r="M1005" s="717"/>
      <c r="N1005" s="720"/>
    </row>
    <row r="1006" spans="1:14" ht="15.75" thickBot="1" x14ac:dyDescent="0.3">
      <c r="A1006" t="s">
        <v>180</v>
      </c>
      <c r="B1006" s="153" t="s">
        <v>1391</v>
      </c>
      <c r="C1006" s="12"/>
      <c r="D1006" s="123">
        <v>610000004166</v>
      </c>
      <c r="E1006" s="124">
        <f>VLOOKUP(D1006,'[1]Task list &amp; Maintenace plan'!$B:$G,6,FALSE)</f>
        <v>100600</v>
      </c>
      <c r="F1006" s="124" t="s">
        <v>1534</v>
      </c>
      <c r="G1006" s="180" t="s">
        <v>1457</v>
      </c>
      <c r="H1006" s="180" t="s">
        <v>1547</v>
      </c>
      <c r="I1006" s="181">
        <v>60</v>
      </c>
      <c r="J1006" s="181"/>
      <c r="K1006" s="717"/>
      <c r="L1006" s="717"/>
      <c r="M1006" s="717"/>
      <c r="N1006" s="720"/>
    </row>
    <row r="1007" spans="1:14" ht="15.75" thickBot="1" x14ac:dyDescent="0.3">
      <c r="A1007" t="s">
        <v>180</v>
      </c>
      <c r="B1007" s="153" t="s">
        <v>1391</v>
      </c>
      <c r="C1007" s="12"/>
      <c r="D1007" s="123">
        <v>610000004166</v>
      </c>
      <c r="E1007" s="124">
        <f>VLOOKUP(D1007,'[1]Task list &amp; Maintenace plan'!$B:$G,6,FALSE)</f>
        <v>100600</v>
      </c>
      <c r="F1007" s="124" t="s">
        <v>1534</v>
      </c>
      <c r="G1007" s="180" t="s">
        <v>1460</v>
      </c>
      <c r="H1007" s="180" t="s">
        <v>1548</v>
      </c>
      <c r="I1007" s="181">
        <v>60</v>
      </c>
      <c r="J1007" s="181"/>
      <c r="K1007" s="717"/>
      <c r="L1007" s="717"/>
      <c r="M1007" s="717"/>
      <c r="N1007" s="720"/>
    </row>
    <row r="1008" spans="1:14" ht="15.75" thickBot="1" x14ac:dyDescent="0.3">
      <c r="A1008" t="s">
        <v>180</v>
      </c>
      <c r="B1008" s="153" t="s">
        <v>1391</v>
      </c>
      <c r="C1008" s="12"/>
      <c r="D1008" s="123">
        <v>610000004166</v>
      </c>
      <c r="E1008" s="124">
        <f>VLOOKUP(D1008,'[1]Task list &amp; Maintenace plan'!$B:$G,6,FALSE)</f>
        <v>100600</v>
      </c>
      <c r="F1008" s="124" t="s">
        <v>1534</v>
      </c>
      <c r="G1008" s="180" t="s">
        <v>1462</v>
      </c>
      <c r="H1008" s="180" t="s">
        <v>1549</v>
      </c>
      <c r="I1008" s="181">
        <v>60</v>
      </c>
      <c r="J1008" s="181"/>
      <c r="K1008" s="717"/>
      <c r="L1008" s="717"/>
      <c r="M1008" s="717"/>
      <c r="N1008" s="720"/>
    </row>
    <row r="1009" spans="1:14" ht="15.75" thickBot="1" x14ac:dyDescent="0.3">
      <c r="A1009" t="s">
        <v>180</v>
      </c>
      <c r="B1009" s="153" t="s">
        <v>1391</v>
      </c>
      <c r="C1009" s="12"/>
      <c r="D1009" s="123">
        <v>610000004166</v>
      </c>
      <c r="E1009" s="124">
        <f>VLOOKUP(D1009,'[1]Task list &amp; Maintenace plan'!$B:$G,6,FALSE)</f>
        <v>100600</v>
      </c>
      <c r="F1009" s="124" t="s">
        <v>1534</v>
      </c>
      <c r="G1009" s="180" t="s">
        <v>1464</v>
      </c>
      <c r="H1009" s="180" t="s">
        <v>1550</v>
      </c>
      <c r="I1009" s="181">
        <v>60</v>
      </c>
      <c r="J1009" s="181"/>
      <c r="K1009" s="717"/>
      <c r="L1009" s="717"/>
      <c r="M1009" s="717"/>
      <c r="N1009" s="720"/>
    </row>
    <row r="1010" spans="1:14" ht="15.75" thickBot="1" x14ac:dyDescent="0.3">
      <c r="A1010" t="s">
        <v>180</v>
      </c>
      <c r="B1010" s="153" t="s">
        <v>1391</v>
      </c>
      <c r="C1010" s="12"/>
      <c r="D1010" s="123">
        <v>610000004166</v>
      </c>
      <c r="E1010" s="124">
        <f>VLOOKUP(D1010,'[1]Task list &amp; Maintenace plan'!$B:$G,6,FALSE)</f>
        <v>100600</v>
      </c>
      <c r="F1010" s="124" t="s">
        <v>1534</v>
      </c>
      <c r="G1010" s="180" t="s">
        <v>1466</v>
      </c>
      <c r="H1010" s="180" t="s">
        <v>1551</v>
      </c>
      <c r="I1010" s="181">
        <v>60</v>
      </c>
      <c r="J1010" s="181"/>
      <c r="K1010" s="717"/>
      <c r="L1010" s="717"/>
      <c r="M1010" s="717"/>
      <c r="N1010" s="720"/>
    </row>
    <row r="1011" spans="1:14" ht="15.75" thickBot="1" x14ac:dyDescent="0.3">
      <c r="A1011" t="s">
        <v>180</v>
      </c>
      <c r="B1011" s="153" t="s">
        <v>1391</v>
      </c>
      <c r="C1011" s="12"/>
      <c r="D1011" s="103">
        <v>610000004166</v>
      </c>
      <c r="E1011" s="85">
        <f>VLOOKUP(D1011,'[1]Task list &amp; Maintenace plan'!$B:$G,6,FALSE)</f>
        <v>100600</v>
      </c>
      <c r="F1011" s="85" t="s">
        <v>1534</v>
      </c>
      <c r="G1011" s="182" t="s">
        <v>1468</v>
      </c>
      <c r="H1011" s="182" t="s">
        <v>1552</v>
      </c>
      <c r="I1011" s="183">
        <v>60</v>
      </c>
      <c r="J1011" s="183"/>
      <c r="K1011" s="718"/>
      <c r="L1011" s="718"/>
      <c r="M1011" s="718"/>
      <c r="N1011" s="721"/>
    </row>
    <row r="1012" spans="1:14" ht="15.75" thickBot="1" x14ac:dyDescent="0.3">
      <c r="A1012" t="s">
        <v>180</v>
      </c>
      <c r="B1012" s="153" t="s">
        <v>1391</v>
      </c>
      <c r="C1012" s="12"/>
      <c r="D1012" s="100">
        <v>610000004167</v>
      </c>
      <c r="E1012" s="101">
        <f>VLOOKUP(D1012,'[1]Task list &amp; Maintenace plan'!$B:$G,6,FALSE)</f>
        <v>100601</v>
      </c>
      <c r="F1012" s="101" t="s">
        <v>1553</v>
      </c>
      <c r="G1012" s="178" t="s">
        <v>1436</v>
      </c>
      <c r="H1012" s="178" t="s">
        <v>1554</v>
      </c>
      <c r="I1012" s="179">
        <v>90</v>
      </c>
      <c r="J1012" s="179">
        <v>1</v>
      </c>
      <c r="K1012" s="716">
        <v>90</v>
      </c>
      <c r="L1012" s="716">
        <v>1</v>
      </c>
      <c r="M1012" s="716">
        <f>K1012*L1012</f>
        <v>90</v>
      </c>
      <c r="N1012" s="719" t="s">
        <v>34</v>
      </c>
    </row>
    <row r="1013" spans="1:14" ht="15.75" thickBot="1" x14ac:dyDescent="0.3">
      <c r="A1013" t="s">
        <v>180</v>
      </c>
      <c r="B1013" s="153" t="s">
        <v>1391</v>
      </c>
      <c r="C1013" s="12"/>
      <c r="D1013" s="123">
        <v>610000004167</v>
      </c>
      <c r="E1013" s="124">
        <f>VLOOKUP(D1013,'[1]Task list &amp; Maintenace plan'!$B:$G,6,FALSE)</f>
        <v>100601</v>
      </c>
      <c r="F1013" s="124" t="s">
        <v>1553</v>
      </c>
      <c r="G1013" s="180" t="s">
        <v>1441</v>
      </c>
      <c r="H1013" s="180" t="s">
        <v>1555</v>
      </c>
      <c r="I1013" s="181">
        <v>90</v>
      </c>
      <c r="J1013" s="181">
        <v>1</v>
      </c>
      <c r="K1013" s="717"/>
      <c r="L1013" s="717"/>
      <c r="M1013" s="717"/>
      <c r="N1013" s="720"/>
    </row>
    <row r="1014" spans="1:14" ht="15.75" thickBot="1" x14ac:dyDescent="0.3">
      <c r="A1014" t="s">
        <v>180</v>
      </c>
      <c r="B1014" s="153" t="s">
        <v>1391</v>
      </c>
      <c r="C1014" s="12"/>
      <c r="D1014" s="123">
        <v>610000004167</v>
      </c>
      <c r="E1014" s="124">
        <f>VLOOKUP(D1014,'[1]Task list &amp; Maintenace plan'!$B:$G,6,FALSE)</f>
        <v>100601</v>
      </c>
      <c r="F1014" s="124" t="s">
        <v>1553</v>
      </c>
      <c r="G1014" s="180" t="s">
        <v>1446</v>
      </c>
      <c r="H1014" s="180" t="s">
        <v>1556</v>
      </c>
      <c r="I1014" s="181">
        <v>90</v>
      </c>
      <c r="J1014" s="181">
        <v>1</v>
      </c>
      <c r="K1014" s="717"/>
      <c r="L1014" s="717"/>
      <c r="M1014" s="717"/>
      <c r="N1014" s="720"/>
    </row>
    <row r="1015" spans="1:14" ht="15.75" thickBot="1" x14ac:dyDescent="0.3">
      <c r="A1015" t="s">
        <v>180</v>
      </c>
      <c r="B1015" s="153" t="s">
        <v>1391</v>
      </c>
      <c r="C1015" s="12"/>
      <c r="D1015" s="103">
        <v>610000004167</v>
      </c>
      <c r="E1015" s="85">
        <f>VLOOKUP(D1015,'[1]Task list &amp; Maintenace plan'!$B:$G,6,FALSE)</f>
        <v>100601</v>
      </c>
      <c r="F1015" s="85" t="s">
        <v>1553</v>
      </c>
      <c r="G1015" s="182" t="s">
        <v>1452</v>
      </c>
      <c r="H1015" s="182" t="s">
        <v>1557</v>
      </c>
      <c r="I1015" s="183">
        <v>90</v>
      </c>
      <c r="J1015" s="183">
        <v>1</v>
      </c>
      <c r="K1015" s="718"/>
      <c r="L1015" s="718"/>
      <c r="M1015" s="718"/>
      <c r="N1015" s="721"/>
    </row>
    <row r="1016" spans="1:14" ht="15.75" thickBot="1" x14ac:dyDescent="0.3">
      <c r="A1016" t="s">
        <v>180</v>
      </c>
      <c r="B1016" s="153" t="s">
        <v>1391</v>
      </c>
      <c r="C1016" s="12"/>
      <c r="D1016" s="100">
        <v>610000004168</v>
      </c>
      <c r="E1016" s="101">
        <f>VLOOKUP(D1016,'[1]Task list &amp; Maintenace plan'!$B:$G,6,FALSE)</f>
        <v>100602</v>
      </c>
      <c r="F1016" s="101" t="s">
        <v>1558</v>
      </c>
      <c r="G1016" s="178" t="s">
        <v>1436</v>
      </c>
      <c r="H1016" s="178" t="s">
        <v>1559</v>
      </c>
      <c r="I1016" s="179">
        <v>90</v>
      </c>
      <c r="J1016" s="179"/>
      <c r="K1016" s="716">
        <v>30</v>
      </c>
      <c r="L1016" s="716">
        <v>1</v>
      </c>
      <c r="M1016" s="716">
        <f>K1016*L1016</f>
        <v>30</v>
      </c>
      <c r="N1016" s="719" t="s">
        <v>20</v>
      </c>
    </row>
    <row r="1017" spans="1:14" ht="15.75" thickBot="1" x14ac:dyDescent="0.3">
      <c r="A1017" t="s">
        <v>180</v>
      </c>
      <c r="B1017" s="153" t="s">
        <v>1391</v>
      </c>
      <c r="C1017" s="12"/>
      <c r="D1017" s="123">
        <v>610000004168</v>
      </c>
      <c r="E1017" s="124">
        <f>VLOOKUP(D1017,'[1]Task list &amp; Maintenace plan'!$B:$G,6,FALSE)</f>
        <v>100602</v>
      </c>
      <c r="F1017" s="124" t="s">
        <v>1558</v>
      </c>
      <c r="G1017" s="180" t="s">
        <v>1441</v>
      </c>
      <c r="H1017" s="180" t="s">
        <v>1560</v>
      </c>
      <c r="I1017" s="181">
        <v>90</v>
      </c>
      <c r="J1017" s="181"/>
      <c r="K1017" s="717"/>
      <c r="L1017" s="717"/>
      <c r="M1017" s="717"/>
      <c r="N1017" s="720"/>
    </row>
    <row r="1018" spans="1:14" ht="15.75" thickBot="1" x14ac:dyDescent="0.3">
      <c r="A1018" t="s">
        <v>180</v>
      </c>
      <c r="B1018" s="153" t="s">
        <v>1391</v>
      </c>
      <c r="C1018" s="12"/>
      <c r="D1018" s="123">
        <v>610000004168</v>
      </c>
      <c r="E1018" s="124">
        <f>VLOOKUP(D1018,'[1]Task list &amp; Maintenace plan'!$B:$G,6,FALSE)</f>
        <v>100602</v>
      </c>
      <c r="F1018" s="124" t="s">
        <v>1558</v>
      </c>
      <c r="G1018" s="180" t="s">
        <v>1446</v>
      </c>
      <c r="H1018" s="180" t="s">
        <v>1561</v>
      </c>
      <c r="I1018" s="181">
        <v>90</v>
      </c>
      <c r="J1018" s="181"/>
      <c r="K1018" s="717"/>
      <c r="L1018" s="717"/>
      <c r="M1018" s="717"/>
      <c r="N1018" s="720"/>
    </row>
    <row r="1019" spans="1:14" ht="15.75" thickBot="1" x14ac:dyDescent="0.3">
      <c r="A1019" t="s">
        <v>180</v>
      </c>
      <c r="B1019" s="153" t="s">
        <v>1391</v>
      </c>
      <c r="C1019" s="12"/>
      <c r="D1019" s="103">
        <v>610000004168</v>
      </c>
      <c r="E1019" s="85">
        <f>VLOOKUP(D1019,'[1]Task list &amp; Maintenace plan'!$B:$G,6,FALSE)</f>
        <v>100602</v>
      </c>
      <c r="F1019" s="85" t="s">
        <v>1558</v>
      </c>
      <c r="G1019" s="182" t="s">
        <v>1452</v>
      </c>
      <c r="H1019" s="182" t="s">
        <v>1562</v>
      </c>
      <c r="I1019" s="183">
        <v>90</v>
      </c>
      <c r="J1019" s="183"/>
      <c r="K1019" s="718"/>
      <c r="L1019" s="718"/>
      <c r="M1019" s="718"/>
      <c r="N1019" s="721"/>
    </row>
    <row r="1020" spans="1:14" ht="15.75" thickBot="1" x14ac:dyDescent="0.3">
      <c r="A1020" t="s">
        <v>180</v>
      </c>
      <c r="B1020" s="153" t="s">
        <v>1391</v>
      </c>
      <c r="C1020" s="12"/>
      <c r="D1020" s="13">
        <v>342631</v>
      </c>
      <c r="E1020" s="14">
        <f>VLOOKUP(D1020,'[1]Task list &amp; Maintenace plan'!$B:$G,6,FALSE)</f>
        <v>594</v>
      </c>
      <c r="F1020" s="14" t="s">
        <v>1563</v>
      </c>
      <c r="G1020" s="15" t="s">
        <v>1394</v>
      </c>
      <c r="H1020" s="15" t="s">
        <v>1564</v>
      </c>
      <c r="I1020" s="14">
        <v>90</v>
      </c>
      <c r="J1020" s="14">
        <v>1</v>
      </c>
      <c r="K1020" s="686">
        <v>120</v>
      </c>
      <c r="L1020" s="686">
        <v>2</v>
      </c>
      <c r="M1020" s="686">
        <f>K1020*L1020</f>
        <v>240</v>
      </c>
      <c r="N1020" s="689" t="s">
        <v>20</v>
      </c>
    </row>
    <row r="1021" spans="1:14" ht="15.75" thickBot="1" x14ac:dyDescent="0.3">
      <c r="A1021" t="s">
        <v>180</v>
      </c>
      <c r="B1021" s="153" t="s">
        <v>1391</v>
      </c>
      <c r="C1021" s="12"/>
      <c r="D1021" s="13">
        <v>342631</v>
      </c>
      <c r="E1021" s="14">
        <f>VLOOKUP(D1021,'[1]Task list &amp; Maintenace plan'!$B:$G,6,FALSE)</f>
        <v>594</v>
      </c>
      <c r="F1021" s="14" t="s">
        <v>1563</v>
      </c>
      <c r="G1021" s="15" t="s">
        <v>1397</v>
      </c>
      <c r="H1021" s="15" t="s">
        <v>1564</v>
      </c>
      <c r="I1021" s="14">
        <v>90</v>
      </c>
      <c r="J1021" s="14">
        <v>1</v>
      </c>
      <c r="K1021" s="687"/>
      <c r="L1021" s="687"/>
      <c r="M1021" s="687"/>
      <c r="N1021" s="690"/>
    </row>
    <row r="1022" spans="1:14" ht="15.75" thickBot="1" x14ac:dyDescent="0.3">
      <c r="A1022" t="s">
        <v>180</v>
      </c>
      <c r="B1022" s="153" t="s">
        <v>1391</v>
      </c>
      <c r="C1022" s="12"/>
      <c r="D1022" s="13">
        <v>342631</v>
      </c>
      <c r="E1022" s="14">
        <f>VLOOKUP(D1022,'[1]Task list &amp; Maintenace plan'!$B:$G,6,FALSE)</f>
        <v>594</v>
      </c>
      <c r="F1022" s="14" t="s">
        <v>1563</v>
      </c>
      <c r="G1022" s="15" t="s">
        <v>1400</v>
      </c>
      <c r="H1022" s="15" t="s">
        <v>1564</v>
      </c>
      <c r="I1022" s="14">
        <v>90</v>
      </c>
      <c r="J1022" s="14">
        <v>1</v>
      </c>
      <c r="K1022" s="687"/>
      <c r="L1022" s="687"/>
      <c r="M1022" s="687"/>
      <c r="N1022" s="690"/>
    </row>
    <row r="1023" spans="1:14" ht="15.75" thickBot="1" x14ac:dyDescent="0.3">
      <c r="A1023" t="s">
        <v>180</v>
      </c>
      <c r="B1023" s="153" t="s">
        <v>1391</v>
      </c>
      <c r="C1023" s="12"/>
      <c r="D1023" s="13">
        <v>342631</v>
      </c>
      <c r="E1023" s="14">
        <f>VLOOKUP(D1023,'[1]Task list &amp; Maintenace plan'!$B:$G,6,FALSE)</f>
        <v>594</v>
      </c>
      <c r="F1023" s="14" t="s">
        <v>1563</v>
      </c>
      <c r="G1023" s="15" t="s">
        <v>1403</v>
      </c>
      <c r="H1023" s="15" t="s">
        <v>1564</v>
      </c>
      <c r="I1023" s="14">
        <v>90</v>
      </c>
      <c r="J1023" s="14">
        <v>1</v>
      </c>
      <c r="K1023" s="687"/>
      <c r="L1023" s="687"/>
      <c r="M1023" s="687"/>
      <c r="N1023" s="690"/>
    </row>
    <row r="1024" spans="1:14" ht="15.75" thickBot="1" x14ac:dyDescent="0.3">
      <c r="A1024" t="s">
        <v>180</v>
      </c>
      <c r="B1024" s="153" t="s">
        <v>1391</v>
      </c>
      <c r="C1024" s="12"/>
      <c r="D1024" s="17">
        <v>342631</v>
      </c>
      <c r="E1024" s="14">
        <f>VLOOKUP(D1024,'[1]Task list &amp; Maintenace plan'!$B:$G,6,FALSE)</f>
        <v>594</v>
      </c>
      <c r="F1024" s="18" t="s">
        <v>1563</v>
      </c>
      <c r="G1024" s="15" t="s">
        <v>1394</v>
      </c>
      <c r="H1024" s="19" t="s">
        <v>1565</v>
      </c>
      <c r="I1024" s="18">
        <v>90</v>
      </c>
      <c r="J1024" s="18">
        <v>1</v>
      </c>
      <c r="K1024" s="687"/>
      <c r="L1024" s="687"/>
      <c r="M1024" s="687"/>
      <c r="N1024" s="690"/>
    </row>
    <row r="1025" spans="1:14" ht="15.75" thickBot="1" x14ac:dyDescent="0.3">
      <c r="A1025" t="s">
        <v>180</v>
      </c>
      <c r="B1025" s="153" t="s">
        <v>1391</v>
      </c>
      <c r="C1025" s="12"/>
      <c r="D1025" s="38">
        <v>342631</v>
      </c>
      <c r="E1025" s="58">
        <f>VLOOKUP(D1025,'[1]Task list &amp; Maintenace plan'!$B:$G,6,FALSE)</f>
        <v>594</v>
      </c>
      <c r="F1025" s="39" t="s">
        <v>1563</v>
      </c>
      <c r="G1025" s="15" t="s">
        <v>1397</v>
      </c>
      <c r="H1025" s="40" t="s">
        <v>1565</v>
      </c>
      <c r="I1025" s="39">
        <v>90</v>
      </c>
      <c r="J1025" s="39">
        <v>1</v>
      </c>
      <c r="K1025" s="687"/>
      <c r="L1025" s="687"/>
      <c r="M1025" s="687"/>
      <c r="N1025" s="690"/>
    </row>
    <row r="1026" spans="1:14" ht="15.75" thickBot="1" x14ac:dyDescent="0.3">
      <c r="A1026" t="s">
        <v>180</v>
      </c>
      <c r="B1026" s="153" t="s">
        <v>1391</v>
      </c>
      <c r="C1026" s="12"/>
      <c r="D1026" s="38">
        <v>342631</v>
      </c>
      <c r="E1026" s="58">
        <f>VLOOKUP(D1026,'[1]Task list &amp; Maintenace plan'!$B:$G,6,FALSE)</f>
        <v>594</v>
      </c>
      <c r="F1026" s="39" t="s">
        <v>1563</v>
      </c>
      <c r="G1026" s="15" t="s">
        <v>1400</v>
      </c>
      <c r="H1026" s="40" t="s">
        <v>1565</v>
      </c>
      <c r="I1026" s="39">
        <v>90</v>
      </c>
      <c r="J1026" s="39">
        <v>1</v>
      </c>
      <c r="K1026" s="687"/>
      <c r="L1026" s="687"/>
      <c r="M1026" s="687"/>
      <c r="N1026" s="690"/>
    </row>
    <row r="1027" spans="1:14" ht="15.75" thickBot="1" x14ac:dyDescent="0.3">
      <c r="A1027" t="s">
        <v>180</v>
      </c>
      <c r="B1027" s="153" t="s">
        <v>1391</v>
      </c>
      <c r="C1027" s="12"/>
      <c r="D1027" s="38">
        <v>342631</v>
      </c>
      <c r="E1027" s="58">
        <f>VLOOKUP(D1027,'[1]Task list &amp; Maintenace plan'!$B:$G,6,FALSE)</f>
        <v>594</v>
      </c>
      <c r="F1027" s="39" t="s">
        <v>1563</v>
      </c>
      <c r="G1027" s="15" t="s">
        <v>1403</v>
      </c>
      <c r="H1027" s="40" t="s">
        <v>1565</v>
      </c>
      <c r="I1027" s="39">
        <v>90</v>
      </c>
      <c r="J1027" s="39">
        <v>1</v>
      </c>
      <c r="K1027" s="687"/>
      <c r="L1027" s="687"/>
      <c r="M1027" s="687"/>
      <c r="N1027" s="690"/>
    </row>
    <row r="1028" spans="1:14" ht="15.75" thickBot="1" x14ac:dyDescent="0.3">
      <c r="A1028" t="s">
        <v>180</v>
      </c>
      <c r="B1028" s="153" t="s">
        <v>1391</v>
      </c>
      <c r="C1028" s="12"/>
      <c r="D1028" s="38">
        <v>342631</v>
      </c>
      <c r="E1028" s="58">
        <f>VLOOKUP(D1028,'[1]Task list &amp; Maintenace plan'!$B:$G,6,FALSE)</f>
        <v>594</v>
      </c>
      <c r="F1028" s="39" t="s">
        <v>1563</v>
      </c>
      <c r="G1028" s="15" t="s">
        <v>1394</v>
      </c>
      <c r="H1028" s="40" t="s">
        <v>1566</v>
      </c>
      <c r="I1028" s="39">
        <v>90</v>
      </c>
      <c r="J1028" s="39">
        <v>1</v>
      </c>
      <c r="K1028" s="687"/>
      <c r="L1028" s="687"/>
      <c r="M1028" s="687"/>
      <c r="N1028" s="690"/>
    </row>
    <row r="1029" spans="1:14" ht="15.75" thickBot="1" x14ac:dyDescent="0.3">
      <c r="A1029" t="s">
        <v>180</v>
      </c>
      <c r="B1029" s="153" t="s">
        <v>1391</v>
      </c>
      <c r="C1029" s="12"/>
      <c r="D1029" s="38">
        <v>342631</v>
      </c>
      <c r="E1029" s="58">
        <f>VLOOKUP(D1029,'[1]Task list &amp; Maintenace plan'!$B:$G,6,FALSE)</f>
        <v>594</v>
      </c>
      <c r="F1029" s="39" t="s">
        <v>1563</v>
      </c>
      <c r="G1029" s="15" t="s">
        <v>1397</v>
      </c>
      <c r="H1029" s="40" t="s">
        <v>1566</v>
      </c>
      <c r="I1029" s="39">
        <v>90</v>
      </c>
      <c r="J1029" s="39">
        <v>1</v>
      </c>
      <c r="K1029" s="687"/>
      <c r="L1029" s="687"/>
      <c r="M1029" s="687"/>
      <c r="N1029" s="690"/>
    </row>
    <row r="1030" spans="1:14" ht="15.75" thickBot="1" x14ac:dyDescent="0.3">
      <c r="A1030" t="s">
        <v>180</v>
      </c>
      <c r="B1030" s="153" t="s">
        <v>1391</v>
      </c>
      <c r="C1030" s="12"/>
      <c r="D1030" s="38">
        <v>342631</v>
      </c>
      <c r="E1030" s="58">
        <f>VLOOKUP(D1030,'[1]Task list &amp; Maintenace plan'!$B:$G,6,FALSE)</f>
        <v>594</v>
      </c>
      <c r="F1030" s="39" t="s">
        <v>1563</v>
      </c>
      <c r="G1030" s="15" t="s">
        <v>1400</v>
      </c>
      <c r="H1030" s="40" t="s">
        <v>1566</v>
      </c>
      <c r="I1030" s="39">
        <v>90</v>
      </c>
      <c r="J1030" s="39">
        <v>1</v>
      </c>
      <c r="K1030" s="687"/>
      <c r="L1030" s="687"/>
      <c r="M1030" s="687"/>
      <c r="N1030" s="690"/>
    </row>
    <row r="1031" spans="1:14" ht="15.75" thickBot="1" x14ac:dyDescent="0.3">
      <c r="A1031" t="s">
        <v>180</v>
      </c>
      <c r="B1031" s="153" t="s">
        <v>1391</v>
      </c>
      <c r="C1031" s="12"/>
      <c r="D1031" s="22">
        <v>342631</v>
      </c>
      <c r="E1031" s="23">
        <f>VLOOKUP(D1031,'[1]Task list &amp; Maintenace plan'!$B:$G,6,FALSE)</f>
        <v>594</v>
      </c>
      <c r="F1031" s="23" t="s">
        <v>1563</v>
      </c>
      <c r="G1031" s="24" t="s">
        <v>1403</v>
      </c>
      <c r="H1031" s="24" t="s">
        <v>1566</v>
      </c>
      <c r="I1031" s="23">
        <v>90</v>
      </c>
      <c r="J1031" s="23">
        <v>1</v>
      </c>
      <c r="K1031" s="688"/>
      <c r="L1031" s="688"/>
      <c r="M1031" s="688"/>
      <c r="N1031" s="691"/>
    </row>
    <row r="1032" spans="1:14" ht="15.75" thickBot="1" x14ac:dyDescent="0.3">
      <c r="A1032" t="s">
        <v>180</v>
      </c>
      <c r="B1032" s="153" t="s">
        <v>1391</v>
      </c>
      <c r="C1032" s="12"/>
      <c r="D1032" s="33">
        <v>610000004170</v>
      </c>
      <c r="E1032" s="34">
        <f>VLOOKUP(D1032,'[1]Task list &amp; Maintenace plan'!$B:$G,6,FALSE)</f>
        <v>100604</v>
      </c>
      <c r="F1032" s="34" t="s">
        <v>1567</v>
      </c>
      <c r="G1032" s="26" t="s">
        <v>1394</v>
      </c>
      <c r="H1032" s="26" t="s">
        <v>1568</v>
      </c>
      <c r="I1032" s="34">
        <v>90</v>
      </c>
      <c r="J1032" s="34">
        <v>1</v>
      </c>
      <c r="K1032" s="686">
        <f>4*60</f>
        <v>240</v>
      </c>
      <c r="L1032" s="686">
        <v>1</v>
      </c>
      <c r="M1032" s="686">
        <f>L1032*K1032</f>
        <v>240</v>
      </c>
      <c r="N1032" s="689" t="s">
        <v>468</v>
      </c>
    </row>
    <row r="1033" spans="1:14" ht="15.75" thickBot="1" x14ac:dyDescent="0.3">
      <c r="A1033" t="s">
        <v>180</v>
      </c>
      <c r="B1033" s="153" t="s">
        <v>1391</v>
      </c>
      <c r="C1033" s="12"/>
      <c r="D1033" s="17">
        <v>610000004170</v>
      </c>
      <c r="E1033" s="18">
        <f>VLOOKUP(D1033,'[1]Task list &amp; Maintenace plan'!$B:$G,6,FALSE)</f>
        <v>100604</v>
      </c>
      <c r="F1033" s="18" t="s">
        <v>1567</v>
      </c>
      <c r="G1033" s="19" t="s">
        <v>1397</v>
      </c>
      <c r="H1033" s="19" t="s">
        <v>1569</v>
      </c>
      <c r="I1033" s="18">
        <v>90</v>
      </c>
      <c r="J1033" s="18">
        <v>1</v>
      </c>
      <c r="K1033" s="687"/>
      <c r="L1033" s="687"/>
      <c r="M1033" s="687"/>
      <c r="N1033" s="690"/>
    </row>
    <row r="1034" spans="1:14" ht="15.75" thickBot="1" x14ac:dyDescent="0.3">
      <c r="A1034" t="s">
        <v>180</v>
      </c>
      <c r="B1034" s="153" t="s">
        <v>1391</v>
      </c>
      <c r="C1034" s="12"/>
      <c r="D1034" s="17">
        <v>610000004170</v>
      </c>
      <c r="E1034" s="18">
        <f>VLOOKUP(D1034,'[1]Task list &amp; Maintenace plan'!$B:$G,6,FALSE)</f>
        <v>100604</v>
      </c>
      <c r="F1034" s="18" t="s">
        <v>1567</v>
      </c>
      <c r="G1034" s="19" t="s">
        <v>1400</v>
      </c>
      <c r="H1034" s="19" t="s">
        <v>1570</v>
      </c>
      <c r="I1034" s="18">
        <v>90</v>
      </c>
      <c r="J1034" s="18">
        <v>1</v>
      </c>
      <c r="K1034" s="687"/>
      <c r="L1034" s="687"/>
      <c r="M1034" s="687"/>
      <c r="N1034" s="690"/>
    </row>
    <row r="1035" spans="1:14" ht="15.75" thickBot="1" x14ac:dyDescent="0.3">
      <c r="A1035" t="s">
        <v>180</v>
      </c>
      <c r="B1035" s="153" t="s">
        <v>1391</v>
      </c>
      <c r="C1035" s="12"/>
      <c r="D1035" s="22">
        <v>610000004170</v>
      </c>
      <c r="E1035" s="23">
        <f>VLOOKUP(D1035,'[1]Task list &amp; Maintenace plan'!$B:$G,6,FALSE)</f>
        <v>100604</v>
      </c>
      <c r="F1035" s="23" t="s">
        <v>1567</v>
      </c>
      <c r="G1035" s="24" t="s">
        <v>1403</v>
      </c>
      <c r="H1035" s="24" t="s">
        <v>1571</v>
      </c>
      <c r="I1035" s="23">
        <v>90</v>
      </c>
      <c r="J1035" s="23">
        <v>1</v>
      </c>
      <c r="K1035" s="688"/>
      <c r="L1035" s="688"/>
      <c r="M1035" s="688"/>
      <c r="N1035" s="691"/>
    </row>
    <row r="1036" spans="1:14" ht="15.75" thickBot="1" x14ac:dyDescent="0.3">
      <c r="A1036" t="s">
        <v>180</v>
      </c>
      <c r="B1036" s="153" t="s">
        <v>1391</v>
      </c>
      <c r="C1036" s="12"/>
      <c r="D1036" s="33">
        <v>356728</v>
      </c>
      <c r="E1036" s="34">
        <f>VLOOKUP(D1036,'[1]Task list &amp; Maintenace plan'!$B:$G,6,FALSE)</f>
        <v>1991</v>
      </c>
      <c r="F1036" s="34" t="s">
        <v>1572</v>
      </c>
      <c r="G1036" s="26" t="s">
        <v>1333</v>
      </c>
      <c r="H1036" s="26" t="s">
        <v>1573</v>
      </c>
      <c r="I1036" s="34">
        <v>120</v>
      </c>
      <c r="J1036" s="34"/>
      <c r="K1036" s="686">
        <v>60</v>
      </c>
      <c r="L1036" s="686">
        <v>1</v>
      </c>
      <c r="M1036" s="686">
        <f>K1036*L1036</f>
        <v>60</v>
      </c>
      <c r="N1036" s="689" t="s">
        <v>20</v>
      </c>
    </row>
    <row r="1037" spans="1:14" ht="15.75" thickBot="1" x14ac:dyDescent="0.3">
      <c r="A1037" t="s">
        <v>180</v>
      </c>
      <c r="B1037" s="153" t="s">
        <v>1391</v>
      </c>
      <c r="C1037" s="12"/>
      <c r="D1037" s="17">
        <v>356728</v>
      </c>
      <c r="E1037" s="18">
        <f>VLOOKUP(D1037,'[1]Task list &amp; Maintenace plan'!$B:$G,6,FALSE)</f>
        <v>1991</v>
      </c>
      <c r="F1037" s="18" t="s">
        <v>1572</v>
      </c>
      <c r="G1037" s="19" t="s">
        <v>1448</v>
      </c>
      <c r="H1037" s="19" t="s">
        <v>1573</v>
      </c>
      <c r="I1037" s="18">
        <v>120</v>
      </c>
      <c r="J1037" s="18"/>
      <c r="K1037" s="687"/>
      <c r="L1037" s="687"/>
      <c r="M1037" s="687"/>
      <c r="N1037" s="690"/>
    </row>
    <row r="1038" spans="1:14" ht="15.75" thickBot="1" x14ac:dyDescent="0.3">
      <c r="A1038" t="s">
        <v>180</v>
      </c>
      <c r="B1038" s="153" t="s">
        <v>1391</v>
      </c>
      <c r="C1038" s="12"/>
      <c r="D1038" s="17">
        <v>356728</v>
      </c>
      <c r="E1038" s="18">
        <f>VLOOKUP(D1038,'[1]Task list &amp; Maintenace plan'!$B:$G,6,FALSE)</f>
        <v>1991</v>
      </c>
      <c r="F1038" s="18" t="s">
        <v>1572</v>
      </c>
      <c r="G1038" s="19" t="s">
        <v>1454</v>
      </c>
      <c r="H1038" s="19" t="s">
        <v>1573</v>
      </c>
      <c r="I1038" s="18">
        <v>120</v>
      </c>
      <c r="J1038" s="18"/>
      <c r="K1038" s="687"/>
      <c r="L1038" s="687"/>
      <c r="M1038" s="687"/>
      <c r="N1038" s="690"/>
    </row>
    <row r="1039" spans="1:14" ht="15.75" thickBot="1" x14ac:dyDescent="0.3">
      <c r="A1039" t="s">
        <v>180</v>
      </c>
      <c r="B1039" s="153" t="s">
        <v>1391</v>
      </c>
      <c r="C1039" s="12"/>
      <c r="D1039" s="17">
        <v>356728</v>
      </c>
      <c r="E1039" s="18">
        <f>VLOOKUP(D1039,'[1]Task list &amp; Maintenace plan'!$B:$G,6,FALSE)</f>
        <v>1991</v>
      </c>
      <c r="F1039" s="18" t="s">
        <v>1572</v>
      </c>
      <c r="G1039" s="19" t="s">
        <v>1473</v>
      </c>
      <c r="H1039" s="19" t="s">
        <v>1573</v>
      </c>
      <c r="I1039" s="18">
        <v>120</v>
      </c>
      <c r="J1039" s="18"/>
      <c r="K1039" s="687"/>
      <c r="L1039" s="687"/>
      <c r="M1039" s="687"/>
      <c r="N1039" s="690"/>
    </row>
    <row r="1040" spans="1:14" ht="15.75" thickBot="1" x14ac:dyDescent="0.3">
      <c r="A1040" t="s">
        <v>180</v>
      </c>
      <c r="B1040" s="153" t="s">
        <v>1391</v>
      </c>
      <c r="C1040" s="12"/>
      <c r="D1040" s="22">
        <v>356728</v>
      </c>
      <c r="E1040" s="23">
        <f>VLOOKUP(D1040,'[1]Task list &amp; Maintenace plan'!$B:$G,6,FALSE)</f>
        <v>1991</v>
      </c>
      <c r="F1040" s="23" t="s">
        <v>1572</v>
      </c>
      <c r="G1040" s="24" t="s">
        <v>1451</v>
      </c>
      <c r="H1040" s="24" t="s">
        <v>1573</v>
      </c>
      <c r="I1040" s="23">
        <v>120</v>
      </c>
      <c r="J1040" s="23"/>
      <c r="K1040" s="688"/>
      <c r="L1040" s="688"/>
      <c r="M1040" s="688"/>
      <c r="N1040" s="691"/>
    </row>
    <row r="1041" spans="1:14" ht="15.75" thickBot="1" x14ac:dyDescent="0.3">
      <c r="A1041" t="s">
        <v>180</v>
      </c>
      <c r="B1041" s="153" t="s">
        <v>1391</v>
      </c>
      <c r="C1041" s="12"/>
      <c r="D1041" s="33">
        <v>356773</v>
      </c>
      <c r="E1041" s="34">
        <f>VLOOKUP(D1041,'[1]Task list &amp; Maintenace plan'!$B:$G,6,FALSE)</f>
        <v>2020</v>
      </c>
      <c r="F1041" s="34" t="s">
        <v>1574</v>
      </c>
      <c r="G1041" s="220" t="s">
        <v>1392</v>
      </c>
      <c r="H1041" s="26" t="s">
        <v>1573</v>
      </c>
      <c r="I1041" s="34">
        <v>120</v>
      </c>
      <c r="J1041" s="34"/>
      <c r="K1041" s="686">
        <v>60</v>
      </c>
      <c r="L1041" s="686">
        <v>1</v>
      </c>
      <c r="M1041" s="686">
        <v>60</v>
      </c>
      <c r="N1041" s="689" t="s">
        <v>20</v>
      </c>
    </row>
    <row r="1042" spans="1:14" ht="15.75" thickBot="1" x14ac:dyDescent="0.3">
      <c r="A1042" t="s">
        <v>180</v>
      </c>
      <c r="B1042" s="153" t="s">
        <v>1391</v>
      </c>
      <c r="C1042" s="12"/>
      <c r="D1042" s="17">
        <v>356773</v>
      </c>
      <c r="E1042" s="18">
        <f>VLOOKUP(D1042,'[1]Task list &amp; Maintenace plan'!$B:$G,6,FALSE)</f>
        <v>2020</v>
      </c>
      <c r="F1042" s="18" t="s">
        <v>1574</v>
      </c>
      <c r="G1042" s="180" t="s">
        <v>1491</v>
      </c>
      <c r="H1042" s="19" t="s">
        <v>1573</v>
      </c>
      <c r="I1042" s="18">
        <v>120</v>
      </c>
      <c r="J1042" s="18"/>
      <c r="K1042" s="687"/>
      <c r="L1042" s="687"/>
      <c r="M1042" s="687"/>
      <c r="N1042" s="690"/>
    </row>
    <row r="1043" spans="1:14" ht="15.75" thickBot="1" x14ac:dyDescent="0.3">
      <c r="A1043" t="s">
        <v>180</v>
      </c>
      <c r="B1043" s="153" t="s">
        <v>1391</v>
      </c>
      <c r="C1043" s="12"/>
      <c r="D1043" s="17">
        <v>356773</v>
      </c>
      <c r="E1043" s="18">
        <f>VLOOKUP(D1043,'[1]Task list &amp; Maintenace plan'!$B:$G,6,FALSE)</f>
        <v>2020</v>
      </c>
      <c r="F1043" s="18" t="s">
        <v>1574</v>
      </c>
      <c r="G1043" s="180" t="s">
        <v>1459</v>
      </c>
      <c r="H1043" s="19" t="s">
        <v>1573</v>
      </c>
      <c r="I1043" s="18">
        <v>120</v>
      </c>
      <c r="J1043" s="18"/>
      <c r="K1043" s="687"/>
      <c r="L1043" s="687"/>
      <c r="M1043" s="687"/>
      <c r="N1043" s="690"/>
    </row>
    <row r="1044" spans="1:14" ht="15.75" thickBot="1" x14ac:dyDescent="0.3">
      <c r="A1044" t="s">
        <v>180</v>
      </c>
      <c r="B1044" s="153" t="s">
        <v>1391</v>
      </c>
      <c r="C1044" s="12"/>
      <c r="D1044" s="17">
        <v>356773</v>
      </c>
      <c r="E1044" s="18">
        <f>VLOOKUP(D1044,'[1]Task list &amp; Maintenace plan'!$B:$G,6,FALSE)</f>
        <v>2020</v>
      </c>
      <c r="F1044" s="18" t="s">
        <v>1574</v>
      </c>
      <c r="G1044" s="180" t="s">
        <v>1396</v>
      </c>
      <c r="H1044" s="19" t="s">
        <v>1573</v>
      </c>
      <c r="I1044" s="18">
        <v>120</v>
      </c>
      <c r="J1044" s="18"/>
      <c r="K1044" s="687"/>
      <c r="L1044" s="687"/>
      <c r="M1044" s="687"/>
      <c r="N1044" s="690"/>
    </row>
    <row r="1045" spans="1:14" ht="15.75" thickBot="1" x14ac:dyDescent="0.3">
      <c r="A1045" t="s">
        <v>180</v>
      </c>
      <c r="B1045" s="153" t="s">
        <v>1391</v>
      </c>
      <c r="C1045" s="12"/>
      <c r="D1045" s="17">
        <v>356773</v>
      </c>
      <c r="E1045" s="18">
        <f>VLOOKUP(D1045,'[1]Task list &amp; Maintenace plan'!$B:$G,6,FALSE)</f>
        <v>2020</v>
      </c>
      <c r="F1045" s="18" t="s">
        <v>1574</v>
      </c>
      <c r="G1045" s="180" t="s">
        <v>1495</v>
      </c>
      <c r="H1045" s="19" t="s">
        <v>1573</v>
      </c>
      <c r="I1045" s="18">
        <v>120</v>
      </c>
      <c r="J1045" s="18"/>
      <c r="K1045" s="687"/>
      <c r="L1045" s="687"/>
      <c r="M1045" s="687"/>
      <c r="N1045" s="690"/>
    </row>
    <row r="1046" spans="1:14" ht="15.75" thickBot="1" x14ac:dyDescent="0.3">
      <c r="A1046" t="s">
        <v>180</v>
      </c>
      <c r="B1046" s="153" t="s">
        <v>1391</v>
      </c>
      <c r="C1046" s="12"/>
      <c r="D1046" s="22">
        <v>356773</v>
      </c>
      <c r="E1046" s="23">
        <f>VLOOKUP(D1046,'[1]Task list &amp; Maintenace plan'!$B:$G,6,FALSE)</f>
        <v>2020</v>
      </c>
      <c r="F1046" s="23" t="s">
        <v>1574</v>
      </c>
      <c r="G1046" s="182" t="s">
        <v>1497</v>
      </c>
      <c r="H1046" s="24" t="s">
        <v>1573</v>
      </c>
      <c r="I1046" s="23">
        <v>120</v>
      </c>
      <c r="J1046" s="23"/>
      <c r="K1046" s="688"/>
      <c r="L1046" s="688"/>
      <c r="M1046" s="688"/>
      <c r="N1046" s="691"/>
    </row>
    <row r="1047" spans="1:14" ht="15.75" thickBot="1" x14ac:dyDescent="0.3">
      <c r="A1047" t="s">
        <v>180</v>
      </c>
      <c r="B1047" s="153" t="s">
        <v>1391</v>
      </c>
      <c r="C1047" s="12"/>
      <c r="D1047" s="33">
        <v>356798</v>
      </c>
      <c r="E1047" s="34">
        <f>VLOOKUP(D1047,'[1]Task list &amp; Maintenace plan'!$B:$G,6,FALSE)</f>
        <v>2025</v>
      </c>
      <c r="F1047" s="34" t="s">
        <v>1575</v>
      </c>
      <c r="G1047" s="26" t="s">
        <v>1499</v>
      </c>
      <c r="H1047" s="26" t="s">
        <v>1573</v>
      </c>
      <c r="I1047" s="34">
        <v>120</v>
      </c>
      <c r="J1047" s="34"/>
      <c r="K1047" s="686">
        <v>60</v>
      </c>
      <c r="L1047" s="686">
        <v>1</v>
      </c>
      <c r="M1047" s="686">
        <v>60</v>
      </c>
      <c r="N1047" s="689" t="s">
        <v>20</v>
      </c>
    </row>
    <row r="1048" spans="1:14" ht="15.75" thickBot="1" x14ac:dyDescent="0.3">
      <c r="A1048" t="s">
        <v>180</v>
      </c>
      <c r="B1048" s="153" t="s">
        <v>1391</v>
      </c>
      <c r="C1048" s="12"/>
      <c r="D1048" s="17">
        <v>356798</v>
      </c>
      <c r="E1048" s="18">
        <f>VLOOKUP(D1048,'[1]Task list &amp; Maintenace plan'!$B:$G,6,FALSE)</f>
        <v>2025</v>
      </c>
      <c r="F1048" s="18" t="s">
        <v>1575</v>
      </c>
      <c r="G1048" s="19" t="s">
        <v>1399</v>
      </c>
      <c r="H1048" s="19" t="s">
        <v>1573</v>
      </c>
      <c r="I1048" s="18">
        <v>120</v>
      </c>
      <c r="J1048" s="18"/>
      <c r="K1048" s="687"/>
      <c r="L1048" s="687"/>
      <c r="M1048" s="687"/>
      <c r="N1048" s="690"/>
    </row>
    <row r="1049" spans="1:14" ht="15.75" thickBot="1" x14ac:dyDescent="0.3">
      <c r="A1049" t="s">
        <v>180</v>
      </c>
      <c r="B1049" s="153" t="s">
        <v>1391</v>
      </c>
      <c r="C1049" s="12"/>
      <c r="D1049" s="17">
        <v>356798</v>
      </c>
      <c r="E1049" s="18">
        <f>VLOOKUP(D1049,'[1]Task list &amp; Maintenace plan'!$B:$G,6,FALSE)</f>
        <v>2025</v>
      </c>
      <c r="F1049" s="18" t="s">
        <v>1575</v>
      </c>
      <c r="G1049" s="19" t="s">
        <v>1502</v>
      </c>
      <c r="H1049" s="19" t="s">
        <v>1573</v>
      </c>
      <c r="I1049" s="18">
        <v>120</v>
      </c>
      <c r="J1049" s="18"/>
      <c r="K1049" s="687"/>
      <c r="L1049" s="687"/>
      <c r="M1049" s="687"/>
      <c r="N1049" s="690"/>
    </row>
    <row r="1050" spans="1:14" ht="15.75" thickBot="1" x14ac:dyDescent="0.3">
      <c r="A1050" t="s">
        <v>180</v>
      </c>
      <c r="B1050" s="153" t="s">
        <v>1391</v>
      </c>
      <c r="C1050" s="12"/>
      <c r="D1050" s="17">
        <v>356798</v>
      </c>
      <c r="E1050" s="18">
        <f>VLOOKUP(D1050,'[1]Task list &amp; Maintenace plan'!$B:$G,6,FALSE)</f>
        <v>2025</v>
      </c>
      <c r="F1050" s="18" t="s">
        <v>1575</v>
      </c>
      <c r="G1050" s="19" t="s">
        <v>1504</v>
      </c>
      <c r="H1050" s="19" t="s">
        <v>1573</v>
      </c>
      <c r="I1050" s="18">
        <v>120</v>
      </c>
      <c r="J1050" s="18"/>
      <c r="K1050" s="687"/>
      <c r="L1050" s="687"/>
      <c r="M1050" s="687"/>
      <c r="N1050" s="690"/>
    </row>
    <row r="1051" spans="1:14" ht="15.75" thickBot="1" x14ac:dyDescent="0.3">
      <c r="A1051" t="s">
        <v>180</v>
      </c>
      <c r="B1051" s="153" t="s">
        <v>1391</v>
      </c>
      <c r="C1051" s="12"/>
      <c r="D1051" s="17">
        <v>356798</v>
      </c>
      <c r="E1051" s="18">
        <f>VLOOKUP(D1051,'[1]Task list &amp; Maintenace plan'!$B:$G,6,FALSE)</f>
        <v>2025</v>
      </c>
      <c r="F1051" s="18" t="s">
        <v>1575</v>
      </c>
      <c r="G1051" s="19" t="s">
        <v>1475</v>
      </c>
      <c r="H1051" s="19" t="s">
        <v>1573</v>
      </c>
      <c r="I1051" s="18">
        <v>120</v>
      </c>
      <c r="J1051" s="18"/>
      <c r="K1051" s="687"/>
      <c r="L1051" s="687"/>
      <c r="M1051" s="687"/>
      <c r="N1051" s="690"/>
    </row>
    <row r="1052" spans="1:14" ht="15.75" thickBot="1" x14ac:dyDescent="0.3">
      <c r="A1052" t="s">
        <v>180</v>
      </c>
      <c r="B1052" s="153" t="s">
        <v>1391</v>
      </c>
      <c r="C1052" s="12"/>
      <c r="D1052" s="17">
        <v>356798</v>
      </c>
      <c r="E1052" s="18">
        <f>VLOOKUP(D1052,'[1]Task list &amp; Maintenace plan'!$B:$G,6,FALSE)</f>
        <v>2025</v>
      </c>
      <c r="F1052" s="18" t="s">
        <v>1575</v>
      </c>
      <c r="G1052" s="19" t="s">
        <v>1507</v>
      </c>
      <c r="H1052" s="19" t="s">
        <v>1573</v>
      </c>
      <c r="I1052" s="18">
        <v>120</v>
      </c>
      <c r="J1052" s="18"/>
      <c r="K1052" s="687"/>
      <c r="L1052" s="687"/>
      <c r="M1052" s="687"/>
      <c r="N1052" s="690"/>
    </row>
    <row r="1053" spans="1:14" ht="15.75" thickBot="1" x14ac:dyDescent="0.3">
      <c r="A1053" t="s">
        <v>180</v>
      </c>
      <c r="B1053" s="153" t="s">
        <v>1391</v>
      </c>
      <c r="C1053" s="12"/>
      <c r="D1053" s="22">
        <v>356798</v>
      </c>
      <c r="E1053" s="23">
        <f>VLOOKUP(D1053,'[1]Task list &amp; Maintenace plan'!$B:$G,6,FALSE)</f>
        <v>2025</v>
      </c>
      <c r="F1053" s="23" t="s">
        <v>1576</v>
      </c>
      <c r="G1053" s="182" t="s">
        <v>1509</v>
      </c>
      <c r="H1053" s="24" t="s">
        <v>1573</v>
      </c>
      <c r="I1053" s="23">
        <v>120</v>
      </c>
      <c r="J1053" s="23"/>
      <c r="K1053" s="688"/>
      <c r="L1053" s="688"/>
      <c r="M1053" s="688"/>
      <c r="N1053" s="691"/>
    </row>
    <row r="1054" spans="1:14" ht="15.75" thickBot="1" x14ac:dyDescent="0.3">
      <c r="A1054" t="s">
        <v>180</v>
      </c>
      <c r="B1054" s="153" t="s">
        <v>1391</v>
      </c>
      <c r="C1054" s="12"/>
      <c r="D1054" s="6">
        <v>610000004171</v>
      </c>
      <c r="E1054" s="7">
        <f>VLOOKUP(D1054,'[1]Task list &amp; Maintenace plan'!$B:$G,6,FALSE)</f>
        <v>100605</v>
      </c>
      <c r="F1054" s="7" t="s">
        <v>1577</v>
      </c>
      <c r="G1054" s="8" t="s">
        <v>1394</v>
      </c>
      <c r="H1054" s="8" t="s">
        <v>1578</v>
      </c>
      <c r="I1054" s="7">
        <v>180</v>
      </c>
      <c r="J1054" s="7">
        <v>1</v>
      </c>
      <c r="K1054" s="7">
        <v>120</v>
      </c>
      <c r="L1054" s="7">
        <v>1</v>
      </c>
      <c r="M1054" s="7">
        <f>K1054*L1054</f>
        <v>120</v>
      </c>
      <c r="N1054" s="10" t="s">
        <v>468</v>
      </c>
    </row>
    <row r="1055" spans="1:14" ht="15.75" thickBot="1" x14ac:dyDescent="0.3">
      <c r="A1055" t="s">
        <v>180</v>
      </c>
      <c r="B1055" s="153" t="s">
        <v>1391</v>
      </c>
      <c r="C1055" s="12"/>
      <c r="D1055" s="6">
        <v>342450</v>
      </c>
      <c r="E1055" s="7">
        <f>VLOOKUP(D1055,'[1]Task list &amp; Maintenace plan'!$B:$G,6,FALSE)</f>
        <v>545</v>
      </c>
      <c r="F1055" s="7" t="s">
        <v>1579</v>
      </c>
      <c r="G1055" s="8" t="s">
        <v>1397</v>
      </c>
      <c r="H1055" s="8" t="s">
        <v>1580</v>
      </c>
      <c r="I1055" s="7">
        <v>180</v>
      </c>
      <c r="J1055" s="7">
        <v>1</v>
      </c>
      <c r="K1055" s="7">
        <v>120</v>
      </c>
      <c r="L1055" s="7">
        <v>1</v>
      </c>
      <c r="M1055" s="7">
        <f t="shared" ref="M1055:M1101" si="1">K1055*L1055</f>
        <v>120</v>
      </c>
      <c r="N1055" s="10" t="s">
        <v>468</v>
      </c>
    </row>
    <row r="1056" spans="1:14" ht="15.75" thickBot="1" x14ac:dyDescent="0.3">
      <c r="A1056" t="s">
        <v>180</v>
      </c>
      <c r="B1056" s="153" t="s">
        <v>1391</v>
      </c>
      <c r="C1056" s="12"/>
      <c r="D1056" s="6">
        <v>342461</v>
      </c>
      <c r="E1056" s="7">
        <f>VLOOKUP(D1056,'[1]Task list &amp; Maintenace plan'!$B:$G,6,FALSE)</f>
        <v>546</v>
      </c>
      <c r="F1056" s="7" t="s">
        <v>1581</v>
      </c>
      <c r="G1056" s="8" t="s">
        <v>1400</v>
      </c>
      <c r="H1056" s="8" t="s">
        <v>1582</v>
      </c>
      <c r="I1056" s="7">
        <v>180</v>
      </c>
      <c r="J1056" s="7">
        <v>1</v>
      </c>
      <c r="K1056" s="7">
        <v>120</v>
      </c>
      <c r="L1056" s="7">
        <v>1</v>
      </c>
      <c r="M1056" s="7">
        <f t="shared" si="1"/>
        <v>120</v>
      </c>
      <c r="N1056" s="10" t="s">
        <v>468</v>
      </c>
    </row>
    <row r="1057" spans="1:14" ht="15.75" thickBot="1" x14ac:dyDescent="0.3">
      <c r="A1057" t="s">
        <v>180</v>
      </c>
      <c r="B1057" s="153" t="s">
        <v>1391</v>
      </c>
      <c r="C1057" s="12"/>
      <c r="D1057" s="156">
        <v>342462</v>
      </c>
      <c r="E1057" s="157">
        <f>VLOOKUP(D1057,'[1]Task list &amp; Maintenace plan'!$B:$G,6,FALSE)</f>
        <v>547</v>
      </c>
      <c r="F1057" s="157" t="s">
        <v>1583</v>
      </c>
      <c r="G1057" s="62" t="s">
        <v>1403</v>
      </c>
      <c r="H1057" s="62" t="s">
        <v>1584</v>
      </c>
      <c r="I1057" s="195">
        <v>180</v>
      </c>
      <c r="J1057" s="195">
        <v>1</v>
      </c>
      <c r="K1057" s="7">
        <v>120</v>
      </c>
      <c r="L1057" s="7">
        <v>1</v>
      </c>
      <c r="M1057" s="7">
        <f t="shared" si="1"/>
        <v>120</v>
      </c>
      <c r="N1057" s="10" t="s">
        <v>468</v>
      </c>
    </row>
    <row r="1058" spans="1:14" ht="15.75" thickBot="1" x14ac:dyDescent="0.3">
      <c r="A1058" t="s">
        <v>180</v>
      </c>
      <c r="B1058" s="153" t="s">
        <v>1391</v>
      </c>
      <c r="C1058" s="12"/>
      <c r="D1058" s="156">
        <v>343915</v>
      </c>
      <c r="E1058" s="157">
        <f>VLOOKUP(D1058,'[1]Task list &amp; Maintenace plan'!$B:$G,6,FALSE)</f>
        <v>776</v>
      </c>
      <c r="F1058" s="157" t="s">
        <v>1585</v>
      </c>
      <c r="G1058" s="62" t="s">
        <v>1406</v>
      </c>
      <c r="H1058" s="62" t="s">
        <v>1586</v>
      </c>
      <c r="I1058" s="195">
        <v>180</v>
      </c>
      <c r="J1058" s="195">
        <v>1</v>
      </c>
      <c r="K1058" s="195">
        <v>60</v>
      </c>
      <c r="L1058" s="7">
        <v>1</v>
      </c>
      <c r="M1058" s="7">
        <f t="shared" si="1"/>
        <v>60</v>
      </c>
      <c r="N1058" s="10" t="s">
        <v>34</v>
      </c>
    </row>
    <row r="1059" spans="1:14" ht="15.75" thickBot="1" x14ac:dyDescent="0.3">
      <c r="A1059" t="s">
        <v>180</v>
      </c>
      <c r="B1059" s="153" t="s">
        <v>1391</v>
      </c>
      <c r="C1059" s="12"/>
      <c r="D1059" s="156">
        <v>357642</v>
      </c>
      <c r="E1059" s="157">
        <f>VLOOKUP(D1059,'[1]Task list &amp; Maintenace plan'!$B:$G,6,FALSE)</f>
        <v>2056</v>
      </c>
      <c r="F1059" s="157" t="s">
        <v>1587</v>
      </c>
      <c r="G1059" s="62" t="s">
        <v>1588</v>
      </c>
      <c r="H1059" s="62" t="s">
        <v>1159</v>
      </c>
      <c r="I1059" s="195">
        <v>180</v>
      </c>
      <c r="J1059" s="195">
        <v>1</v>
      </c>
      <c r="K1059" s="195">
        <v>60</v>
      </c>
      <c r="L1059" s="7">
        <v>1</v>
      </c>
      <c r="M1059" s="7">
        <f t="shared" si="1"/>
        <v>60</v>
      </c>
      <c r="N1059" s="10" t="s">
        <v>34</v>
      </c>
    </row>
    <row r="1060" spans="1:14" ht="15.75" thickBot="1" x14ac:dyDescent="0.3">
      <c r="A1060" t="s">
        <v>180</v>
      </c>
      <c r="B1060" s="153" t="s">
        <v>1391</v>
      </c>
      <c r="C1060" s="12"/>
      <c r="D1060" s="156">
        <v>356776</v>
      </c>
      <c r="E1060" s="157">
        <f>VLOOKUP(D1060,'[1]Task list &amp; Maintenace plan'!$B:$G,6,FALSE)</f>
        <v>1998</v>
      </c>
      <c r="F1060" s="157" t="s">
        <v>1589</v>
      </c>
      <c r="G1060" s="62" t="s">
        <v>1448</v>
      </c>
      <c r="H1060" s="62" t="s">
        <v>1387</v>
      </c>
      <c r="I1060" s="195">
        <v>180</v>
      </c>
      <c r="J1060" s="195">
        <v>1</v>
      </c>
      <c r="K1060" s="195">
        <v>60</v>
      </c>
      <c r="L1060" s="7">
        <v>1</v>
      </c>
      <c r="M1060" s="7">
        <f t="shared" si="1"/>
        <v>60</v>
      </c>
      <c r="N1060" s="10" t="s">
        <v>20</v>
      </c>
    </row>
    <row r="1061" spans="1:14" ht="15.75" thickBot="1" x14ac:dyDescent="0.3">
      <c r="A1061" t="s">
        <v>180</v>
      </c>
      <c r="B1061" s="153" t="s">
        <v>1391</v>
      </c>
      <c r="C1061" s="12"/>
      <c r="D1061" s="156">
        <v>356777</v>
      </c>
      <c r="E1061" s="157">
        <f>VLOOKUP(D1061,'[1]Task list &amp; Maintenace plan'!$B:$G,6,FALSE)</f>
        <v>1999</v>
      </c>
      <c r="F1061" s="157" t="s">
        <v>1590</v>
      </c>
      <c r="G1061" s="62" t="s">
        <v>1489</v>
      </c>
      <c r="H1061" s="62" t="s">
        <v>1387</v>
      </c>
      <c r="I1061" s="195">
        <v>180</v>
      </c>
      <c r="J1061" s="195">
        <v>1</v>
      </c>
      <c r="K1061" s="195">
        <v>60</v>
      </c>
      <c r="L1061" s="7">
        <v>1</v>
      </c>
      <c r="M1061" s="7">
        <f t="shared" si="1"/>
        <v>60</v>
      </c>
      <c r="N1061" s="10" t="s">
        <v>20</v>
      </c>
    </row>
    <row r="1062" spans="1:14" ht="15.75" thickBot="1" x14ac:dyDescent="0.3">
      <c r="A1062" t="s">
        <v>180</v>
      </c>
      <c r="B1062" s="153" t="s">
        <v>1391</v>
      </c>
      <c r="C1062" s="12"/>
      <c r="D1062" s="156">
        <v>356778</v>
      </c>
      <c r="E1062" s="157">
        <f>VLOOKUP(D1062,'[1]Task list &amp; Maintenace plan'!$B:$G,6,FALSE)</f>
        <v>2000</v>
      </c>
      <c r="F1062" s="157" t="s">
        <v>1591</v>
      </c>
      <c r="G1062" s="62" t="s">
        <v>1473</v>
      </c>
      <c r="H1062" s="62" t="s">
        <v>1387</v>
      </c>
      <c r="I1062" s="195">
        <v>180</v>
      </c>
      <c r="J1062" s="195">
        <v>1</v>
      </c>
      <c r="K1062" s="195">
        <v>60</v>
      </c>
      <c r="L1062" s="7">
        <v>1</v>
      </c>
      <c r="M1062" s="7">
        <f t="shared" si="1"/>
        <v>60</v>
      </c>
      <c r="N1062" s="10" t="s">
        <v>20</v>
      </c>
    </row>
    <row r="1063" spans="1:14" ht="15.75" thickBot="1" x14ac:dyDescent="0.3">
      <c r="A1063" t="s">
        <v>180</v>
      </c>
      <c r="B1063" s="153" t="s">
        <v>1391</v>
      </c>
      <c r="C1063" s="12"/>
      <c r="D1063" s="156">
        <v>356779</v>
      </c>
      <c r="E1063" s="157">
        <f>VLOOKUP(D1063,'[1]Task list &amp; Maintenace plan'!$B:$G,6,FALSE)</f>
        <v>2001</v>
      </c>
      <c r="F1063" s="157" t="s">
        <v>1592</v>
      </c>
      <c r="G1063" s="62" t="s">
        <v>1451</v>
      </c>
      <c r="H1063" s="62" t="s">
        <v>1387</v>
      </c>
      <c r="I1063" s="195">
        <v>180</v>
      </c>
      <c r="J1063" s="195">
        <v>1</v>
      </c>
      <c r="K1063" s="195">
        <v>60</v>
      </c>
      <c r="L1063" s="7">
        <v>1</v>
      </c>
      <c r="M1063" s="7">
        <f t="shared" si="1"/>
        <v>60</v>
      </c>
      <c r="N1063" s="10" t="s">
        <v>20</v>
      </c>
    </row>
    <row r="1064" spans="1:14" ht="15.75" thickBot="1" x14ac:dyDescent="0.3">
      <c r="A1064" t="s">
        <v>180</v>
      </c>
      <c r="B1064" s="153" t="s">
        <v>1391</v>
      </c>
      <c r="C1064" s="12"/>
      <c r="D1064" s="156">
        <v>356780</v>
      </c>
      <c r="E1064" s="157">
        <f>VLOOKUP(D1064,'[1]Task list &amp; Maintenace plan'!$B:$G,6,FALSE)</f>
        <v>2002</v>
      </c>
      <c r="F1064" s="157" t="s">
        <v>1593</v>
      </c>
      <c r="G1064" s="62" t="s">
        <v>1392</v>
      </c>
      <c r="H1064" s="62" t="s">
        <v>1387</v>
      </c>
      <c r="I1064" s="195">
        <v>180</v>
      </c>
      <c r="J1064" s="195">
        <v>1</v>
      </c>
      <c r="K1064" s="195">
        <v>60</v>
      </c>
      <c r="L1064" s="7">
        <v>1</v>
      </c>
      <c r="M1064" s="7">
        <f t="shared" si="1"/>
        <v>60</v>
      </c>
      <c r="N1064" s="10" t="s">
        <v>20</v>
      </c>
    </row>
    <row r="1065" spans="1:14" ht="15.75" thickBot="1" x14ac:dyDescent="0.3">
      <c r="A1065" t="s">
        <v>180</v>
      </c>
      <c r="B1065" s="153" t="s">
        <v>1391</v>
      </c>
      <c r="C1065" s="12"/>
      <c r="D1065" s="156">
        <v>356811</v>
      </c>
      <c r="E1065" s="157">
        <f>VLOOKUP(D1065,'[1]Task list &amp; Maintenace plan'!$B:$G,6,FALSE)</f>
        <v>2003</v>
      </c>
      <c r="F1065" s="157" t="s">
        <v>1594</v>
      </c>
      <c r="G1065" s="62" t="s">
        <v>1491</v>
      </c>
      <c r="H1065" s="62" t="s">
        <v>1387</v>
      </c>
      <c r="I1065" s="195">
        <v>180</v>
      </c>
      <c r="J1065" s="195">
        <v>1</v>
      </c>
      <c r="K1065" s="195">
        <v>60</v>
      </c>
      <c r="L1065" s="7">
        <v>1</v>
      </c>
      <c r="M1065" s="7">
        <f t="shared" si="1"/>
        <v>60</v>
      </c>
      <c r="N1065" s="10" t="s">
        <v>20</v>
      </c>
    </row>
    <row r="1066" spans="1:14" ht="15.75" thickBot="1" x14ac:dyDescent="0.3">
      <c r="A1066" t="s">
        <v>180</v>
      </c>
      <c r="B1066" s="153" t="s">
        <v>1391</v>
      </c>
      <c r="C1066" s="12"/>
      <c r="D1066" s="156">
        <v>356812</v>
      </c>
      <c r="E1066" s="157">
        <f>VLOOKUP(D1066,'[1]Task list &amp; Maintenace plan'!$B:$G,6,FALSE)</f>
        <v>2004</v>
      </c>
      <c r="F1066" s="157" t="s">
        <v>1595</v>
      </c>
      <c r="G1066" s="62" t="s">
        <v>1459</v>
      </c>
      <c r="H1066" s="62" t="s">
        <v>1387</v>
      </c>
      <c r="I1066" s="195">
        <v>180</v>
      </c>
      <c r="J1066" s="195">
        <v>1</v>
      </c>
      <c r="K1066" s="195">
        <v>60</v>
      </c>
      <c r="L1066" s="7">
        <v>1</v>
      </c>
      <c r="M1066" s="7">
        <f t="shared" si="1"/>
        <v>60</v>
      </c>
      <c r="N1066" s="10" t="s">
        <v>20</v>
      </c>
    </row>
    <row r="1067" spans="1:14" ht="15.75" thickBot="1" x14ac:dyDescent="0.3">
      <c r="A1067" t="s">
        <v>180</v>
      </c>
      <c r="B1067" s="153" t="s">
        <v>1391</v>
      </c>
      <c r="C1067" s="12"/>
      <c r="D1067" s="156">
        <v>356813</v>
      </c>
      <c r="E1067" s="157">
        <f>VLOOKUP(D1067,'[1]Task list &amp; Maintenace plan'!$B:$G,6,FALSE)</f>
        <v>2005</v>
      </c>
      <c r="F1067" s="157" t="s">
        <v>1596</v>
      </c>
      <c r="G1067" s="62" t="s">
        <v>1396</v>
      </c>
      <c r="H1067" s="62" t="s">
        <v>1387</v>
      </c>
      <c r="I1067" s="195">
        <v>180</v>
      </c>
      <c r="J1067" s="195">
        <v>1</v>
      </c>
      <c r="K1067" s="195">
        <v>60</v>
      </c>
      <c r="L1067" s="7">
        <v>1</v>
      </c>
      <c r="M1067" s="7">
        <f t="shared" si="1"/>
        <v>60</v>
      </c>
      <c r="N1067" s="10" t="s">
        <v>20</v>
      </c>
    </row>
    <row r="1068" spans="1:14" ht="15.75" thickBot="1" x14ac:dyDescent="0.3">
      <c r="A1068" t="s">
        <v>180</v>
      </c>
      <c r="B1068" s="153" t="s">
        <v>1391</v>
      </c>
      <c r="C1068" s="12"/>
      <c r="D1068" s="156">
        <v>356814</v>
      </c>
      <c r="E1068" s="157">
        <f>VLOOKUP(D1068,'[1]Task list &amp; Maintenace plan'!$B:$G,6,FALSE)</f>
        <v>2006</v>
      </c>
      <c r="F1068" s="157" t="s">
        <v>1597</v>
      </c>
      <c r="G1068" s="62" t="s">
        <v>1495</v>
      </c>
      <c r="H1068" s="62" t="s">
        <v>1387</v>
      </c>
      <c r="I1068" s="195">
        <v>180</v>
      </c>
      <c r="J1068" s="195">
        <v>1</v>
      </c>
      <c r="K1068" s="195">
        <v>60</v>
      </c>
      <c r="L1068" s="7">
        <v>1</v>
      </c>
      <c r="M1068" s="7">
        <f t="shared" si="1"/>
        <v>60</v>
      </c>
      <c r="N1068" s="10" t="s">
        <v>20</v>
      </c>
    </row>
    <row r="1069" spans="1:14" ht="15.75" thickBot="1" x14ac:dyDescent="0.3">
      <c r="A1069" t="s">
        <v>180</v>
      </c>
      <c r="B1069" s="153" t="s">
        <v>1391</v>
      </c>
      <c r="C1069" s="12"/>
      <c r="D1069" s="156">
        <v>356815</v>
      </c>
      <c r="E1069" s="157">
        <f>VLOOKUP(D1069,'[1]Task list &amp; Maintenace plan'!$B:$G,6,FALSE)</f>
        <v>2007</v>
      </c>
      <c r="F1069" s="157" t="s">
        <v>1598</v>
      </c>
      <c r="G1069" s="62" t="s">
        <v>1497</v>
      </c>
      <c r="H1069" s="62" t="s">
        <v>1387</v>
      </c>
      <c r="I1069" s="195">
        <v>180</v>
      </c>
      <c r="J1069" s="195">
        <v>1</v>
      </c>
      <c r="K1069" s="195">
        <v>60</v>
      </c>
      <c r="L1069" s="7">
        <v>1</v>
      </c>
      <c r="M1069" s="7">
        <f t="shared" si="1"/>
        <v>60</v>
      </c>
      <c r="N1069" s="10" t="s">
        <v>20</v>
      </c>
    </row>
    <row r="1070" spans="1:14" ht="15.75" thickBot="1" x14ac:dyDescent="0.3">
      <c r="A1070" t="s">
        <v>180</v>
      </c>
      <c r="B1070" s="153" t="s">
        <v>1391</v>
      </c>
      <c r="C1070" s="12"/>
      <c r="D1070" s="156">
        <v>356821</v>
      </c>
      <c r="E1070" s="157">
        <f>VLOOKUP(D1070,'[1]Task list &amp; Maintenace plan'!$B:$G,6,FALSE)</f>
        <v>2008</v>
      </c>
      <c r="F1070" s="157" t="s">
        <v>1599</v>
      </c>
      <c r="G1070" s="62" t="s">
        <v>1499</v>
      </c>
      <c r="H1070" s="62" t="s">
        <v>1387</v>
      </c>
      <c r="I1070" s="195">
        <v>180</v>
      </c>
      <c r="J1070" s="195">
        <v>1</v>
      </c>
      <c r="K1070" s="195">
        <v>60</v>
      </c>
      <c r="L1070" s="7">
        <v>1</v>
      </c>
      <c r="M1070" s="7">
        <f t="shared" si="1"/>
        <v>60</v>
      </c>
      <c r="N1070" s="10" t="s">
        <v>20</v>
      </c>
    </row>
    <row r="1071" spans="1:14" ht="15.75" thickBot="1" x14ac:dyDescent="0.3">
      <c r="A1071" t="s">
        <v>180</v>
      </c>
      <c r="B1071" s="153" t="s">
        <v>1391</v>
      </c>
      <c r="C1071" s="12"/>
      <c r="D1071" s="156">
        <v>356822</v>
      </c>
      <c r="E1071" s="157">
        <f>VLOOKUP(D1071,'[1]Task list &amp; Maintenace plan'!$B:$G,6,FALSE)</f>
        <v>2009</v>
      </c>
      <c r="F1071" s="157" t="s">
        <v>1600</v>
      </c>
      <c r="G1071" s="62" t="s">
        <v>1399</v>
      </c>
      <c r="H1071" s="62" t="s">
        <v>1387</v>
      </c>
      <c r="I1071" s="195">
        <v>180</v>
      </c>
      <c r="J1071" s="195">
        <v>1</v>
      </c>
      <c r="K1071" s="195">
        <v>60</v>
      </c>
      <c r="L1071" s="7">
        <v>1</v>
      </c>
      <c r="M1071" s="7">
        <f t="shared" si="1"/>
        <v>60</v>
      </c>
      <c r="N1071" s="10" t="s">
        <v>20</v>
      </c>
    </row>
    <row r="1072" spans="1:14" ht="15.75" thickBot="1" x14ac:dyDescent="0.3">
      <c r="A1072" t="s">
        <v>180</v>
      </c>
      <c r="B1072" s="153" t="s">
        <v>1391</v>
      </c>
      <c r="C1072" s="12"/>
      <c r="D1072" s="156">
        <v>356823</v>
      </c>
      <c r="E1072" s="157">
        <f>VLOOKUP(D1072,'[1]Task list &amp; Maintenace plan'!$B:$G,6,FALSE)</f>
        <v>2010</v>
      </c>
      <c r="F1072" s="157" t="s">
        <v>1601</v>
      </c>
      <c r="G1072" s="62" t="s">
        <v>1502</v>
      </c>
      <c r="H1072" s="62" t="s">
        <v>1387</v>
      </c>
      <c r="I1072" s="195">
        <v>180</v>
      </c>
      <c r="J1072" s="195">
        <v>1</v>
      </c>
      <c r="K1072" s="195">
        <v>60</v>
      </c>
      <c r="L1072" s="7">
        <v>1</v>
      </c>
      <c r="M1072" s="7">
        <f t="shared" si="1"/>
        <v>60</v>
      </c>
      <c r="N1072" s="10" t="s">
        <v>20</v>
      </c>
    </row>
    <row r="1073" spans="1:14" ht="15.75" thickBot="1" x14ac:dyDescent="0.3">
      <c r="A1073" t="s">
        <v>180</v>
      </c>
      <c r="B1073" s="153" t="s">
        <v>1391</v>
      </c>
      <c r="C1073" s="12"/>
      <c r="D1073" s="156">
        <v>356824</v>
      </c>
      <c r="E1073" s="157">
        <f>VLOOKUP(D1073,'[1]Task list &amp; Maintenace plan'!$B:$G,6,FALSE)</f>
        <v>2011</v>
      </c>
      <c r="F1073" s="157" t="s">
        <v>1602</v>
      </c>
      <c r="G1073" s="62" t="s">
        <v>1504</v>
      </c>
      <c r="H1073" s="62" t="s">
        <v>1387</v>
      </c>
      <c r="I1073" s="195">
        <v>180</v>
      </c>
      <c r="J1073" s="195">
        <v>1</v>
      </c>
      <c r="K1073" s="195">
        <v>60</v>
      </c>
      <c r="L1073" s="7">
        <v>1</v>
      </c>
      <c r="M1073" s="7">
        <f t="shared" si="1"/>
        <v>60</v>
      </c>
      <c r="N1073" s="10" t="s">
        <v>20</v>
      </c>
    </row>
    <row r="1074" spans="1:14" ht="15.75" thickBot="1" x14ac:dyDescent="0.3">
      <c r="A1074" t="s">
        <v>180</v>
      </c>
      <c r="B1074" s="153" t="s">
        <v>1391</v>
      </c>
      <c r="C1074" s="12"/>
      <c r="D1074" s="156">
        <v>356825</v>
      </c>
      <c r="E1074" s="157">
        <f>VLOOKUP(D1074,'[1]Task list &amp; Maintenace plan'!$B:$G,6,FALSE)</f>
        <v>2012</v>
      </c>
      <c r="F1074" s="157" t="s">
        <v>1603</v>
      </c>
      <c r="G1074" s="62" t="s">
        <v>1475</v>
      </c>
      <c r="H1074" s="62" t="s">
        <v>1387</v>
      </c>
      <c r="I1074" s="195">
        <v>180</v>
      </c>
      <c r="J1074" s="195">
        <v>1</v>
      </c>
      <c r="K1074" s="195">
        <v>60</v>
      </c>
      <c r="L1074" s="7">
        <v>1</v>
      </c>
      <c r="M1074" s="7">
        <f t="shared" si="1"/>
        <v>60</v>
      </c>
      <c r="N1074" s="10" t="s">
        <v>20</v>
      </c>
    </row>
    <row r="1075" spans="1:14" ht="15.75" thickBot="1" x14ac:dyDescent="0.3">
      <c r="A1075" t="s">
        <v>180</v>
      </c>
      <c r="B1075" s="153" t="s">
        <v>1391</v>
      </c>
      <c r="C1075" s="12"/>
      <c r="D1075" s="156">
        <v>356826</v>
      </c>
      <c r="E1075" s="157">
        <f>VLOOKUP(D1075,'[1]Task list &amp; Maintenace plan'!$B:$G,6,FALSE)</f>
        <v>2013</v>
      </c>
      <c r="F1075" s="157" t="s">
        <v>1604</v>
      </c>
      <c r="G1075" s="62" t="s">
        <v>1507</v>
      </c>
      <c r="H1075" s="62" t="s">
        <v>1387</v>
      </c>
      <c r="I1075" s="195">
        <v>180</v>
      </c>
      <c r="J1075" s="195">
        <v>1</v>
      </c>
      <c r="K1075" s="195">
        <v>60</v>
      </c>
      <c r="L1075" s="7">
        <v>1</v>
      </c>
      <c r="M1075" s="7">
        <f t="shared" si="1"/>
        <v>60</v>
      </c>
      <c r="N1075" s="10" t="s">
        <v>20</v>
      </c>
    </row>
    <row r="1076" spans="1:14" ht="15.75" thickBot="1" x14ac:dyDescent="0.3">
      <c r="A1076" t="s">
        <v>180</v>
      </c>
      <c r="B1076" s="153" t="s">
        <v>1391</v>
      </c>
      <c r="C1076" s="12"/>
      <c r="D1076" s="156">
        <v>356827</v>
      </c>
      <c r="E1076" s="157">
        <f>VLOOKUP(D1076,'[1]Task list &amp; Maintenace plan'!$B:$G,6,FALSE)</f>
        <v>2014</v>
      </c>
      <c r="F1076" s="157" t="s">
        <v>1605</v>
      </c>
      <c r="G1076" s="62" t="s">
        <v>1509</v>
      </c>
      <c r="H1076" s="62" t="s">
        <v>1387</v>
      </c>
      <c r="I1076" s="195">
        <v>180</v>
      </c>
      <c r="J1076" s="195">
        <v>1</v>
      </c>
      <c r="K1076" s="195">
        <v>60</v>
      </c>
      <c r="L1076" s="7">
        <v>1</v>
      </c>
      <c r="M1076" s="7">
        <f t="shared" si="1"/>
        <v>60</v>
      </c>
      <c r="N1076" s="10" t="s">
        <v>20</v>
      </c>
    </row>
    <row r="1077" spans="1:14" ht="15.75" thickBot="1" x14ac:dyDescent="0.3">
      <c r="A1077" t="s">
        <v>180</v>
      </c>
      <c r="B1077" s="153" t="s">
        <v>1391</v>
      </c>
      <c r="C1077" s="12"/>
      <c r="D1077" s="156">
        <v>342741</v>
      </c>
      <c r="E1077" s="157">
        <f>VLOOKUP(D1077,'[1]Task list &amp; Maintenace plan'!$B:$G,6,FALSE)</f>
        <v>630</v>
      </c>
      <c r="F1077" s="157" t="s">
        <v>1606</v>
      </c>
      <c r="G1077" s="62" t="s">
        <v>1438</v>
      </c>
      <c r="H1077" s="62" t="s">
        <v>1607</v>
      </c>
      <c r="I1077" s="195">
        <v>365</v>
      </c>
      <c r="J1077" s="195">
        <v>1</v>
      </c>
      <c r="K1077" s="195">
        <v>60</v>
      </c>
      <c r="L1077" s="7">
        <v>1</v>
      </c>
      <c r="M1077" s="7">
        <f t="shared" si="1"/>
        <v>60</v>
      </c>
      <c r="N1077" s="10" t="s">
        <v>117</v>
      </c>
    </row>
    <row r="1078" spans="1:14" ht="15.75" thickBot="1" x14ac:dyDescent="0.3">
      <c r="A1078" t="s">
        <v>180</v>
      </c>
      <c r="B1078" s="153" t="s">
        <v>1391</v>
      </c>
      <c r="C1078" s="12"/>
      <c r="D1078" s="156">
        <v>342742</v>
      </c>
      <c r="E1078" s="157">
        <f>VLOOKUP(D1078,'[1]Task list &amp; Maintenace plan'!$B:$G,6,FALSE)</f>
        <v>631</v>
      </c>
      <c r="F1078" s="157" t="s">
        <v>1608</v>
      </c>
      <c r="G1078" s="62" t="s">
        <v>1609</v>
      </c>
      <c r="H1078" s="62" t="s">
        <v>1607</v>
      </c>
      <c r="I1078" s="195">
        <v>365</v>
      </c>
      <c r="J1078" s="195">
        <v>1</v>
      </c>
      <c r="K1078" s="195">
        <v>60</v>
      </c>
      <c r="L1078" s="7">
        <v>1</v>
      </c>
      <c r="M1078" s="7">
        <f t="shared" si="1"/>
        <v>60</v>
      </c>
      <c r="N1078" s="10" t="s">
        <v>117</v>
      </c>
    </row>
    <row r="1079" spans="1:14" ht="15.75" thickBot="1" x14ac:dyDescent="0.3">
      <c r="A1079" t="s">
        <v>180</v>
      </c>
      <c r="B1079" s="153" t="s">
        <v>1391</v>
      </c>
      <c r="C1079" s="12"/>
      <c r="D1079" s="156">
        <v>342743</v>
      </c>
      <c r="E1079" s="157">
        <f>VLOOKUP(D1079,'[1]Task list &amp; Maintenace plan'!$B:$G,6,FALSE)</f>
        <v>632</v>
      </c>
      <c r="F1079" s="157" t="s">
        <v>1610</v>
      </c>
      <c r="G1079" s="62" t="s">
        <v>1611</v>
      </c>
      <c r="H1079" s="62" t="s">
        <v>1607</v>
      </c>
      <c r="I1079" s="195">
        <v>365</v>
      </c>
      <c r="J1079" s="195">
        <v>1</v>
      </c>
      <c r="K1079" s="195">
        <v>60</v>
      </c>
      <c r="L1079" s="7">
        <v>1</v>
      </c>
      <c r="M1079" s="7">
        <f t="shared" si="1"/>
        <v>60</v>
      </c>
      <c r="N1079" s="10" t="s">
        <v>117</v>
      </c>
    </row>
    <row r="1080" spans="1:14" ht="15.75" thickBot="1" x14ac:dyDescent="0.3">
      <c r="A1080" t="s">
        <v>180</v>
      </c>
      <c r="B1080" s="153" t="s">
        <v>1391</v>
      </c>
      <c r="C1080" s="12"/>
      <c r="D1080" s="156">
        <v>342744</v>
      </c>
      <c r="E1080" s="157">
        <f>VLOOKUP(D1080,'[1]Task list &amp; Maintenace plan'!$B:$G,6,FALSE)</f>
        <v>633</v>
      </c>
      <c r="F1080" s="157" t="s">
        <v>1612</v>
      </c>
      <c r="G1080" s="62" t="s">
        <v>1445</v>
      </c>
      <c r="H1080" s="62" t="s">
        <v>1607</v>
      </c>
      <c r="I1080" s="195">
        <v>365</v>
      </c>
      <c r="J1080" s="195">
        <v>1</v>
      </c>
      <c r="K1080" s="195">
        <v>60</v>
      </c>
      <c r="L1080" s="7">
        <v>1</v>
      </c>
      <c r="M1080" s="7">
        <f t="shared" si="1"/>
        <v>60</v>
      </c>
      <c r="N1080" s="10" t="s">
        <v>117</v>
      </c>
    </row>
    <row r="1081" spans="1:14" ht="15.75" thickBot="1" x14ac:dyDescent="0.3">
      <c r="A1081" t="s">
        <v>180</v>
      </c>
      <c r="B1081" s="153" t="s">
        <v>1391</v>
      </c>
      <c r="C1081" s="12"/>
      <c r="D1081" s="156">
        <v>610000004172</v>
      </c>
      <c r="E1081" s="157">
        <f>VLOOKUP(D1081,'[1]Task list &amp; Maintenace plan'!$B:$G,6,FALSE)</f>
        <v>100606</v>
      </c>
      <c r="F1081" s="157" t="s">
        <v>1613</v>
      </c>
      <c r="G1081" s="158" t="s">
        <v>1394</v>
      </c>
      <c r="H1081" s="158" t="s">
        <v>1614</v>
      </c>
      <c r="I1081" s="157">
        <v>365</v>
      </c>
      <c r="J1081" s="157">
        <v>1</v>
      </c>
      <c r="K1081" s="157">
        <v>60</v>
      </c>
      <c r="L1081" s="157">
        <v>2</v>
      </c>
      <c r="M1081" s="7">
        <f t="shared" si="1"/>
        <v>120</v>
      </c>
      <c r="N1081" s="10" t="s">
        <v>468</v>
      </c>
    </row>
    <row r="1082" spans="1:14" ht="15.75" thickBot="1" x14ac:dyDescent="0.3">
      <c r="A1082" t="s">
        <v>180</v>
      </c>
      <c r="B1082" s="153" t="s">
        <v>1391</v>
      </c>
      <c r="C1082" s="12"/>
      <c r="D1082" s="156">
        <v>342698</v>
      </c>
      <c r="E1082" s="157">
        <f>VLOOKUP(D1082,'[1]Task list &amp; Maintenace plan'!$B:$G,6,FALSE)</f>
        <v>627</v>
      </c>
      <c r="F1082" s="157" t="s">
        <v>1615</v>
      </c>
      <c r="G1082" s="158" t="s">
        <v>1397</v>
      </c>
      <c r="H1082" s="158" t="s">
        <v>1616</v>
      </c>
      <c r="I1082" s="157">
        <v>365</v>
      </c>
      <c r="J1082" s="157">
        <v>1</v>
      </c>
      <c r="K1082" s="157">
        <v>60</v>
      </c>
      <c r="L1082" s="157">
        <v>2</v>
      </c>
      <c r="M1082" s="7">
        <f t="shared" si="1"/>
        <v>120</v>
      </c>
      <c r="N1082" s="10" t="s">
        <v>468</v>
      </c>
    </row>
    <row r="1083" spans="1:14" ht="15.75" thickBot="1" x14ac:dyDescent="0.3">
      <c r="A1083" t="s">
        <v>180</v>
      </c>
      <c r="B1083" s="153" t="s">
        <v>1391</v>
      </c>
      <c r="C1083" s="12"/>
      <c r="D1083" s="156">
        <v>342699</v>
      </c>
      <c r="E1083" s="157">
        <f>VLOOKUP(D1083,'[1]Task list &amp; Maintenace plan'!$B:$G,6,FALSE)</f>
        <v>628</v>
      </c>
      <c r="F1083" s="157" t="s">
        <v>1617</v>
      </c>
      <c r="G1083" s="158" t="s">
        <v>1400</v>
      </c>
      <c r="H1083" s="158" t="s">
        <v>1618</v>
      </c>
      <c r="I1083" s="157">
        <v>365</v>
      </c>
      <c r="J1083" s="157">
        <v>1</v>
      </c>
      <c r="K1083" s="157">
        <v>60</v>
      </c>
      <c r="L1083" s="157">
        <v>2</v>
      </c>
      <c r="M1083" s="7">
        <f t="shared" si="1"/>
        <v>120</v>
      </c>
      <c r="N1083" s="10" t="s">
        <v>468</v>
      </c>
    </row>
    <row r="1084" spans="1:14" ht="15.75" thickBot="1" x14ac:dyDescent="0.3">
      <c r="A1084" t="s">
        <v>180</v>
      </c>
      <c r="B1084" s="153" t="s">
        <v>1391</v>
      </c>
      <c r="C1084" s="12"/>
      <c r="D1084" s="156">
        <v>342700</v>
      </c>
      <c r="E1084" s="157">
        <f>VLOOKUP(D1084,'[1]Task list &amp; Maintenace plan'!$B:$G,6,FALSE)</f>
        <v>629</v>
      </c>
      <c r="F1084" s="157" t="s">
        <v>1619</v>
      </c>
      <c r="G1084" s="158" t="s">
        <v>1403</v>
      </c>
      <c r="H1084" s="158" t="s">
        <v>1620</v>
      </c>
      <c r="I1084" s="157">
        <v>365</v>
      </c>
      <c r="J1084" s="157">
        <v>1</v>
      </c>
      <c r="K1084" s="157">
        <v>60</v>
      </c>
      <c r="L1084" s="157">
        <v>2</v>
      </c>
      <c r="M1084" s="7">
        <f t="shared" si="1"/>
        <v>120</v>
      </c>
      <c r="N1084" s="10" t="s">
        <v>468</v>
      </c>
    </row>
    <row r="1085" spans="1:14" ht="15.75" thickBot="1" x14ac:dyDescent="0.3">
      <c r="A1085" t="s">
        <v>180</v>
      </c>
      <c r="B1085" s="153" t="s">
        <v>1391</v>
      </c>
      <c r="C1085" s="12"/>
      <c r="D1085" s="156">
        <v>356756</v>
      </c>
      <c r="E1085" s="157">
        <f>VLOOKUP(D1085,'[1]Task list &amp; Maintenace plan'!$B:$G,6,FALSE)</f>
        <v>1973</v>
      </c>
      <c r="F1085" s="157" t="s">
        <v>1621</v>
      </c>
      <c r="G1085" s="158" t="s">
        <v>1448</v>
      </c>
      <c r="H1085" s="158" t="s">
        <v>1622</v>
      </c>
      <c r="I1085" s="157">
        <v>365</v>
      </c>
      <c r="J1085" s="157">
        <v>1</v>
      </c>
      <c r="K1085" s="157">
        <v>360</v>
      </c>
      <c r="L1085" s="157">
        <v>2</v>
      </c>
      <c r="M1085" s="7">
        <f t="shared" si="1"/>
        <v>720</v>
      </c>
      <c r="N1085" s="10" t="s">
        <v>34</v>
      </c>
    </row>
    <row r="1086" spans="1:14" ht="15.75" thickBot="1" x14ac:dyDescent="0.3">
      <c r="A1086" t="s">
        <v>180</v>
      </c>
      <c r="B1086" s="153" t="s">
        <v>1391</v>
      </c>
      <c r="C1086" s="12"/>
      <c r="D1086" s="156">
        <v>356757</v>
      </c>
      <c r="E1086" s="157">
        <f>VLOOKUP(D1086,'[1]Task list &amp; Maintenace plan'!$B:$G,6,FALSE)</f>
        <v>1974</v>
      </c>
      <c r="F1086" s="157" t="s">
        <v>1623</v>
      </c>
      <c r="G1086" s="158" t="s">
        <v>1454</v>
      </c>
      <c r="H1086" s="158" t="s">
        <v>1622</v>
      </c>
      <c r="I1086" s="157">
        <v>365</v>
      </c>
      <c r="J1086" s="157">
        <v>1</v>
      </c>
      <c r="K1086" s="157">
        <v>360</v>
      </c>
      <c r="L1086" s="157">
        <v>2</v>
      </c>
      <c r="M1086" s="7">
        <f t="shared" si="1"/>
        <v>720</v>
      </c>
      <c r="N1086" s="10" t="s">
        <v>34</v>
      </c>
    </row>
    <row r="1087" spans="1:14" ht="15.75" thickBot="1" x14ac:dyDescent="0.3">
      <c r="A1087" t="s">
        <v>180</v>
      </c>
      <c r="B1087" s="153" t="s">
        <v>1391</v>
      </c>
      <c r="C1087" s="12"/>
      <c r="D1087" s="156">
        <v>356758</v>
      </c>
      <c r="E1087" s="157">
        <f>VLOOKUP(D1087,'[1]Task list &amp; Maintenace plan'!$B:$G,6,FALSE)</f>
        <v>1975</v>
      </c>
      <c r="F1087" s="157" t="s">
        <v>1624</v>
      </c>
      <c r="G1087" s="158" t="s">
        <v>1473</v>
      </c>
      <c r="H1087" s="158" t="s">
        <v>1625</v>
      </c>
      <c r="I1087" s="157">
        <v>365</v>
      </c>
      <c r="J1087" s="157">
        <v>1</v>
      </c>
      <c r="K1087" s="157">
        <v>120</v>
      </c>
      <c r="L1087" s="157">
        <v>2</v>
      </c>
      <c r="M1087" s="7">
        <f t="shared" si="1"/>
        <v>240</v>
      </c>
      <c r="N1087" s="10" t="s">
        <v>34</v>
      </c>
    </row>
    <row r="1088" spans="1:14" ht="15.75" thickBot="1" x14ac:dyDescent="0.3">
      <c r="A1088" t="s">
        <v>180</v>
      </c>
      <c r="B1088" s="153" t="s">
        <v>1391</v>
      </c>
      <c r="C1088" s="12"/>
      <c r="D1088" s="156">
        <v>356759</v>
      </c>
      <c r="E1088" s="157">
        <f>VLOOKUP(D1088,'[1]Task list &amp; Maintenace plan'!$B:$G,6,FALSE)</f>
        <v>1976</v>
      </c>
      <c r="F1088" s="157" t="s">
        <v>1626</v>
      </c>
      <c r="G1088" s="158" t="s">
        <v>1451</v>
      </c>
      <c r="H1088" s="158" t="s">
        <v>1390</v>
      </c>
      <c r="I1088" s="157">
        <v>365</v>
      </c>
      <c r="J1088" s="157">
        <v>1</v>
      </c>
      <c r="K1088" s="157">
        <v>240</v>
      </c>
      <c r="L1088" s="157">
        <v>2</v>
      </c>
      <c r="M1088" s="7">
        <f t="shared" si="1"/>
        <v>480</v>
      </c>
      <c r="N1088" s="10" t="s">
        <v>34</v>
      </c>
    </row>
    <row r="1089" spans="1:14" ht="15.75" thickBot="1" x14ac:dyDescent="0.3">
      <c r="A1089" t="s">
        <v>180</v>
      </c>
      <c r="B1089" s="153" t="s">
        <v>1391</v>
      </c>
      <c r="C1089" s="12"/>
      <c r="D1089" s="156">
        <v>356760</v>
      </c>
      <c r="E1089" s="157">
        <f>VLOOKUP(D1089,'[1]Task list &amp; Maintenace plan'!$B:$G,6,FALSE)</f>
        <v>1977</v>
      </c>
      <c r="F1089" s="157" t="s">
        <v>1627</v>
      </c>
      <c r="G1089" s="158" t="s">
        <v>1392</v>
      </c>
      <c r="H1089" s="158" t="s">
        <v>1625</v>
      </c>
      <c r="I1089" s="157">
        <v>365</v>
      </c>
      <c r="J1089" s="157">
        <v>1</v>
      </c>
      <c r="K1089" s="157">
        <v>120</v>
      </c>
      <c r="L1089" s="157">
        <v>2</v>
      </c>
      <c r="M1089" s="7">
        <f t="shared" si="1"/>
        <v>240</v>
      </c>
      <c r="N1089" s="10" t="s">
        <v>34</v>
      </c>
    </row>
    <row r="1090" spans="1:14" ht="15.75" thickBot="1" x14ac:dyDescent="0.3">
      <c r="A1090" t="s">
        <v>180</v>
      </c>
      <c r="B1090" s="153" t="s">
        <v>1391</v>
      </c>
      <c r="C1090" s="12"/>
      <c r="D1090" s="156">
        <v>356781</v>
      </c>
      <c r="E1090" s="157">
        <f>VLOOKUP(D1090,'[1]Task list &amp; Maintenace plan'!$B:$G,6,FALSE)</f>
        <v>1978</v>
      </c>
      <c r="F1090" s="157" t="s">
        <v>1628</v>
      </c>
      <c r="G1090" s="158" t="s">
        <v>1491</v>
      </c>
      <c r="H1090" s="158" t="s">
        <v>1625</v>
      </c>
      <c r="I1090" s="157">
        <v>365</v>
      </c>
      <c r="J1090" s="157">
        <v>1</v>
      </c>
      <c r="K1090" s="157">
        <v>120</v>
      </c>
      <c r="L1090" s="157">
        <v>2</v>
      </c>
      <c r="M1090" s="7">
        <f t="shared" si="1"/>
        <v>240</v>
      </c>
      <c r="N1090" s="10" t="s">
        <v>34</v>
      </c>
    </row>
    <row r="1091" spans="1:14" ht="15.75" thickBot="1" x14ac:dyDescent="0.3">
      <c r="A1091" t="s">
        <v>180</v>
      </c>
      <c r="B1091" s="153" t="s">
        <v>1391</v>
      </c>
      <c r="C1091" s="12"/>
      <c r="D1091" s="156">
        <v>356782</v>
      </c>
      <c r="E1091" s="157">
        <f>VLOOKUP(D1091,'[1]Task list &amp; Maintenace plan'!$B:$G,6,FALSE)</f>
        <v>1979</v>
      </c>
      <c r="F1091" s="157" t="s">
        <v>1629</v>
      </c>
      <c r="G1091" s="158" t="s">
        <v>1459</v>
      </c>
      <c r="H1091" s="158" t="s">
        <v>1625</v>
      </c>
      <c r="I1091" s="157">
        <v>365</v>
      </c>
      <c r="J1091" s="157">
        <v>1</v>
      </c>
      <c r="K1091" s="157">
        <v>120</v>
      </c>
      <c r="L1091" s="157">
        <v>2</v>
      </c>
      <c r="M1091" s="7">
        <f t="shared" si="1"/>
        <v>240</v>
      </c>
      <c r="N1091" s="10" t="s">
        <v>34</v>
      </c>
    </row>
    <row r="1092" spans="1:14" ht="15.75" thickBot="1" x14ac:dyDescent="0.3">
      <c r="A1092" t="s">
        <v>180</v>
      </c>
      <c r="B1092" s="153" t="s">
        <v>1391</v>
      </c>
      <c r="C1092" s="12"/>
      <c r="D1092" s="156">
        <v>356783</v>
      </c>
      <c r="E1092" s="157">
        <f>VLOOKUP(D1092,'[1]Task list &amp; Maintenace plan'!$B:$G,6,FALSE)</f>
        <v>1980</v>
      </c>
      <c r="F1092" s="157" t="s">
        <v>1630</v>
      </c>
      <c r="G1092" s="158" t="s">
        <v>1396</v>
      </c>
      <c r="H1092" s="158" t="s">
        <v>1625</v>
      </c>
      <c r="I1092" s="157">
        <v>365</v>
      </c>
      <c r="J1092" s="157">
        <v>1</v>
      </c>
      <c r="K1092" s="157">
        <v>120</v>
      </c>
      <c r="L1092" s="157">
        <v>2</v>
      </c>
      <c r="M1092" s="7">
        <f t="shared" si="1"/>
        <v>240</v>
      </c>
      <c r="N1092" s="10" t="s">
        <v>34</v>
      </c>
    </row>
    <row r="1093" spans="1:14" ht="15.75" thickBot="1" x14ac:dyDescent="0.3">
      <c r="A1093" t="s">
        <v>180</v>
      </c>
      <c r="B1093" s="153" t="s">
        <v>1391</v>
      </c>
      <c r="C1093" s="12"/>
      <c r="D1093" s="156">
        <v>356784</v>
      </c>
      <c r="E1093" s="157">
        <f>VLOOKUP(D1093,'[1]Task list &amp; Maintenace plan'!$B:$G,6,FALSE)</f>
        <v>1981</v>
      </c>
      <c r="F1093" s="157" t="s">
        <v>1631</v>
      </c>
      <c r="G1093" s="158" t="s">
        <v>1495</v>
      </c>
      <c r="H1093" s="158" t="s">
        <v>1625</v>
      </c>
      <c r="I1093" s="157">
        <v>365</v>
      </c>
      <c r="J1093" s="157">
        <v>1</v>
      </c>
      <c r="K1093" s="157">
        <v>120</v>
      </c>
      <c r="L1093" s="157">
        <v>2</v>
      </c>
      <c r="M1093" s="7">
        <f t="shared" si="1"/>
        <v>240</v>
      </c>
      <c r="N1093" s="10" t="s">
        <v>34</v>
      </c>
    </row>
    <row r="1094" spans="1:14" ht="15.75" thickBot="1" x14ac:dyDescent="0.3">
      <c r="A1094" t="s">
        <v>180</v>
      </c>
      <c r="B1094" s="153" t="s">
        <v>1391</v>
      </c>
      <c r="C1094" s="12"/>
      <c r="D1094" s="156">
        <v>356785</v>
      </c>
      <c r="E1094" s="157">
        <f>VLOOKUP(D1094,'[1]Task list &amp; Maintenace plan'!$B:$G,6,FALSE)</f>
        <v>1982</v>
      </c>
      <c r="F1094" s="157" t="s">
        <v>1632</v>
      </c>
      <c r="G1094" s="158" t="s">
        <v>1497</v>
      </c>
      <c r="H1094" s="158" t="s">
        <v>1625</v>
      </c>
      <c r="I1094" s="157">
        <v>365</v>
      </c>
      <c r="J1094" s="157">
        <v>1</v>
      </c>
      <c r="K1094" s="157">
        <v>120</v>
      </c>
      <c r="L1094" s="157">
        <v>2</v>
      </c>
      <c r="M1094" s="7">
        <f t="shared" si="1"/>
        <v>240</v>
      </c>
      <c r="N1094" s="10" t="s">
        <v>34</v>
      </c>
    </row>
    <row r="1095" spans="1:14" ht="15.75" thickBot="1" x14ac:dyDescent="0.3">
      <c r="A1095" t="s">
        <v>180</v>
      </c>
      <c r="B1095" s="153" t="s">
        <v>1391</v>
      </c>
      <c r="C1095" s="12"/>
      <c r="D1095" s="156">
        <v>356786</v>
      </c>
      <c r="E1095" s="157">
        <f>VLOOKUP(D1095,'[1]Task list &amp; Maintenace plan'!$B:$G,6,FALSE)</f>
        <v>1983</v>
      </c>
      <c r="F1095" s="157" t="s">
        <v>1633</v>
      </c>
      <c r="G1095" s="158" t="s">
        <v>1499</v>
      </c>
      <c r="H1095" s="158" t="s">
        <v>1625</v>
      </c>
      <c r="I1095" s="157">
        <v>365</v>
      </c>
      <c r="J1095" s="157">
        <v>1</v>
      </c>
      <c r="K1095" s="157">
        <v>120</v>
      </c>
      <c r="L1095" s="157">
        <v>2</v>
      </c>
      <c r="M1095" s="7">
        <f t="shared" si="1"/>
        <v>240</v>
      </c>
      <c r="N1095" s="10" t="s">
        <v>34</v>
      </c>
    </row>
    <row r="1096" spans="1:14" ht="15.75" thickBot="1" x14ac:dyDescent="0.3">
      <c r="A1096" t="s">
        <v>180</v>
      </c>
      <c r="B1096" s="153" t="s">
        <v>1391</v>
      </c>
      <c r="C1096" s="12"/>
      <c r="D1096" s="156">
        <v>356787</v>
      </c>
      <c r="E1096" s="157">
        <f>VLOOKUP(D1096,'[1]Task list &amp; Maintenace plan'!$B:$G,6,FALSE)</f>
        <v>1984</v>
      </c>
      <c r="F1096" s="157" t="s">
        <v>1634</v>
      </c>
      <c r="G1096" s="158" t="s">
        <v>1399</v>
      </c>
      <c r="H1096" s="158" t="s">
        <v>1625</v>
      </c>
      <c r="I1096" s="157">
        <v>365</v>
      </c>
      <c r="J1096" s="157">
        <v>1</v>
      </c>
      <c r="K1096" s="157">
        <v>120</v>
      </c>
      <c r="L1096" s="157">
        <v>2</v>
      </c>
      <c r="M1096" s="7">
        <f t="shared" si="1"/>
        <v>240</v>
      </c>
      <c r="N1096" s="10" t="s">
        <v>34</v>
      </c>
    </row>
    <row r="1097" spans="1:14" ht="15.75" thickBot="1" x14ac:dyDescent="0.3">
      <c r="A1097" t="s">
        <v>180</v>
      </c>
      <c r="B1097" s="153" t="s">
        <v>1391</v>
      </c>
      <c r="C1097" s="12"/>
      <c r="D1097" s="156">
        <v>356788</v>
      </c>
      <c r="E1097" s="157">
        <f>VLOOKUP(D1097,'[1]Task list &amp; Maintenace plan'!$B:$G,6,FALSE)</f>
        <v>1985</v>
      </c>
      <c r="F1097" s="157" t="s">
        <v>1635</v>
      </c>
      <c r="G1097" s="158" t="s">
        <v>1502</v>
      </c>
      <c r="H1097" s="158" t="s">
        <v>1625</v>
      </c>
      <c r="I1097" s="157">
        <v>365</v>
      </c>
      <c r="J1097" s="157">
        <v>1</v>
      </c>
      <c r="K1097" s="157">
        <v>120</v>
      </c>
      <c r="L1097" s="157">
        <v>2</v>
      </c>
      <c r="M1097" s="7">
        <f t="shared" si="1"/>
        <v>240</v>
      </c>
      <c r="N1097" s="10" t="s">
        <v>34</v>
      </c>
    </row>
    <row r="1098" spans="1:14" ht="15.75" thickBot="1" x14ac:dyDescent="0.3">
      <c r="A1098" t="s">
        <v>180</v>
      </c>
      <c r="B1098" s="153" t="s">
        <v>1391</v>
      </c>
      <c r="C1098" s="12"/>
      <c r="D1098" s="156">
        <v>356789</v>
      </c>
      <c r="E1098" s="157">
        <f>VLOOKUP(D1098,'[1]Task list &amp; Maintenace plan'!$B:$G,6,FALSE)</f>
        <v>1986</v>
      </c>
      <c r="F1098" s="157" t="s">
        <v>1636</v>
      </c>
      <c r="G1098" s="158" t="s">
        <v>1504</v>
      </c>
      <c r="H1098" s="158" t="s">
        <v>1625</v>
      </c>
      <c r="I1098" s="157">
        <v>365</v>
      </c>
      <c r="J1098" s="157">
        <v>1</v>
      </c>
      <c r="K1098" s="157">
        <v>120</v>
      </c>
      <c r="L1098" s="157">
        <v>2</v>
      </c>
      <c r="M1098" s="7">
        <f t="shared" si="1"/>
        <v>240</v>
      </c>
      <c r="N1098" s="10" t="s">
        <v>34</v>
      </c>
    </row>
    <row r="1099" spans="1:14" ht="15.75" thickBot="1" x14ac:dyDescent="0.3">
      <c r="A1099" t="s">
        <v>180</v>
      </c>
      <c r="B1099" s="153" t="s">
        <v>1391</v>
      </c>
      <c r="C1099" s="12"/>
      <c r="D1099" s="156">
        <v>356790</v>
      </c>
      <c r="E1099" s="157">
        <f>VLOOKUP(D1099,'[1]Task list &amp; Maintenace plan'!$B:$G,6,FALSE)</f>
        <v>1987</v>
      </c>
      <c r="F1099" s="157" t="s">
        <v>1637</v>
      </c>
      <c r="G1099" s="158" t="s">
        <v>1475</v>
      </c>
      <c r="H1099" s="158" t="s">
        <v>1625</v>
      </c>
      <c r="I1099" s="157">
        <v>365</v>
      </c>
      <c r="J1099" s="157">
        <v>1</v>
      </c>
      <c r="K1099" s="157">
        <v>120</v>
      </c>
      <c r="L1099" s="157">
        <v>2</v>
      </c>
      <c r="M1099" s="7">
        <f t="shared" si="1"/>
        <v>240</v>
      </c>
      <c r="N1099" s="10" t="s">
        <v>34</v>
      </c>
    </row>
    <row r="1100" spans="1:14" ht="15.75" thickBot="1" x14ac:dyDescent="0.3">
      <c r="A1100" t="s">
        <v>180</v>
      </c>
      <c r="B1100" s="153" t="s">
        <v>1391</v>
      </c>
      <c r="C1100" s="12"/>
      <c r="D1100" s="156">
        <v>356791</v>
      </c>
      <c r="E1100" s="157">
        <f>VLOOKUP(D1100,'[1]Task list &amp; Maintenace plan'!$B:$G,6,FALSE)</f>
        <v>1988</v>
      </c>
      <c r="F1100" s="157" t="s">
        <v>1638</v>
      </c>
      <c r="G1100" s="158" t="s">
        <v>1507</v>
      </c>
      <c r="H1100" s="158" t="s">
        <v>1625</v>
      </c>
      <c r="I1100" s="157">
        <v>365</v>
      </c>
      <c r="J1100" s="157">
        <v>1</v>
      </c>
      <c r="K1100" s="157">
        <v>120</v>
      </c>
      <c r="L1100" s="157">
        <v>2</v>
      </c>
      <c r="M1100" s="7">
        <f t="shared" si="1"/>
        <v>240</v>
      </c>
      <c r="N1100" s="10" t="s">
        <v>34</v>
      </c>
    </row>
    <row r="1101" spans="1:14" ht="15.75" thickBot="1" x14ac:dyDescent="0.3">
      <c r="A1101" t="s">
        <v>180</v>
      </c>
      <c r="B1101" s="153" t="s">
        <v>1391</v>
      </c>
      <c r="C1101" s="12"/>
      <c r="D1101" s="167">
        <v>356792</v>
      </c>
      <c r="E1101" s="168">
        <f>VLOOKUP(D1101,'[1]Task list &amp; Maintenace plan'!$B:$G,6,FALSE)</f>
        <v>1989</v>
      </c>
      <c r="F1101" s="168" t="s">
        <v>1639</v>
      </c>
      <c r="G1101" s="169" t="s">
        <v>1509</v>
      </c>
      <c r="H1101" s="169" t="s">
        <v>1625</v>
      </c>
      <c r="I1101" s="168">
        <v>365</v>
      </c>
      <c r="J1101" s="168">
        <v>1</v>
      </c>
      <c r="K1101" s="168">
        <v>120</v>
      </c>
      <c r="L1101" s="168">
        <v>2</v>
      </c>
      <c r="M1101" s="7">
        <f t="shared" si="1"/>
        <v>240</v>
      </c>
      <c r="N1101" s="10" t="s">
        <v>34</v>
      </c>
    </row>
    <row r="1102" spans="1:14" ht="15.75" thickBot="1" x14ac:dyDescent="0.3">
      <c r="A1102" t="s">
        <v>180</v>
      </c>
      <c r="B1102" s="153" t="s">
        <v>1640</v>
      </c>
      <c r="C1102" s="154"/>
      <c r="D1102" s="100">
        <v>610000004175</v>
      </c>
      <c r="E1102" s="101">
        <f>VLOOKUP(D1102,'[1]Task list &amp; Maintenace plan'!$B:$G,6,FALSE)</f>
        <v>100609</v>
      </c>
      <c r="F1102" s="101" t="s">
        <v>1642</v>
      </c>
      <c r="G1102" s="102" t="s">
        <v>1643</v>
      </c>
      <c r="H1102" s="102" t="s">
        <v>1644</v>
      </c>
      <c r="I1102" s="101">
        <v>15</v>
      </c>
      <c r="J1102" s="101"/>
      <c r="K1102" s="724">
        <v>30</v>
      </c>
      <c r="L1102" s="724">
        <v>1</v>
      </c>
      <c r="M1102" s="724">
        <f>K1102*L1102</f>
        <v>30</v>
      </c>
      <c r="N1102" s="725" t="s">
        <v>20</v>
      </c>
    </row>
    <row r="1103" spans="1:14" ht="15.75" thickBot="1" x14ac:dyDescent="0.3">
      <c r="A1103" t="s">
        <v>180</v>
      </c>
      <c r="B1103" s="153" t="s">
        <v>1640</v>
      </c>
      <c r="C1103" s="12"/>
      <c r="D1103" s="100">
        <v>610000004175</v>
      </c>
      <c r="E1103" s="101">
        <f>VLOOKUP(D1103,'[1]Task list &amp; Maintenace plan'!$B:$G,6,FALSE)</f>
        <v>100609</v>
      </c>
      <c r="F1103" s="101" t="s">
        <v>1642</v>
      </c>
      <c r="G1103" s="102" t="s">
        <v>1646</v>
      </c>
      <c r="H1103" s="102" t="s">
        <v>1647</v>
      </c>
      <c r="I1103" s="101">
        <v>15</v>
      </c>
      <c r="J1103" s="101"/>
      <c r="K1103" s="705"/>
      <c r="L1103" s="705"/>
      <c r="M1103" s="705"/>
      <c r="N1103" s="708"/>
    </row>
    <row r="1104" spans="1:14" ht="15.75" thickBot="1" x14ac:dyDescent="0.3">
      <c r="A1104" t="s">
        <v>180</v>
      </c>
      <c r="B1104" s="153" t="s">
        <v>1640</v>
      </c>
      <c r="C1104" s="12"/>
      <c r="D1104" s="100">
        <v>610000004175</v>
      </c>
      <c r="E1104" s="101">
        <f>VLOOKUP(D1104,'[1]Task list &amp; Maintenace plan'!$B:$G,6,FALSE)</f>
        <v>100609</v>
      </c>
      <c r="F1104" s="101" t="s">
        <v>1642</v>
      </c>
      <c r="G1104" s="102" t="s">
        <v>1649</v>
      </c>
      <c r="H1104" s="102" t="s">
        <v>1650</v>
      </c>
      <c r="I1104" s="101">
        <v>15</v>
      </c>
      <c r="J1104" s="101"/>
      <c r="K1104" s="705"/>
      <c r="L1104" s="705"/>
      <c r="M1104" s="705"/>
      <c r="N1104" s="708"/>
    </row>
    <row r="1105" spans="1:14" ht="15.75" thickBot="1" x14ac:dyDescent="0.3">
      <c r="A1105" t="s">
        <v>180</v>
      </c>
      <c r="B1105" s="153" t="s">
        <v>1640</v>
      </c>
      <c r="C1105" s="12"/>
      <c r="D1105" s="100">
        <v>610000004175</v>
      </c>
      <c r="E1105" s="101">
        <f>VLOOKUP(D1105,'[1]Task list &amp; Maintenace plan'!$B:$G,6,FALSE)</f>
        <v>100609</v>
      </c>
      <c r="F1105" s="101" t="s">
        <v>1642</v>
      </c>
      <c r="G1105" s="102" t="s">
        <v>1652</v>
      </c>
      <c r="H1105" s="102" t="s">
        <v>1653</v>
      </c>
      <c r="I1105" s="101">
        <v>15</v>
      </c>
      <c r="J1105" s="101"/>
      <c r="K1105" s="705"/>
      <c r="L1105" s="705"/>
      <c r="M1105" s="705"/>
      <c r="N1105" s="708"/>
    </row>
    <row r="1106" spans="1:14" ht="15.75" thickBot="1" x14ac:dyDescent="0.3">
      <c r="A1106" t="s">
        <v>180</v>
      </c>
      <c r="B1106" s="153" t="s">
        <v>1640</v>
      </c>
      <c r="C1106" s="12"/>
      <c r="D1106" s="103">
        <v>610000004175</v>
      </c>
      <c r="E1106" s="85">
        <f>VLOOKUP(D1106,'[1]Task list &amp; Maintenace plan'!$B:$G,6,FALSE)</f>
        <v>100609</v>
      </c>
      <c r="F1106" s="85" t="s">
        <v>1642</v>
      </c>
      <c r="G1106" s="84" t="s">
        <v>1654</v>
      </c>
      <c r="H1106" s="84" t="s">
        <v>1655</v>
      </c>
      <c r="I1106" s="85">
        <v>15</v>
      </c>
      <c r="J1106" s="85"/>
      <c r="K1106" s="706"/>
      <c r="L1106" s="706"/>
      <c r="M1106" s="706"/>
      <c r="N1106" s="709"/>
    </row>
    <row r="1107" spans="1:14" ht="15.75" thickBot="1" x14ac:dyDescent="0.3">
      <c r="A1107" t="s">
        <v>180</v>
      </c>
      <c r="B1107" s="153" t="s">
        <v>1640</v>
      </c>
      <c r="C1107" s="12"/>
      <c r="D1107" s="100">
        <v>610000004176</v>
      </c>
      <c r="E1107" s="101">
        <f>VLOOKUP(D1107,'[1]Task list &amp; Maintenace plan'!$B:$G,6,FALSE)</f>
        <v>100610</v>
      </c>
      <c r="F1107" s="101" t="s">
        <v>1657</v>
      </c>
      <c r="G1107" s="178" t="s">
        <v>1658</v>
      </c>
      <c r="H1107" s="178" t="s">
        <v>1659</v>
      </c>
      <c r="I1107" s="179">
        <v>60</v>
      </c>
      <c r="J1107" s="179">
        <v>1</v>
      </c>
      <c r="K1107" s="716">
        <v>60</v>
      </c>
      <c r="L1107" s="716">
        <v>1</v>
      </c>
      <c r="M1107" s="716">
        <v>60</v>
      </c>
      <c r="N1107" s="719" t="s">
        <v>20</v>
      </c>
    </row>
    <row r="1108" spans="1:14" ht="15.75" thickBot="1" x14ac:dyDescent="0.3">
      <c r="A1108" t="s">
        <v>180</v>
      </c>
      <c r="B1108" s="153" t="s">
        <v>1640</v>
      </c>
      <c r="C1108" s="12"/>
      <c r="D1108" s="123">
        <v>610000004176</v>
      </c>
      <c r="E1108" s="124">
        <f>VLOOKUP(D1108,'[1]Task list &amp; Maintenace plan'!$B:$G,6,FALSE)</f>
        <v>100610</v>
      </c>
      <c r="F1108" s="124" t="s">
        <v>1657</v>
      </c>
      <c r="G1108" s="180" t="s">
        <v>1660</v>
      </c>
      <c r="H1108" s="180" t="s">
        <v>1661</v>
      </c>
      <c r="I1108" s="181">
        <v>60</v>
      </c>
      <c r="J1108" s="181">
        <v>1</v>
      </c>
      <c r="K1108" s="717"/>
      <c r="L1108" s="717"/>
      <c r="M1108" s="717"/>
      <c r="N1108" s="720"/>
    </row>
    <row r="1109" spans="1:14" ht="15.75" thickBot="1" x14ac:dyDescent="0.3">
      <c r="A1109" t="s">
        <v>180</v>
      </c>
      <c r="B1109" s="153" t="s">
        <v>1640</v>
      </c>
      <c r="C1109" s="12"/>
      <c r="D1109" s="123">
        <v>610000004176</v>
      </c>
      <c r="E1109" s="124">
        <f>VLOOKUP(D1109,'[1]Task list &amp; Maintenace plan'!$B:$G,6,FALSE)</f>
        <v>100610</v>
      </c>
      <c r="F1109" s="124" t="s">
        <v>1657</v>
      </c>
      <c r="G1109" s="180" t="s">
        <v>1663</v>
      </c>
      <c r="H1109" s="180" t="s">
        <v>1664</v>
      </c>
      <c r="I1109" s="181">
        <v>60</v>
      </c>
      <c r="J1109" s="181">
        <v>1</v>
      </c>
      <c r="K1109" s="717"/>
      <c r="L1109" s="717"/>
      <c r="M1109" s="717"/>
      <c r="N1109" s="720"/>
    </row>
    <row r="1110" spans="1:14" ht="15.75" thickBot="1" x14ac:dyDescent="0.3">
      <c r="A1110" t="s">
        <v>180</v>
      </c>
      <c r="B1110" s="153" t="s">
        <v>1640</v>
      </c>
      <c r="C1110" s="12"/>
      <c r="D1110" s="123">
        <v>610000004176</v>
      </c>
      <c r="E1110" s="124">
        <f>VLOOKUP(D1110,'[1]Task list &amp; Maintenace plan'!$B:$G,6,FALSE)</f>
        <v>100610</v>
      </c>
      <c r="F1110" s="124" t="s">
        <v>1657</v>
      </c>
      <c r="G1110" s="180" t="s">
        <v>1665</v>
      </c>
      <c r="H1110" s="180" t="s">
        <v>1666</v>
      </c>
      <c r="I1110" s="181">
        <v>60</v>
      </c>
      <c r="J1110" s="181">
        <v>1</v>
      </c>
      <c r="K1110" s="717"/>
      <c r="L1110" s="717"/>
      <c r="M1110" s="717"/>
      <c r="N1110" s="720"/>
    </row>
    <row r="1111" spans="1:14" ht="15.75" thickBot="1" x14ac:dyDescent="0.3">
      <c r="A1111" t="s">
        <v>180</v>
      </c>
      <c r="B1111" s="153" t="s">
        <v>1640</v>
      </c>
      <c r="C1111" s="12"/>
      <c r="D1111" s="123">
        <v>610000004176</v>
      </c>
      <c r="E1111" s="124">
        <f>VLOOKUP(D1111,'[1]Task list &amp; Maintenace plan'!$B:$G,6,FALSE)</f>
        <v>100610</v>
      </c>
      <c r="F1111" s="124" t="s">
        <v>1657</v>
      </c>
      <c r="G1111" s="180" t="s">
        <v>1658</v>
      </c>
      <c r="H1111" s="180" t="s">
        <v>1668</v>
      </c>
      <c r="I1111" s="181">
        <v>60</v>
      </c>
      <c r="J1111" s="181">
        <v>1</v>
      </c>
      <c r="K1111" s="717"/>
      <c r="L1111" s="717"/>
      <c r="M1111" s="717"/>
      <c r="N1111" s="720"/>
    </row>
    <row r="1112" spans="1:14" ht="15.75" thickBot="1" x14ac:dyDescent="0.3">
      <c r="A1112" t="s">
        <v>180</v>
      </c>
      <c r="B1112" s="153" t="s">
        <v>1640</v>
      </c>
      <c r="C1112" s="12"/>
      <c r="D1112" s="123">
        <v>610000004176</v>
      </c>
      <c r="E1112" s="124">
        <f>VLOOKUP(D1112,'[1]Task list &amp; Maintenace plan'!$B:$G,6,FALSE)</f>
        <v>100610</v>
      </c>
      <c r="F1112" s="124" t="s">
        <v>1657</v>
      </c>
      <c r="G1112" s="180" t="s">
        <v>1660</v>
      </c>
      <c r="H1112" s="180" t="s">
        <v>1670</v>
      </c>
      <c r="I1112" s="181">
        <v>60</v>
      </c>
      <c r="J1112" s="181">
        <v>1</v>
      </c>
      <c r="K1112" s="717"/>
      <c r="L1112" s="717"/>
      <c r="M1112" s="717"/>
      <c r="N1112" s="720"/>
    </row>
    <row r="1113" spans="1:14" ht="15.75" thickBot="1" x14ac:dyDescent="0.3">
      <c r="A1113" t="s">
        <v>180</v>
      </c>
      <c r="B1113" s="153" t="s">
        <v>1640</v>
      </c>
      <c r="C1113" s="12"/>
      <c r="D1113" s="123">
        <v>610000004176</v>
      </c>
      <c r="E1113" s="124">
        <f>VLOOKUP(D1113,'[1]Task list &amp; Maintenace plan'!$B:$G,6,FALSE)</f>
        <v>100610</v>
      </c>
      <c r="F1113" s="124" t="s">
        <v>1657</v>
      </c>
      <c r="G1113" s="180" t="s">
        <v>1663</v>
      </c>
      <c r="H1113" s="180" t="s">
        <v>1671</v>
      </c>
      <c r="I1113" s="181">
        <v>60</v>
      </c>
      <c r="J1113" s="181">
        <v>1</v>
      </c>
      <c r="K1113" s="717"/>
      <c r="L1113" s="717"/>
      <c r="M1113" s="717"/>
      <c r="N1113" s="720"/>
    </row>
    <row r="1114" spans="1:14" ht="15.75" thickBot="1" x14ac:dyDescent="0.3">
      <c r="A1114" t="s">
        <v>180</v>
      </c>
      <c r="B1114" s="153" t="s">
        <v>1640</v>
      </c>
      <c r="C1114" s="12"/>
      <c r="D1114" s="123">
        <v>610000004176</v>
      </c>
      <c r="E1114" s="124">
        <f>VLOOKUP(D1114,'[1]Task list &amp; Maintenace plan'!$B:$G,6,FALSE)</f>
        <v>100610</v>
      </c>
      <c r="F1114" s="124" t="s">
        <v>1657</v>
      </c>
      <c r="G1114" s="180" t="s">
        <v>1665</v>
      </c>
      <c r="H1114" s="180" t="s">
        <v>1672</v>
      </c>
      <c r="I1114" s="181">
        <v>60</v>
      </c>
      <c r="J1114" s="181">
        <v>1</v>
      </c>
      <c r="K1114" s="717"/>
      <c r="L1114" s="717"/>
      <c r="M1114" s="717"/>
      <c r="N1114" s="720"/>
    </row>
    <row r="1115" spans="1:14" ht="15.75" thickBot="1" x14ac:dyDescent="0.3">
      <c r="A1115" t="s">
        <v>180</v>
      </c>
      <c r="B1115" s="153" t="s">
        <v>1640</v>
      </c>
      <c r="C1115" s="12"/>
      <c r="D1115" s="123">
        <v>610000004176</v>
      </c>
      <c r="E1115" s="124">
        <f>VLOOKUP(D1115,'[1]Task list &amp; Maintenace plan'!$B:$G,6,FALSE)</f>
        <v>100610</v>
      </c>
      <c r="F1115" s="124" t="s">
        <v>1657</v>
      </c>
      <c r="G1115" s="180" t="s">
        <v>1673</v>
      </c>
      <c r="H1115" s="180" t="s">
        <v>1674</v>
      </c>
      <c r="I1115" s="181">
        <v>60</v>
      </c>
      <c r="J1115" s="181">
        <v>1</v>
      </c>
      <c r="K1115" s="717"/>
      <c r="L1115" s="717"/>
      <c r="M1115" s="717"/>
      <c r="N1115" s="720"/>
    </row>
    <row r="1116" spans="1:14" ht="15.75" thickBot="1" x14ac:dyDescent="0.3">
      <c r="A1116" t="s">
        <v>180</v>
      </c>
      <c r="B1116" s="153" t="s">
        <v>1640</v>
      </c>
      <c r="C1116" s="12"/>
      <c r="D1116" s="103">
        <v>610000004176</v>
      </c>
      <c r="E1116" s="85">
        <f>VLOOKUP(D1116,'[1]Task list &amp; Maintenace plan'!$B:$G,6,FALSE)</f>
        <v>100610</v>
      </c>
      <c r="F1116" s="85" t="s">
        <v>1657</v>
      </c>
      <c r="G1116" s="182" t="s">
        <v>1675</v>
      </c>
      <c r="H1116" s="182" t="s">
        <v>1676</v>
      </c>
      <c r="I1116" s="183">
        <v>60</v>
      </c>
      <c r="J1116" s="183">
        <v>1</v>
      </c>
      <c r="K1116" s="718"/>
      <c r="L1116" s="718"/>
      <c r="M1116" s="718"/>
      <c r="N1116" s="721"/>
    </row>
    <row r="1117" spans="1:14" ht="15.75" thickBot="1" x14ac:dyDescent="0.3">
      <c r="A1117" t="s">
        <v>180</v>
      </c>
      <c r="B1117" s="153" t="s">
        <v>1640</v>
      </c>
      <c r="C1117" s="12"/>
      <c r="D1117" s="123">
        <v>610000004177</v>
      </c>
      <c r="E1117" s="124">
        <f>VLOOKUP(D1117,'[1]Task list &amp; Maintenace plan'!$B:$G,6,FALSE)</f>
        <v>100611</v>
      </c>
      <c r="F1117" s="124" t="s">
        <v>1677</v>
      </c>
      <c r="G1117" s="107" t="s">
        <v>1643</v>
      </c>
      <c r="H1117" s="107" t="s">
        <v>1678</v>
      </c>
      <c r="I1117" s="124">
        <v>30</v>
      </c>
      <c r="J1117" s="124">
        <v>1</v>
      </c>
      <c r="K1117" s="710">
        <v>60</v>
      </c>
      <c r="L1117" s="710">
        <v>1</v>
      </c>
      <c r="M1117" s="710">
        <v>60</v>
      </c>
      <c r="N1117" s="712" t="s">
        <v>34</v>
      </c>
    </row>
    <row r="1118" spans="1:14" ht="15.75" thickBot="1" x14ac:dyDescent="0.3">
      <c r="A1118" t="s">
        <v>180</v>
      </c>
      <c r="B1118" s="153" t="s">
        <v>1640</v>
      </c>
      <c r="C1118" s="12"/>
      <c r="D1118" s="123">
        <v>610000004177</v>
      </c>
      <c r="E1118" s="124">
        <f>VLOOKUP(D1118,'[1]Task list &amp; Maintenace plan'!$B:$G,6,FALSE)</f>
        <v>100611</v>
      </c>
      <c r="F1118" s="124" t="s">
        <v>1677</v>
      </c>
      <c r="G1118" s="107" t="s">
        <v>1646</v>
      </c>
      <c r="H1118" s="107" t="s">
        <v>1679</v>
      </c>
      <c r="I1118" s="124">
        <v>30</v>
      </c>
      <c r="J1118" s="124">
        <v>1</v>
      </c>
      <c r="K1118" s="705"/>
      <c r="L1118" s="705"/>
      <c r="M1118" s="705"/>
      <c r="N1118" s="708"/>
    </row>
    <row r="1119" spans="1:14" ht="15.75" thickBot="1" x14ac:dyDescent="0.3">
      <c r="A1119" t="s">
        <v>180</v>
      </c>
      <c r="B1119" s="153" t="s">
        <v>1640</v>
      </c>
      <c r="C1119" s="12"/>
      <c r="D1119" s="123">
        <v>610000004177</v>
      </c>
      <c r="E1119" s="124">
        <f>VLOOKUP(D1119,'[1]Task list &amp; Maintenace plan'!$B:$G,6,FALSE)</f>
        <v>100611</v>
      </c>
      <c r="F1119" s="124" t="s">
        <v>1677</v>
      </c>
      <c r="G1119" s="107" t="s">
        <v>1649</v>
      </c>
      <c r="H1119" s="107" t="s">
        <v>1680</v>
      </c>
      <c r="I1119" s="124">
        <v>30</v>
      </c>
      <c r="J1119" s="124">
        <v>1</v>
      </c>
      <c r="K1119" s="705"/>
      <c r="L1119" s="705"/>
      <c r="M1119" s="705"/>
      <c r="N1119" s="708"/>
    </row>
    <row r="1120" spans="1:14" ht="15.75" thickBot="1" x14ac:dyDescent="0.3">
      <c r="A1120" t="s">
        <v>180</v>
      </c>
      <c r="B1120" s="153" t="s">
        <v>1640</v>
      </c>
      <c r="C1120" s="12"/>
      <c r="D1120" s="123">
        <v>610000004177</v>
      </c>
      <c r="E1120" s="124">
        <f>VLOOKUP(D1120,'[1]Task list &amp; Maintenace plan'!$B:$G,6,FALSE)</f>
        <v>100611</v>
      </c>
      <c r="F1120" s="124" t="s">
        <v>1677</v>
      </c>
      <c r="G1120" s="107" t="s">
        <v>1652</v>
      </c>
      <c r="H1120" s="107" t="s">
        <v>1681</v>
      </c>
      <c r="I1120" s="124">
        <v>30</v>
      </c>
      <c r="J1120" s="124">
        <v>1</v>
      </c>
      <c r="K1120" s="705"/>
      <c r="L1120" s="705"/>
      <c r="M1120" s="705"/>
      <c r="N1120" s="708"/>
    </row>
    <row r="1121" spans="1:14" ht="15.75" thickBot="1" x14ac:dyDescent="0.3">
      <c r="A1121" t="s">
        <v>180</v>
      </c>
      <c r="B1121" s="153" t="s">
        <v>1640</v>
      </c>
      <c r="C1121" s="12"/>
      <c r="D1121" s="103">
        <v>610000004177</v>
      </c>
      <c r="E1121" s="85">
        <f>VLOOKUP(D1121,'[1]Task list &amp; Maintenace plan'!$B:$G,6,FALSE)</f>
        <v>100611</v>
      </c>
      <c r="F1121" s="85" t="s">
        <v>1677</v>
      </c>
      <c r="G1121" s="84" t="s">
        <v>1654</v>
      </c>
      <c r="H1121" s="84" t="s">
        <v>1682</v>
      </c>
      <c r="I1121" s="85">
        <v>30</v>
      </c>
      <c r="J1121" s="85">
        <v>1</v>
      </c>
      <c r="K1121" s="706"/>
      <c r="L1121" s="706"/>
      <c r="M1121" s="706"/>
      <c r="N1121" s="709"/>
    </row>
    <row r="1122" spans="1:14" ht="15.75" thickBot="1" x14ac:dyDescent="0.3">
      <c r="A1122" t="s">
        <v>180</v>
      </c>
      <c r="B1122" s="153" t="s">
        <v>1640</v>
      </c>
      <c r="C1122" s="12"/>
      <c r="D1122" s="100">
        <v>610000004178</v>
      </c>
      <c r="E1122" s="101">
        <f>VLOOKUP(D1122,'[1]Task list &amp; Maintenace plan'!$B:$G,6,FALSE)</f>
        <v>100612</v>
      </c>
      <c r="F1122" s="101" t="s">
        <v>1683</v>
      </c>
      <c r="G1122" s="178" t="s">
        <v>1658</v>
      </c>
      <c r="H1122" s="178" t="s">
        <v>1684</v>
      </c>
      <c r="I1122" s="179">
        <v>60</v>
      </c>
      <c r="J1122" s="179">
        <v>1</v>
      </c>
      <c r="K1122" s="716">
        <v>90</v>
      </c>
      <c r="L1122" s="716">
        <v>1</v>
      </c>
      <c r="M1122" s="716">
        <v>90</v>
      </c>
      <c r="N1122" s="719" t="s">
        <v>34</v>
      </c>
    </row>
    <row r="1123" spans="1:14" ht="15.75" thickBot="1" x14ac:dyDescent="0.3">
      <c r="A1123" t="s">
        <v>180</v>
      </c>
      <c r="B1123" s="153" t="s">
        <v>1640</v>
      </c>
      <c r="C1123" s="12"/>
      <c r="D1123" s="123">
        <v>610000004178</v>
      </c>
      <c r="E1123" s="124">
        <f>VLOOKUP(D1123,'[1]Task list &amp; Maintenace plan'!$B:$G,6,FALSE)</f>
        <v>100612</v>
      </c>
      <c r="F1123" s="124" t="s">
        <v>1683</v>
      </c>
      <c r="G1123" s="180" t="s">
        <v>1660</v>
      </c>
      <c r="H1123" s="180" t="s">
        <v>1685</v>
      </c>
      <c r="I1123" s="181">
        <v>60</v>
      </c>
      <c r="J1123" s="181">
        <v>1</v>
      </c>
      <c r="K1123" s="717"/>
      <c r="L1123" s="717"/>
      <c r="M1123" s="717"/>
      <c r="N1123" s="720"/>
    </row>
    <row r="1124" spans="1:14" ht="15.75" thickBot="1" x14ac:dyDescent="0.3">
      <c r="A1124" t="s">
        <v>180</v>
      </c>
      <c r="B1124" s="153" t="s">
        <v>1640</v>
      </c>
      <c r="C1124" s="12"/>
      <c r="D1124" s="123">
        <v>610000004178</v>
      </c>
      <c r="E1124" s="124">
        <f>VLOOKUP(D1124,'[1]Task list &amp; Maintenace plan'!$B:$G,6,FALSE)</f>
        <v>100612</v>
      </c>
      <c r="F1124" s="124" t="s">
        <v>1683</v>
      </c>
      <c r="G1124" s="180" t="s">
        <v>1663</v>
      </c>
      <c r="H1124" s="180" t="s">
        <v>1686</v>
      </c>
      <c r="I1124" s="181">
        <v>60</v>
      </c>
      <c r="J1124" s="181">
        <v>1</v>
      </c>
      <c r="K1124" s="717"/>
      <c r="L1124" s="717"/>
      <c r="M1124" s="717"/>
      <c r="N1124" s="720"/>
    </row>
    <row r="1125" spans="1:14" ht="15.75" thickBot="1" x14ac:dyDescent="0.3">
      <c r="A1125" t="s">
        <v>180</v>
      </c>
      <c r="B1125" s="153" t="s">
        <v>1640</v>
      </c>
      <c r="C1125" s="12"/>
      <c r="D1125" s="123">
        <v>610000004178</v>
      </c>
      <c r="E1125" s="124">
        <f>VLOOKUP(D1125,'[1]Task list &amp; Maintenace plan'!$B:$G,6,FALSE)</f>
        <v>100612</v>
      </c>
      <c r="F1125" s="124" t="s">
        <v>1683</v>
      </c>
      <c r="G1125" s="180" t="s">
        <v>1665</v>
      </c>
      <c r="H1125" s="180" t="s">
        <v>1687</v>
      </c>
      <c r="I1125" s="181">
        <v>60</v>
      </c>
      <c r="J1125" s="181">
        <v>1</v>
      </c>
      <c r="K1125" s="717"/>
      <c r="L1125" s="717"/>
      <c r="M1125" s="717"/>
      <c r="N1125" s="720"/>
    </row>
    <row r="1126" spans="1:14" ht="15.75" thickBot="1" x14ac:dyDescent="0.3">
      <c r="A1126" t="s">
        <v>180</v>
      </c>
      <c r="B1126" s="153" t="s">
        <v>1640</v>
      </c>
      <c r="C1126" s="12"/>
      <c r="D1126" s="117">
        <v>356775</v>
      </c>
      <c r="E1126" s="118">
        <v>2026</v>
      </c>
      <c r="F1126" s="118" t="s">
        <v>1688</v>
      </c>
      <c r="G1126" s="220" t="s">
        <v>1643</v>
      </c>
      <c r="H1126" s="220" t="s">
        <v>1573</v>
      </c>
      <c r="I1126" s="221">
        <v>120</v>
      </c>
      <c r="J1126" s="221"/>
      <c r="K1126" s="716">
        <v>60</v>
      </c>
      <c r="L1126" s="716">
        <v>1</v>
      </c>
      <c r="M1126" s="716">
        <v>60</v>
      </c>
      <c r="N1126" s="719" t="s">
        <v>20</v>
      </c>
    </row>
    <row r="1127" spans="1:14" ht="15.75" thickBot="1" x14ac:dyDescent="0.3">
      <c r="A1127" t="s">
        <v>180</v>
      </c>
      <c r="B1127" s="153" t="s">
        <v>1640</v>
      </c>
      <c r="C1127" s="12"/>
      <c r="D1127" s="123">
        <v>356775</v>
      </c>
      <c r="E1127" s="124">
        <v>2026</v>
      </c>
      <c r="F1127" s="124" t="s">
        <v>1688</v>
      </c>
      <c r="G1127" s="180" t="s">
        <v>1646</v>
      </c>
      <c r="H1127" s="180" t="s">
        <v>1573</v>
      </c>
      <c r="I1127" s="181">
        <v>120</v>
      </c>
      <c r="J1127" s="181"/>
      <c r="K1127" s="717"/>
      <c r="L1127" s="717"/>
      <c r="M1127" s="717"/>
      <c r="N1127" s="720"/>
    </row>
    <row r="1128" spans="1:14" ht="15.75" thickBot="1" x14ac:dyDescent="0.3">
      <c r="A1128" t="s">
        <v>180</v>
      </c>
      <c r="B1128" s="153" t="s">
        <v>1640</v>
      </c>
      <c r="C1128" s="12"/>
      <c r="D1128" s="123">
        <v>356775</v>
      </c>
      <c r="E1128" s="124">
        <v>2026</v>
      </c>
      <c r="F1128" s="124" t="s">
        <v>1688</v>
      </c>
      <c r="G1128" s="180" t="s">
        <v>1649</v>
      </c>
      <c r="H1128" s="180" t="s">
        <v>1573</v>
      </c>
      <c r="I1128" s="181">
        <v>120</v>
      </c>
      <c r="J1128" s="181"/>
      <c r="K1128" s="717"/>
      <c r="L1128" s="717"/>
      <c r="M1128" s="717"/>
      <c r="N1128" s="720"/>
    </row>
    <row r="1129" spans="1:14" ht="15.75" thickBot="1" x14ac:dyDescent="0.3">
      <c r="A1129" t="s">
        <v>180</v>
      </c>
      <c r="B1129" s="153" t="s">
        <v>1640</v>
      </c>
      <c r="C1129" s="12"/>
      <c r="D1129" s="123">
        <v>356775</v>
      </c>
      <c r="E1129" s="124">
        <v>2026</v>
      </c>
      <c r="F1129" s="124" t="s">
        <v>1688</v>
      </c>
      <c r="G1129" s="180" t="s">
        <v>1652</v>
      </c>
      <c r="H1129" s="180" t="s">
        <v>1573</v>
      </c>
      <c r="I1129" s="181">
        <v>120</v>
      </c>
      <c r="J1129" s="181"/>
      <c r="K1129" s="717"/>
      <c r="L1129" s="717"/>
      <c r="M1129" s="717"/>
      <c r="N1129" s="720"/>
    </row>
    <row r="1130" spans="1:14" ht="15.75" thickBot="1" x14ac:dyDescent="0.3">
      <c r="A1130" t="s">
        <v>180</v>
      </c>
      <c r="B1130" s="153" t="s">
        <v>1640</v>
      </c>
      <c r="C1130" s="12"/>
      <c r="D1130" s="103">
        <v>356775</v>
      </c>
      <c r="E1130" s="85">
        <v>2026</v>
      </c>
      <c r="F1130" s="85" t="s">
        <v>1688</v>
      </c>
      <c r="G1130" s="182" t="s">
        <v>1654</v>
      </c>
      <c r="H1130" s="182" t="s">
        <v>1573</v>
      </c>
      <c r="I1130" s="183">
        <v>120</v>
      </c>
      <c r="J1130" s="183"/>
      <c r="K1130" s="718"/>
      <c r="L1130" s="718"/>
      <c r="M1130" s="718"/>
      <c r="N1130" s="721"/>
    </row>
    <row r="1131" spans="1:14" ht="15.75" thickBot="1" x14ac:dyDescent="0.3">
      <c r="A1131" t="s">
        <v>180</v>
      </c>
      <c r="B1131" s="153" t="s">
        <v>1640</v>
      </c>
      <c r="C1131" s="12"/>
      <c r="D1131" s="160">
        <v>356828</v>
      </c>
      <c r="E1131" s="82">
        <v>2015</v>
      </c>
      <c r="F1131" s="82" t="s">
        <v>1689</v>
      </c>
      <c r="G1131" s="191" t="s">
        <v>1643</v>
      </c>
      <c r="H1131" s="191" t="s">
        <v>1387</v>
      </c>
      <c r="I1131" s="192">
        <v>180</v>
      </c>
      <c r="J1131" s="192">
        <v>1</v>
      </c>
      <c r="K1131" s="192">
        <v>60</v>
      </c>
      <c r="L1131" s="192">
        <v>1</v>
      </c>
      <c r="M1131" s="7">
        <f t="shared" ref="M1131:M1140" si="2">K1131*L1131</f>
        <v>60</v>
      </c>
      <c r="N1131" s="10" t="s">
        <v>20</v>
      </c>
    </row>
    <row r="1132" spans="1:14" ht="15.75" thickBot="1" x14ac:dyDescent="0.3">
      <c r="A1132" t="s">
        <v>180</v>
      </c>
      <c r="B1132" s="153" t="s">
        <v>1640</v>
      </c>
      <c r="C1132" s="12"/>
      <c r="D1132" s="160">
        <v>356829</v>
      </c>
      <c r="E1132" s="82">
        <v>2016</v>
      </c>
      <c r="F1132" s="82" t="s">
        <v>1690</v>
      </c>
      <c r="G1132" s="191" t="s">
        <v>1646</v>
      </c>
      <c r="H1132" s="191" t="s">
        <v>1387</v>
      </c>
      <c r="I1132" s="192">
        <v>180</v>
      </c>
      <c r="J1132" s="192">
        <v>1</v>
      </c>
      <c r="K1132" s="192">
        <v>60</v>
      </c>
      <c r="L1132" s="192">
        <v>1</v>
      </c>
      <c r="M1132" s="7">
        <f t="shared" si="2"/>
        <v>60</v>
      </c>
      <c r="N1132" s="10" t="s">
        <v>20</v>
      </c>
    </row>
    <row r="1133" spans="1:14" ht="15.75" thickBot="1" x14ac:dyDescent="0.3">
      <c r="A1133" t="s">
        <v>180</v>
      </c>
      <c r="B1133" s="153" t="s">
        <v>1640</v>
      </c>
      <c r="C1133" s="12"/>
      <c r="D1133" s="160">
        <v>356830</v>
      </c>
      <c r="E1133" s="82">
        <v>2017</v>
      </c>
      <c r="F1133" s="82" t="s">
        <v>1691</v>
      </c>
      <c r="G1133" s="191" t="s">
        <v>1649</v>
      </c>
      <c r="H1133" s="191" t="s">
        <v>1387</v>
      </c>
      <c r="I1133" s="192">
        <v>180</v>
      </c>
      <c r="J1133" s="192">
        <v>1</v>
      </c>
      <c r="K1133" s="192">
        <v>60</v>
      </c>
      <c r="L1133" s="192">
        <v>1</v>
      </c>
      <c r="M1133" s="7">
        <f t="shared" si="2"/>
        <v>60</v>
      </c>
      <c r="N1133" s="10" t="s">
        <v>20</v>
      </c>
    </row>
    <row r="1134" spans="1:14" ht="15.75" thickBot="1" x14ac:dyDescent="0.3">
      <c r="A1134" t="s">
        <v>180</v>
      </c>
      <c r="B1134" s="153" t="s">
        <v>1640</v>
      </c>
      <c r="C1134" s="12"/>
      <c r="D1134" s="160">
        <v>356831</v>
      </c>
      <c r="E1134" s="82">
        <v>2018</v>
      </c>
      <c r="F1134" s="82" t="s">
        <v>1692</v>
      </c>
      <c r="G1134" s="191" t="s">
        <v>1652</v>
      </c>
      <c r="H1134" s="191" t="s">
        <v>1387</v>
      </c>
      <c r="I1134" s="192">
        <v>180</v>
      </c>
      <c r="J1134" s="192">
        <v>1</v>
      </c>
      <c r="K1134" s="192">
        <v>60</v>
      </c>
      <c r="L1134" s="192">
        <v>1</v>
      </c>
      <c r="M1134" s="7">
        <f t="shared" si="2"/>
        <v>60</v>
      </c>
      <c r="N1134" s="10" t="s">
        <v>20</v>
      </c>
    </row>
    <row r="1135" spans="1:14" ht="15.75" thickBot="1" x14ac:dyDescent="0.3">
      <c r="A1135" t="s">
        <v>180</v>
      </c>
      <c r="B1135" s="153" t="s">
        <v>1640</v>
      </c>
      <c r="C1135" s="12"/>
      <c r="D1135" s="160">
        <v>356832</v>
      </c>
      <c r="E1135" s="82">
        <v>2019</v>
      </c>
      <c r="F1135" s="82" t="s">
        <v>1693</v>
      </c>
      <c r="G1135" s="191" t="s">
        <v>1654</v>
      </c>
      <c r="H1135" s="191" t="s">
        <v>1387</v>
      </c>
      <c r="I1135" s="192">
        <v>180</v>
      </c>
      <c r="J1135" s="192">
        <v>1</v>
      </c>
      <c r="K1135" s="192">
        <v>60</v>
      </c>
      <c r="L1135" s="192">
        <v>1</v>
      </c>
      <c r="M1135" s="7">
        <f t="shared" si="2"/>
        <v>60</v>
      </c>
      <c r="N1135" s="10" t="s">
        <v>20</v>
      </c>
    </row>
    <row r="1136" spans="1:14" ht="15.75" thickBot="1" x14ac:dyDescent="0.3">
      <c r="A1136" t="s">
        <v>180</v>
      </c>
      <c r="B1136" s="153" t="s">
        <v>1640</v>
      </c>
      <c r="C1136" s="12"/>
      <c r="D1136" s="156">
        <v>356793</v>
      </c>
      <c r="E1136" s="157">
        <v>1992</v>
      </c>
      <c r="F1136" s="157" t="s">
        <v>1694</v>
      </c>
      <c r="G1136" s="158" t="s">
        <v>1643</v>
      </c>
      <c r="H1136" s="158" t="s">
        <v>1625</v>
      </c>
      <c r="I1136" s="157">
        <v>365</v>
      </c>
      <c r="J1136" s="157">
        <v>1</v>
      </c>
      <c r="K1136" s="157">
        <v>360</v>
      </c>
      <c r="L1136" s="157">
        <v>2</v>
      </c>
      <c r="M1136" s="7">
        <f t="shared" si="2"/>
        <v>720</v>
      </c>
      <c r="N1136" s="10" t="s">
        <v>34</v>
      </c>
    </row>
    <row r="1137" spans="1:14" ht="15.75" thickBot="1" x14ac:dyDescent="0.3">
      <c r="A1137" t="s">
        <v>180</v>
      </c>
      <c r="B1137" s="153" t="s">
        <v>1640</v>
      </c>
      <c r="C1137" s="12"/>
      <c r="D1137" s="156">
        <v>356794</v>
      </c>
      <c r="E1137" s="157">
        <v>1993</v>
      </c>
      <c r="F1137" s="157" t="s">
        <v>1695</v>
      </c>
      <c r="G1137" s="158" t="s">
        <v>1662</v>
      </c>
      <c r="H1137" s="158" t="s">
        <v>1625</v>
      </c>
      <c r="I1137" s="157">
        <v>365</v>
      </c>
      <c r="J1137" s="157">
        <v>1</v>
      </c>
      <c r="K1137" s="157">
        <v>360</v>
      </c>
      <c r="L1137" s="157">
        <v>2</v>
      </c>
      <c r="M1137" s="7">
        <f t="shared" si="2"/>
        <v>720</v>
      </c>
      <c r="N1137" s="10" t="s">
        <v>34</v>
      </c>
    </row>
    <row r="1138" spans="1:14" ht="15.75" thickBot="1" x14ac:dyDescent="0.3">
      <c r="A1138" t="s">
        <v>180</v>
      </c>
      <c r="B1138" s="153" t="s">
        <v>1640</v>
      </c>
      <c r="C1138" s="12"/>
      <c r="D1138" s="156">
        <v>356795</v>
      </c>
      <c r="E1138" s="157">
        <v>1994</v>
      </c>
      <c r="F1138" s="157" t="s">
        <v>1696</v>
      </c>
      <c r="G1138" s="158" t="s">
        <v>1649</v>
      </c>
      <c r="H1138" s="158" t="s">
        <v>1625</v>
      </c>
      <c r="I1138" s="157">
        <v>365</v>
      </c>
      <c r="J1138" s="157">
        <v>1</v>
      </c>
      <c r="K1138" s="157">
        <v>360</v>
      </c>
      <c r="L1138" s="157">
        <v>2</v>
      </c>
      <c r="M1138" s="7">
        <f t="shared" si="2"/>
        <v>720</v>
      </c>
      <c r="N1138" s="10" t="s">
        <v>34</v>
      </c>
    </row>
    <row r="1139" spans="1:14" ht="15.75" thickBot="1" x14ac:dyDescent="0.3">
      <c r="A1139" t="s">
        <v>180</v>
      </c>
      <c r="B1139" s="153" t="s">
        <v>1640</v>
      </c>
      <c r="C1139" s="12"/>
      <c r="D1139" s="156">
        <v>356796</v>
      </c>
      <c r="E1139" s="157">
        <v>1995</v>
      </c>
      <c r="F1139" s="157" t="s">
        <v>1697</v>
      </c>
      <c r="G1139" s="158" t="s">
        <v>1667</v>
      </c>
      <c r="H1139" s="158" t="s">
        <v>1625</v>
      </c>
      <c r="I1139" s="157">
        <v>365</v>
      </c>
      <c r="J1139" s="157">
        <v>1</v>
      </c>
      <c r="K1139" s="157">
        <v>360</v>
      </c>
      <c r="L1139" s="157">
        <v>2</v>
      </c>
      <c r="M1139" s="7">
        <f t="shared" si="2"/>
        <v>720</v>
      </c>
      <c r="N1139" s="10" t="s">
        <v>34</v>
      </c>
    </row>
    <row r="1140" spans="1:14" ht="15.75" thickBot="1" x14ac:dyDescent="0.3">
      <c r="A1140" t="s">
        <v>180</v>
      </c>
      <c r="B1140" s="153" t="s">
        <v>1640</v>
      </c>
      <c r="C1140" s="27"/>
      <c r="D1140" s="167">
        <v>356797</v>
      </c>
      <c r="E1140" s="168">
        <v>1996</v>
      </c>
      <c r="F1140" s="168" t="s">
        <v>1698</v>
      </c>
      <c r="G1140" s="169" t="s">
        <v>1669</v>
      </c>
      <c r="H1140" s="169" t="s">
        <v>1625</v>
      </c>
      <c r="I1140" s="168">
        <v>365</v>
      </c>
      <c r="J1140" s="168">
        <v>1</v>
      </c>
      <c r="K1140" s="168">
        <v>360</v>
      </c>
      <c r="L1140" s="168">
        <v>2</v>
      </c>
      <c r="M1140" s="186">
        <f t="shared" si="2"/>
        <v>720</v>
      </c>
      <c r="N1140" s="188" t="s">
        <v>34</v>
      </c>
    </row>
    <row r="1141" spans="1:14" x14ac:dyDescent="0.25">
      <c r="A1141" t="s">
        <v>180</v>
      </c>
      <c r="B1141" s="4" t="s">
        <v>1699</v>
      </c>
      <c r="C1141" s="5"/>
      <c r="D1141" s="123">
        <v>610000004387</v>
      </c>
      <c r="E1141" s="123">
        <f>VLOOKUP(D1141,'[1]Task list &amp; Maintenace plan'!$B:$G,6,FALSE)</f>
        <v>100821</v>
      </c>
      <c r="F1141" s="124" t="s">
        <v>1701</v>
      </c>
      <c r="G1141" s="180" t="s">
        <v>507</v>
      </c>
      <c r="H1141" s="180" t="s">
        <v>1702</v>
      </c>
      <c r="I1141" s="181">
        <v>60</v>
      </c>
      <c r="J1141" s="181"/>
      <c r="K1141" s="716">
        <v>5</v>
      </c>
      <c r="L1141" s="716">
        <v>1</v>
      </c>
      <c r="M1141" s="716">
        <f>L1141*K1141</f>
        <v>5</v>
      </c>
      <c r="N1141" s="719" t="s">
        <v>20</v>
      </c>
    </row>
    <row r="1142" spans="1:14" x14ac:dyDescent="0.25">
      <c r="A1142" t="s">
        <v>180</v>
      </c>
      <c r="B1142" s="4" t="s">
        <v>1699</v>
      </c>
      <c r="C1142" s="12"/>
      <c r="D1142" s="103">
        <v>610000004387</v>
      </c>
      <c r="E1142" s="103">
        <f>VLOOKUP(D1142,'[1]Task list &amp; Maintenace plan'!$B:$G,6,FALSE)</f>
        <v>100821</v>
      </c>
      <c r="F1142" s="85" t="s">
        <v>1701</v>
      </c>
      <c r="G1142" s="182" t="s">
        <v>1704</v>
      </c>
      <c r="H1142" s="182" t="s">
        <v>1705</v>
      </c>
      <c r="I1142" s="183">
        <v>60</v>
      </c>
      <c r="J1142" s="183"/>
      <c r="K1142" s="718"/>
      <c r="L1142" s="718"/>
      <c r="M1142" s="718"/>
      <c r="N1142" s="721"/>
    </row>
    <row r="1143" spans="1:14" x14ac:dyDescent="0.25">
      <c r="A1143" t="s">
        <v>180</v>
      </c>
      <c r="B1143" s="4" t="s">
        <v>1699</v>
      </c>
      <c r="C1143" s="12"/>
      <c r="D1143" s="100">
        <v>610000004388</v>
      </c>
      <c r="E1143" s="100">
        <f>VLOOKUP(D1143,'[1]Task list &amp; Maintenace plan'!$B:$G,6,FALSE)</f>
        <v>100822</v>
      </c>
      <c r="F1143" s="101" t="s">
        <v>1707</v>
      </c>
      <c r="G1143" s="178" t="s">
        <v>1700</v>
      </c>
      <c r="H1143" s="178" t="s">
        <v>1708</v>
      </c>
      <c r="I1143" s="179">
        <v>30</v>
      </c>
      <c r="J1143" s="179">
        <v>1</v>
      </c>
      <c r="K1143" s="716">
        <v>60</v>
      </c>
      <c r="L1143" s="716">
        <v>1</v>
      </c>
      <c r="M1143" s="716">
        <f>L1143*K1143</f>
        <v>60</v>
      </c>
      <c r="N1143" s="719" t="s">
        <v>34</v>
      </c>
    </row>
    <row r="1144" spans="1:14" x14ac:dyDescent="0.25">
      <c r="A1144" t="s">
        <v>180</v>
      </c>
      <c r="B1144" s="4" t="s">
        <v>1699</v>
      </c>
      <c r="C1144" s="12"/>
      <c r="D1144" s="123">
        <v>610000004388</v>
      </c>
      <c r="E1144" s="123">
        <f>VLOOKUP(D1144,'[1]Task list &amp; Maintenace plan'!$B:$G,6,FALSE)</f>
        <v>100822</v>
      </c>
      <c r="F1144" s="124" t="s">
        <v>1707</v>
      </c>
      <c r="G1144" s="180" t="s">
        <v>1703</v>
      </c>
      <c r="H1144" s="180" t="s">
        <v>1710</v>
      </c>
      <c r="I1144" s="181">
        <v>30</v>
      </c>
      <c r="J1144" s="181">
        <v>1</v>
      </c>
      <c r="K1144" s="717"/>
      <c r="L1144" s="717"/>
      <c r="M1144" s="717"/>
      <c r="N1144" s="720"/>
    </row>
    <row r="1145" spans="1:14" x14ac:dyDescent="0.25">
      <c r="A1145" t="s">
        <v>180</v>
      </c>
      <c r="B1145" s="4" t="s">
        <v>1699</v>
      </c>
      <c r="C1145" s="12"/>
      <c r="D1145" s="123">
        <v>610000004388</v>
      </c>
      <c r="E1145" s="123">
        <f>VLOOKUP(D1145,'[1]Task list &amp; Maintenace plan'!$B:$G,6,FALSE)</f>
        <v>100822</v>
      </c>
      <c r="F1145" s="124" t="s">
        <v>1707</v>
      </c>
      <c r="G1145" s="180" t="s">
        <v>1706</v>
      </c>
      <c r="H1145" s="180" t="s">
        <v>1712</v>
      </c>
      <c r="I1145" s="181">
        <v>30</v>
      </c>
      <c r="J1145" s="181">
        <v>1</v>
      </c>
      <c r="K1145" s="717"/>
      <c r="L1145" s="717"/>
      <c r="M1145" s="717"/>
      <c r="N1145" s="720"/>
    </row>
    <row r="1146" spans="1:14" x14ac:dyDescent="0.25">
      <c r="A1146" t="s">
        <v>180</v>
      </c>
      <c r="B1146" s="4" t="s">
        <v>1699</v>
      </c>
      <c r="C1146" s="12"/>
      <c r="D1146" s="123">
        <v>610000004388</v>
      </c>
      <c r="E1146" s="123">
        <f>VLOOKUP(D1146,'[1]Task list &amp; Maintenace plan'!$B:$G,6,FALSE)</f>
        <v>100822</v>
      </c>
      <c r="F1146" s="124" t="s">
        <v>1707</v>
      </c>
      <c r="G1146" s="180" t="s">
        <v>1714</v>
      </c>
      <c r="H1146" s="180" t="s">
        <v>1715</v>
      </c>
      <c r="I1146" s="181">
        <v>30</v>
      </c>
      <c r="J1146" s="181">
        <v>1</v>
      </c>
      <c r="K1146" s="717"/>
      <c r="L1146" s="717"/>
      <c r="M1146" s="717"/>
      <c r="N1146" s="720"/>
    </row>
    <row r="1147" spans="1:14" x14ac:dyDescent="0.25">
      <c r="A1147" t="s">
        <v>180</v>
      </c>
      <c r="B1147" s="4" t="s">
        <v>1699</v>
      </c>
      <c r="C1147" s="12"/>
      <c r="D1147" s="123">
        <v>610000004388</v>
      </c>
      <c r="E1147" s="123">
        <f>VLOOKUP(D1147,'[1]Task list &amp; Maintenace plan'!$B:$G,6,FALSE)</f>
        <v>100822</v>
      </c>
      <c r="F1147" s="124" t="s">
        <v>1707</v>
      </c>
      <c r="G1147" s="180" t="s">
        <v>1711</v>
      </c>
      <c r="H1147" s="180" t="s">
        <v>1717</v>
      </c>
      <c r="I1147" s="181">
        <v>30</v>
      </c>
      <c r="J1147" s="181">
        <v>1</v>
      </c>
      <c r="K1147" s="717"/>
      <c r="L1147" s="717"/>
      <c r="M1147" s="717"/>
      <c r="N1147" s="720"/>
    </row>
    <row r="1148" spans="1:14" x14ac:dyDescent="0.25">
      <c r="A1148" t="s">
        <v>180</v>
      </c>
      <c r="B1148" s="4" t="s">
        <v>1699</v>
      </c>
      <c r="C1148" s="12"/>
      <c r="D1148" s="123">
        <v>610000004388</v>
      </c>
      <c r="E1148" s="123">
        <f>VLOOKUP(D1148,'[1]Task list &amp; Maintenace plan'!$B:$G,6,FALSE)</f>
        <v>100822</v>
      </c>
      <c r="F1148" s="124" t="s">
        <v>1707</v>
      </c>
      <c r="G1148" s="180" t="s">
        <v>1713</v>
      </c>
      <c r="H1148" s="180" t="s">
        <v>1719</v>
      </c>
      <c r="I1148" s="181">
        <v>30</v>
      </c>
      <c r="J1148" s="181">
        <v>1</v>
      </c>
      <c r="K1148" s="717"/>
      <c r="L1148" s="717"/>
      <c r="M1148" s="717"/>
      <c r="N1148" s="720"/>
    </row>
    <row r="1149" spans="1:14" x14ac:dyDescent="0.25">
      <c r="A1149" t="s">
        <v>180</v>
      </c>
      <c r="B1149" s="4" t="s">
        <v>1699</v>
      </c>
      <c r="C1149" s="12"/>
      <c r="D1149" s="123">
        <v>610000004388</v>
      </c>
      <c r="E1149" s="123">
        <f>VLOOKUP(D1149,'[1]Task list &amp; Maintenace plan'!$B:$G,6,FALSE)</f>
        <v>100822</v>
      </c>
      <c r="F1149" s="124" t="s">
        <v>1707</v>
      </c>
      <c r="G1149" s="180" t="s">
        <v>1716</v>
      </c>
      <c r="H1149" s="180" t="s">
        <v>1720</v>
      </c>
      <c r="I1149" s="181">
        <v>30</v>
      </c>
      <c r="J1149" s="181">
        <v>1</v>
      </c>
      <c r="K1149" s="717"/>
      <c r="L1149" s="717"/>
      <c r="M1149" s="717"/>
      <c r="N1149" s="720"/>
    </row>
    <row r="1150" spans="1:14" x14ac:dyDescent="0.25">
      <c r="A1150" t="s">
        <v>180</v>
      </c>
      <c r="B1150" s="4" t="s">
        <v>1699</v>
      </c>
      <c r="C1150" s="12"/>
      <c r="D1150" s="123">
        <v>610000004388</v>
      </c>
      <c r="E1150" s="123">
        <f>VLOOKUP(D1150,'[1]Task list &amp; Maintenace plan'!$B:$G,6,FALSE)</f>
        <v>100822</v>
      </c>
      <c r="F1150" s="124" t="s">
        <v>1707</v>
      </c>
      <c r="G1150" s="180" t="s">
        <v>1718</v>
      </c>
      <c r="H1150" s="180" t="s">
        <v>1721</v>
      </c>
      <c r="I1150" s="181">
        <v>30</v>
      </c>
      <c r="J1150" s="181">
        <v>1</v>
      </c>
      <c r="K1150" s="717"/>
      <c r="L1150" s="717"/>
      <c r="M1150" s="717"/>
      <c r="N1150" s="720"/>
    </row>
    <row r="1151" spans="1:14" x14ac:dyDescent="0.25">
      <c r="A1151" t="s">
        <v>180</v>
      </c>
      <c r="B1151" s="4" t="s">
        <v>1699</v>
      </c>
      <c r="C1151" s="12"/>
      <c r="D1151" s="123">
        <v>610000004388</v>
      </c>
      <c r="E1151" s="123">
        <f>VLOOKUP(D1151,'[1]Task list &amp; Maintenace plan'!$B:$G,6,FALSE)</f>
        <v>100822</v>
      </c>
      <c r="F1151" s="124" t="s">
        <v>1707</v>
      </c>
      <c r="G1151" s="180" t="s">
        <v>507</v>
      </c>
      <c r="H1151" s="180" t="s">
        <v>1723</v>
      </c>
      <c r="I1151" s="181">
        <v>30</v>
      </c>
      <c r="J1151" s="181">
        <v>1</v>
      </c>
      <c r="K1151" s="717"/>
      <c r="L1151" s="717"/>
      <c r="M1151" s="717"/>
      <c r="N1151" s="720"/>
    </row>
    <row r="1152" spans="1:14" x14ac:dyDescent="0.25">
      <c r="A1152" t="s">
        <v>180</v>
      </c>
      <c r="B1152" s="4" t="s">
        <v>1699</v>
      </c>
      <c r="C1152" s="12"/>
      <c r="D1152" s="103">
        <v>610000004388</v>
      </c>
      <c r="E1152" s="103">
        <f>VLOOKUP(D1152,'[1]Task list &amp; Maintenace plan'!$B:$G,6,FALSE)</f>
        <v>100822</v>
      </c>
      <c r="F1152" s="85" t="s">
        <v>1707</v>
      </c>
      <c r="G1152" s="182" t="s">
        <v>1704</v>
      </c>
      <c r="H1152" s="182" t="s">
        <v>1725</v>
      </c>
      <c r="I1152" s="183">
        <v>30</v>
      </c>
      <c r="J1152" s="183">
        <v>1</v>
      </c>
      <c r="K1152" s="718"/>
      <c r="L1152" s="718"/>
      <c r="M1152" s="718"/>
      <c r="N1152" s="721"/>
    </row>
    <row r="1153" spans="1:14" x14ac:dyDescent="0.25">
      <c r="A1153" t="s">
        <v>180</v>
      </c>
      <c r="B1153" s="4" t="s">
        <v>1699</v>
      </c>
      <c r="C1153" s="12"/>
      <c r="D1153" s="123">
        <v>610000004389</v>
      </c>
      <c r="E1153" s="123">
        <f>VLOOKUP(D1153,'[1]Task list &amp; Maintenace plan'!$B:$G,6,FALSE)</f>
        <v>100823</v>
      </c>
      <c r="F1153" s="124" t="s">
        <v>1701</v>
      </c>
      <c r="G1153" s="180" t="s">
        <v>1727</v>
      </c>
      <c r="H1153" s="180" t="s">
        <v>1728</v>
      </c>
      <c r="I1153" s="181">
        <v>60</v>
      </c>
      <c r="J1153" s="181">
        <v>1</v>
      </c>
      <c r="K1153" s="716">
        <v>90</v>
      </c>
      <c r="L1153" s="716">
        <v>1</v>
      </c>
      <c r="M1153" s="716">
        <f>L1153*K1153</f>
        <v>90</v>
      </c>
      <c r="N1153" s="719" t="s">
        <v>20</v>
      </c>
    </row>
    <row r="1154" spans="1:14" x14ac:dyDescent="0.25">
      <c r="A1154" t="s">
        <v>180</v>
      </c>
      <c r="B1154" s="4" t="s">
        <v>1699</v>
      </c>
      <c r="C1154" s="12"/>
      <c r="D1154" s="123">
        <v>610000004389</v>
      </c>
      <c r="E1154" s="123">
        <f>VLOOKUP(D1154,'[1]Task list &amp; Maintenace plan'!$B:$G,6,FALSE)</f>
        <v>100823</v>
      </c>
      <c r="F1154" s="124" t="s">
        <v>1701</v>
      </c>
      <c r="G1154" s="180" t="s">
        <v>1700</v>
      </c>
      <c r="H1154" s="180" t="s">
        <v>1729</v>
      </c>
      <c r="I1154" s="181">
        <v>60</v>
      </c>
      <c r="J1154" s="181">
        <v>1</v>
      </c>
      <c r="K1154" s="717"/>
      <c r="L1154" s="717"/>
      <c r="M1154" s="717"/>
      <c r="N1154" s="720"/>
    </row>
    <row r="1155" spans="1:14" x14ac:dyDescent="0.25">
      <c r="A1155" t="s">
        <v>180</v>
      </c>
      <c r="B1155" s="4" t="s">
        <v>1699</v>
      </c>
      <c r="C1155" s="12"/>
      <c r="D1155" s="123">
        <v>610000004389</v>
      </c>
      <c r="E1155" s="123">
        <f>VLOOKUP(D1155,'[1]Task list &amp; Maintenace plan'!$B:$G,6,FALSE)</f>
        <v>100823</v>
      </c>
      <c r="F1155" s="124" t="s">
        <v>1701</v>
      </c>
      <c r="G1155" s="180" t="s">
        <v>1703</v>
      </c>
      <c r="H1155" s="180" t="s">
        <v>1730</v>
      </c>
      <c r="I1155" s="181">
        <v>60</v>
      </c>
      <c r="J1155" s="181">
        <v>1</v>
      </c>
      <c r="K1155" s="717"/>
      <c r="L1155" s="717"/>
      <c r="M1155" s="717"/>
      <c r="N1155" s="720"/>
    </row>
    <row r="1156" spans="1:14" x14ac:dyDescent="0.25">
      <c r="A1156" t="s">
        <v>180</v>
      </c>
      <c r="B1156" s="4" t="s">
        <v>1699</v>
      </c>
      <c r="C1156" s="12"/>
      <c r="D1156" s="123">
        <v>610000004389</v>
      </c>
      <c r="E1156" s="123">
        <f>VLOOKUP(D1156,'[1]Task list &amp; Maintenace plan'!$B:$G,6,FALSE)</f>
        <v>100823</v>
      </c>
      <c r="F1156" s="124" t="s">
        <v>1701</v>
      </c>
      <c r="G1156" s="180" t="s">
        <v>1706</v>
      </c>
      <c r="H1156" s="180" t="s">
        <v>1731</v>
      </c>
      <c r="I1156" s="181">
        <v>60</v>
      </c>
      <c r="J1156" s="181">
        <v>1</v>
      </c>
      <c r="K1156" s="717"/>
      <c r="L1156" s="717"/>
      <c r="M1156" s="717"/>
      <c r="N1156" s="720"/>
    </row>
    <row r="1157" spans="1:14" x14ac:dyDescent="0.25">
      <c r="A1157" t="s">
        <v>180</v>
      </c>
      <c r="B1157" s="4" t="s">
        <v>1699</v>
      </c>
      <c r="C1157" s="12"/>
      <c r="D1157" s="123">
        <v>610000004389</v>
      </c>
      <c r="E1157" s="123">
        <f>VLOOKUP(D1157,'[1]Task list &amp; Maintenace plan'!$B:$G,6,FALSE)</f>
        <v>100823</v>
      </c>
      <c r="F1157" s="124" t="s">
        <v>1701</v>
      </c>
      <c r="G1157" s="180" t="s">
        <v>1700</v>
      </c>
      <c r="H1157" s="180" t="s">
        <v>1732</v>
      </c>
      <c r="I1157" s="181">
        <v>60</v>
      </c>
      <c r="J1157" s="181">
        <v>1</v>
      </c>
      <c r="K1157" s="717"/>
      <c r="L1157" s="717"/>
      <c r="M1157" s="717"/>
      <c r="N1157" s="720"/>
    </row>
    <row r="1158" spans="1:14" x14ac:dyDescent="0.25">
      <c r="A1158" t="s">
        <v>180</v>
      </c>
      <c r="B1158" s="4" t="s">
        <v>1699</v>
      </c>
      <c r="C1158" s="12"/>
      <c r="D1158" s="123">
        <v>610000004389</v>
      </c>
      <c r="E1158" s="123">
        <f>VLOOKUP(D1158,'[1]Task list &amp; Maintenace plan'!$B:$G,6,FALSE)</f>
        <v>100823</v>
      </c>
      <c r="F1158" s="124" t="s">
        <v>1701</v>
      </c>
      <c r="G1158" s="180" t="s">
        <v>1703</v>
      </c>
      <c r="H1158" s="180" t="s">
        <v>1733</v>
      </c>
      <c r="I1158" s="181">
        <v>60</v>
      </c>
      <c r="J1158" s="181">
        <v>1</v>
      </c>
      <c r="K1158" s="717"/>
      <c r="L1158" s="717"/>
      <c r="M1158" s="717"/>
      <c r="N1158" s="720"/>
    </row>
    <row r="1159" spans="1:14" x14ac:dyDescent="0.25">
      <c r="A1159" t="s">
        <v>180</v>
      </c>
      <c r="B1159" s="4" t="s">
        <v>1699</v>
      </c>
      <c r="C1159" s="12"/>
      <c r="D1159" s="123">
        <v>610000004389</v>
      </c>
      <c r="E1159" s="123">
        <f>VLOOKUP(D1159,'[1]Task list &amp; Maintenace plan'!$B:$G,6,FALSE)</f>
        <v>100823</v>
      </c>
      <c r="F1159" s="124" t="s">
        <v>1701</v>
      </c>
      <c r="G1159" s="180" t="s">
        <v>1706</v>
      </c>
      <c r="H1159" s="180" t="s">
        <v>1734</v>
      </c>
      <c r="I1159" s="181">
        <v>60</v>
      </c>
      <c r="J1159" s="181">
        <v>1</v>
      </c>
      <c r="K1159" s="717"/>
      <c r="L1159" s="717"/>
      <c r="M1159" s="717"/>
      <c r="N1159" s="720"/>
    </row>
    <row r="1160" spans="1:14" x14ac:dyDescent="0.25">
      <c r="A1160" t="s">
        <v>180</v>
      </c>
      <c r="B1160" s="4" t="s">
        <v>1699</v>
      </c>
      <c r="C1160" s="12"/>
      <c r="D1160" s="140">
        <v>610000004389</v>
      </c>
      <c r="E1160" s="140">
        <f>VLOOKUP(D1160,'[1]Task list &amp; Maintenace plan'!$B:$G,6,FALSE)</f>
        <v>100823</v>
      </c>
      <c r="F1160" s="141" t="s">
        <v>1701</v>
      </c>
      <c r="G1160" s="293" t="s">
        <v>1709</v>
      </c>
      <c r="H1160" s="180" t="s">
        <v>1735</v>
      </c>
      <c r="I1160" s="181">
        <v>60</v>
      </c>
      <c r="J1160" s="181">
        <v>1</v>
      </c>
      <c r="K1160" s="717"/>
      <c r="L1160" s="717"/>
      <c r="M1160" s="717"/>
      <c r="N1160" s="720"/>
    </row>
    <row r="1161" spans="1:14" x14ac:dyDescent="0.25">
      <c r="A1161" t="s">
        <v>180</v>
      </c>
      <c r="B1161" s="4" t="s">
        <v>1699</v>
      </c>
      <c r="C1161" s="12"/>
      <c r="D1161" s="123">
        <v>610000004389</v>
      </c>
      <c r="E1161" s="123">
        <f>VLOOKUP(D1161,'[1]Task list &amp; Maintenace plan'!$B:$G,6,FALSE)</f>
        <v>100823</v>
      </c>
      <c r="F1161" s="124" t="s">
        <v>1701</v>
      </c>
      <c r="G1161" s="180" t="s">
        <v>1700</v>
      </c>
      <c r="H1161" s="180" t="s">
        <v>1736</v>
      </c>
      <c r="I1161" s="181">
        <v>60</v>
      </c>
      <c r="J1161" s="181">
        <v>1</v>
      </c>
      <c r="K1161" s="717"/>
      <c r="L1161" s="717"/>
      <c r="M1161" s="717"/>
      <c r="N1161" s="720"/>
    </row>
    <row r="1162" spans="1:14" x14ac:dyDescent="0.25">
      <c r="A1162" t="s">
        <v>180</v>
      </c>
      <c r="B1162" s="4" t="s">
        <v>1699</v>
      </c>
      <c r="C1162" s="12"/>
      <c r="D1162" s="123">
        <v>610000004389</v>
      </c>
      <c r="E1162" s="123">
        <f>VLOOKUP(D1162,'[1]Task list &amp; Maintenace plan'!$B:$G,6,FALSE)</f>
        <v>100823</v>
      </c>
      <c r="F1162" s="124" t="s">
        <v>1701</v>
      </c>
      <c r="G1162" s="180" t="s">
        <v>1703</v>
      </c>
      <c r="H1162" s="180" t="s">
        <v>1737</v>
      </c>
      <c r="I1162" s="181">
        <v>60</v>
      </c>
      <c r="J1162" s="181">
        <v>1</v>
      </c>
      <c r="K1162" s="717"/>
      <c r="L1162" s="717"/>
      <c r="M1162" s="717"/>
      <c r="N1162" s="720"/>
    </row>
    <row r="1163" spans="1:14" x14ac:dyDescent="0.25">
      <c r="A1163" t="s">
        <v>180</v>
      </c>
      <c r="B1163" s="4" t="s">
        <v>1699</v>
      </c>
      <c r="C1163" s="12"/>
      <c r="D1163" s="123">
        <v>610000004389</v>
      </c>
      <c r="E1163" s="123">
        <f>VLOOKUP(D1163,'[1]Task list &amp; Maintenace plan'!$B:$G,6,FALSE)</f>
        <v>100823</v>
      </c>
      <c r="F1163" s="124" t="s">
        <v>1701</v>
      </c>
      <c r="G1163" s="180" t="s">
        <v>1706</v>
      </c>
      <c r="H1163" s="180" t="s">
        <v>1738</v>
      </c>
      <c r="I1163" s="181">
        <v>60</v>
      </c>
      <c r="J1163" s="181">
        <v>1</v>
      </c>
      <c r="K1163" s="717"/>
      <c r="L1163" s="717"/>
      <c r="M1163" s="717"/>
      <c r="N1163" s="720"/>
    </row>
    <row r="1164" spans="1:14" x14ac:dyDescent="0.25">
      <c r="A1164" t="s">
        <v>180</v>
      </c>
      <c r="B1164" s="4" t="s">
        <v>1699</v>
      </c>
      <c r="C1164" s="12"/>
      <c r="D1164" s="123">
        <v>610000004389</v>
      </c>
      <c r="E1164" s="123">
        <f>VLOOKUP(D1164,'[1]Task list &amp; Maintenace plan'!$B:$G,6,FALSE)</f>
        <v>100823</v>
      </c>
      <c r="F1164" s="124" t="s">
        <v>1701</v>
      </c>
      <c r="G1164" s="180" t="s">
        <v>1714</v>
      </c>
      <c r="H1164" s="180" t="s">
        <v>1739</v>
      </c>
      <c r="I1164" s="181">
        <v>60</v>
      </c>
      <c r="J1164" s="181">
        <v>1</v>
      </c>
      <c r="K1164" s="717"/>
      <c r="L1164" s="717"/>
      <c r="M1164" s="717"/>
      <c r="N1164" s="720"/>
    </row>
    <row r="1165" spans="1:14" x14ac:dyDescent="0.25">
      <c r="A1165" t="s">
        <v>180</v>
      </c>
      <c r="B1165" s="4" t="s">
        <v>1699</v>
      </c>
      <c r="C1165" s="12"/>
      <c r="D1165" s="123">
        <v>610000004389</v>
      </c>
      <c r="E1165" s="123">
        <f>VLOOKUP(D1165,'[1]Task list &amp; Maintenace plan'!$B:$G,6,FALSE)</f>
        <v>100823</v>
      </c>
      <c r="F1165" s="124" t="s">
        <v>1701</v>
      </c>
      <c r="G1165" s="180" t="s">
        <v>507</v>
      </c>
      <c r="H1165" s="180" t="s">
        <v>1740</v>
      </c>
      <c r="I1165" s="181">
        <v>60</v>
      </c>
      <c r="J1165" s="181">
        <v>1</v>
      </c>
      <c r="K1165" s="717"/>
      <c r="L1165" s="717"/>
      <c r="M1165" s="717"/>
      <c r="N1165" s="720"/>
    </row>
    <row r="1166" spans="1:14" x14ac:dyDescent="0.25">
      <c r="A1166" t="s">
        <v>180</v>
      </c>
      <c r="B1166" s="4" t="s">
        <v>1699</v>
      </c>
      <c r="C1166" s="12"/>
      <c r="D1166" s="17">
        <v>610000004389</v>
      </c>
      <c r="E1166" s="17">
        <f>VLOOKUP(D1166,'[1]Task list &amp; Maintenace plan'!$B:$G,6,FALSE)</f>
        <v>100823</v>
      </c>
      <c r="F1166" s="18" t="s">
        <v>1701</v>
      </c>
      <c r="G1166" s="19" t="s">
        <v>1704</v>
      </c>
      <c r="H1166" s="19" t="s">
        <v>1741</v>
      </c>
      <c r="I1166" s="18">
        <v>60</v>
      </c>
      <c r="J1166" s="18">
        <v>1</v>
      </c>
      <c r="K1166" s="717"/>
      <c r="L1166" s="717"/>
      <c r="M1166" s="717"/>
      <c r="N1166" s="720"/>
    </row>
    <row r="1167" spans="1:14" x14ac:dyDescent="0.25">
      <c r="A1167" t="s">
        <v>180</v>
      </c>
      <c r="B1167" s="4" t="s">
        <v>1699</v>
      </c>
      <c r="C1167" s="12"/>
      <c r="D1167" s="123">
        <v>610000004389</v>
      </c>
      <c r="E1167" s="123">
        <f>VLOOKUP(D1167,'[1]Task list &amp; Maintenace plan'!$B:$G,6,FALSE)</f>
        <v>100823</v>
      </c>
      <c r="F1167" s="124" t="s">
        <v>1701</v>
      </c>
      <c r="G1167" s="180" t="s">
        <v>1700</v>
      </c>
      <c r="H1167" s="180" t="s">
        <v>1742</v>
      </c>
      <c r="I1167" s="181">
        <v>60</v>
      </c>
      <c r="J1167" s="181">
        <v>1</v>
      </c>
      <c r="K1167" s="717"/>
      <c r="L1167" s="717"/>
      <c r="M1167" s="717"/>
      <c r="N1167" s="720"/>
    </row>
    <row r="1168" spans="1:14" x14ac:dyDescent="0.25">
      <c r="A1168" t="s">
        <v>180</v>
      </c>
      <c r="B1168" s="4" t="s">
        <v>1699</v>
      </c>
      <c r="C1168" s="12"/>
      <c r="D1168" s="123">
        <v>610000004389</v>
      </c>
      <c r="E1168" s="123">
        <f>VLOOKUP(D1168,'[1]Task list &amp; Maintenace plan'!$B:$G,6,FALSE)</f>
        <v>100823</v>
      </c>
      <c r="F1168" s="124" t="s">
        <v>1701</v>
      </c>
      <c r="G1168" s="180" t="s">
        <v>1703</v>
      </c>
      <c r="H1168" s="180" t="s">
        <v>1743</v>
      </c>
      <c r="I1168" s="181">
        <v>60</v>
      </c>
      <c r="J1168" s="181">
        <v>1</v>
      </c>
      <c r="K1168" s="717"/>
      <c r="L1168" s="717"/>
      <c r="M1168" s="717"/>
      <c r="N1168" s="720"/>
    </row>
    <row r="1169" spans="1:14" x14ac:dyDescent="0.25">
      <c r="A1169" t="s">
        <v>180</v>
      </c>
      <c r="B1169" s="4" t="s">
        <v>1699</v>
      </c>
      <c r="C1169" s="12"/>
      <c r="D1169" s="123">
        <v>610000004389</v>
      </c>
      <c r="E1169" s="123">
        <f>VLOOKUP(D1169,'[1]Task list &amp; Maintenace plan'!$B:$G,6,FALSE)</f>
        <v>100823</v>
      </c>
      <c r="F1169" s="124" t="s">
        <v>1701</v>
      </c>
      <c r="G1169" s="180" t="s">
        <v>1706</v>
      </c>
      <c r="H1169" s="180" t="s">
        <v>1744</v>
      </c>
      <c r="I1169" s="181">
        <v>60</v>
      </c>
      <c r="J1169" s="181">
        <v>1</v>
      </c>
      <c r="K1169" s="717"/>
      <c r="L1169" s="717"/>
      <c r="M1169" s="717"/>
      <c r="N1169" s="720"/>
    </row>
    <row r="1170" spans="1:14" x14ac:dyDescent="0.25">
      <c r="A1170" t="s">
        <v>180</v>
      </c>
      <c r="B1170" s="4" t="s">
        <v>1699</v>
      </c>
      <c r="C1170" s="12"/>
      <c r="D1170" s="123">
        <v>610000004389</v>
      </c>
      <c r="E1170" s="123">
        <f>VLOOKUP(D1170,'[1]Task list &amp; Maintenace plan'!$B:$G,6,FALSE)</f>
        <v>100823</v>
      </c>
      <c r="F1170" s="124" t="s">
        <v>1701</v>
      </c>
      <c r="G1170" s="180" t="s">
        <v>1700</v>
      </c>
      <c r="H1170" s="180" t="s">
        <v>1745</v>
      </c>
      <c r="I1170" s="181">
        <v>60</v>
      </c>
      <c r="J1170" s="181">
        <v>1</v>
      </c>
      <c r="K1170" s="717"/>
      <c r="L1170" s="717"/>
      <c r="M1170" s="717"/>
      <c r="N1170" s="720"/>
    </row>
    <row r="1171" spans="1:14" x14ac:dyDescent="0.25">
      <c r="A1171" t="s">
        <v>180</v>
      </c>
      <c r="B1171" s="4" t="s">
        <v>1699</v>
      </c>
      <c r="C1171" s="12"/>
      <c r="D1171" s="123">
        <v>610000004389</v>
      </c>
      <c r="E1171" s="123">
        <f>VLOOKUP(D1171,'[1]Task list &amp; Maintenace plan'!$B:$G,6,FALSE)</f>
        <v>100823</v>
      </c>
      <c r="F1171" s="124" t="s">
        <v>1701</v>
      </c>
      <c r="G1171" s="180" t="s">
        <v>1703</v>
      </c>
      <c r="H1171" s="180" t="s">
        <v>1746</v>
      </c>
      <c r="I1171" s="181">
        <v>60</v>
      </c>
      <c r="J1171" s="181">
        <v>1</v>
      </c>
      <c r="K1171" s="717"/>
      <c r="L1171" s="717"/>
      <c r="M1171" s="717"/>
      <c r="N1171" s="720"/>
    </row>
    <row r="1172" spans="1:14" x14ac:dyDescent="0.25">
      <c r="A1172" t="s">
        <v>180</v>
      </c>
      <c r="B1172" s="4" t="s">
        <v>1699</v>
      </c>
      <c r="C1172" s="12"/>
      <c r="D1172" s="123">
        <v>610000004389</v>
      </c>
      <c r="E1172" s="123">
        <f>VLOOKUP(D1172,'[1]Task list &amp; Maintenace plan'!$B:$G,6,FALSE)</f>
        <v>100823</v>
      </c>
      <c r="F1172" s="124" t="s">
        <v>1701</v>
      </c>
      <c r="G1172" s="180" t="s">
        <v>1706</v>
      </c>
      <c r="H1172" s="180" t="s">
        <v>1747</v>
      </c>
      <c r="I1172" s="181">
        <v>60</v>
      </c>
      <c r="J1172" s="181">
        <v>1</v>
      </c>
      <c r="K1172" s="717"/>
      <c r="L1172" s="717"/>
      <c r="M1172" s="717"/>
      <c r="N1172" s="720"/>
    </row>
    <row r="1173" spans="1:14" x14ac:dyDescent="0.25">
      <c r="A1173" t="s">
        <v>180</v>
      </c>
      <c r="B1173" s="4" t="s">
        <v>1699</v>
      </c>
      <c r="C1173" s="12"/>
      <c r="D1173" s="123">
        <v>610000004389</v>
      </c>
      <c r="E1173" s="123">
        <f>VLOOKUP(D1173,'[1]Task list &amp; Maintenace plan'!$B:$G,6,FALSE)</f>
        <v>100823</v>
      </c>
      <c r="F1173" s="124" t="s">
        <v>1701</v>
      </c>
      <c r="G1173" s="180" t="s">
        <v>1700</v>
      </c>
      <c r="H1173" s="180" t="s">
        <v>1748</v>
      </c>
      <c r="I1173" s="181">
        <v>60</v>
      </c>
      <c r="J1173" s="181">
        <v>1</v>
      </c>
      <c r="K1173" s="717"/>
      <c r="L1173" s="717"/>
      <c r="M1173" s="717"/>
      <c r="N1173" s="720"/>
    </row>
    <row r="1174" spans="1:14" x14ac:dyDescent="0.25">
      <c r="A1174" t="s">
        <v>180</v>
      </c>
      <c r="B1174" s="4" t="s">
        <v>1699</v>
      </c>
      <c r="C1174" s="12"/>
      <c r="D1174" s="123">
        <v>610000004389</v>
      </c>
      <c r="E1174" s="123">
        <f>VLOOKUP(D1174,'[1]Task list &amp; Maintenace plan'!$B:$G,6,FALSE)</f>
        <v>100823</v>
      </c>
      <c r="F1174" s="124" t="s">
        <v>1701</v>
      </c>
      <c r="G1174" s="180" t="s">
        <v>1703</v>
      </c>
      <c r="H1174" s="180" t="s">
        <v>1749</v>
      </c>
      <c r="I1174" s="181">
        <v>60</v>
      </c>
      <c r="J1174" s="181">
        <v>1</v>
      </c>
      <c r="K1174" s="717"/>
      <c r="L1174" s="717"/>
      <c r="M1174" s="717"/>
      <c r="N1174" s="720"/>
    </row>
    <row r="1175" spans="1:14" x14ac:dyDescent="0.25">
      <c r="A1175" t="s">
        <v>180</v>
      </c>
      <c r="B1175" s="4" t="s">
        <v>1699</v>
      </c>
      <c r="C1175" s="12"/>
      <c r="D1175" s="123">
        <v>610000004389</v>
      </c>
      <c r="E1175" s="123">
        <f>VLOOKUP(D1175,'[1]Task list &amp; Maintenace plan'!$B:$G,6,FALSE)</f>
        <v>100823</v>
      </c>
      <c r="F1175" s="124" t="s">
        <v>1701</v>
      </c>
      <c r="G1175" s="180" t="s">
        <v>1706</v>
      </c>
      <c r="H1175" s="180" t="s">
        <v>1750</v>
      </c>
      <c r="I1175" s="181">
        <v>60</v>
      </c>
      <c r="J1175" s="181">
        <v>1</v>
      </c>
      <c r="K1175" s="717"/>
      <c r="L1175" s="717"/>
      <c r="M1175" s="717"/>
      <c r="N1175" s="720"/>
    </row>
    <row r="1176" spans="1:14" x14ac:dyDescent="0.25">
      <c r="A1176" t="s">
        <v>180</v>
      </c>
      <c r="B1176" s="4" t="s">
        <v>1699</v>
      </c>
      <c r="C1176" s="12"/>
      <c r="D1176" s="123">
        <v>610000004389</v>
      </c>
      <c r="E1176" s="123">
        <f>VLOOKUP(D1176,'[1]Task list &amp; Maintenace plan'!$B:$G,6,FALSE)</f>
        <v>100823</v>
      </c>
      <c r="F1176" s="124" t="s">
        <v>1701</v>
      </c>
      <c r="G1176" s="180" t="s">
        <v>1714</v>
      </c>
      <c r="H1176" s="180" t="s">
        <v>1751</v>
      </c>
      <c r="I1176" s="181">
        <v>60</v>
      </c>
      <c r="J1176" s="181">
        <v>1</v>
      </c>
      <c r="K1176" s="717"/>
      <c r="L1176" s="717"/>
      <c r="M1176" s="717"/>
      <c r="N1176" s="720"/>
    </row>
    <row r="1177" spans="1:14" x14ac:dyDescent="0.25">
      <c r="A1177" t="s">
        <v>180</v>
      </c>
      <c r="B1177" s="4" t="s">
        <v>1699</v>
      </c>
      <c r="C1177" s="12"/>
      <c r="D1177" s="123">
        <v>610000004389</v>
      </c>
      <c r="E1177" s="123">
        <f>VLOOKUP(D1177,'[1]Task list &amp; Maintenace plan'!$B:$G,6,FALSE)</f>
        <v>100823</v>
      </c>
      <c r="F1177" s="124" t="s">
        <v>1701</v>
      </c>
      <c r="G1177" s="180" t="s">
        <v>507</v>
      </c>
      <c r="H1177" s="180" t="s">
        <v>1752</v>
      </c>
      <c r="I1177" s="181">
        <v>60</v>
      </c>
      <c r="J1177" s="181">
        <v>1</v>
      </c>
      <c r="K1177" s="717"/>
      <c r="L1177" s="717"/>
      <c r="M1177" s="717"/>
      <c r="N1177" s="720"/>
    </row>
    <row r="1178" spans="1:14" x14ac:dyDescent="0.25">
      <c r="A1178" t="s">
        <v>180</v>
      </c>
      <c r="B1178" s="4" t="s">
        <v>1699</v>
      </c>
      <c r="C1178" s="12"/>
      <c r="D1178" s="123">
        <v>610000004389</v>
      </c>
      <c r="E1178" s="123">
        <f>VLOOKUP(D1178,'[1]Task list &amp; Maintenace plan'!$B:$G,6,FALSE)</f>
        <v>100823</v>
      </c>
      <c r="F1178" s="124" t="s">
        <v>1701</v>
      </c>
      <c r="G1178" s="180" t="s">
        <v>1704</v>
      </c>
      <c r="H1178" s="180" t="s">
        <v>1753</v>
      </c>
      <c r="I1178" s="181">
        <v>60</v>
      </c>
      <c r="J1178" s="181">
        <v>1</v>
      </c>
      <c r="K1178" s="717"/>
      <c r="L1178" s="717"/>
      <c r="M1178" s="717"/>
      <c r="N1178" s="720"/>
    </row>
    <row r="1179" spans="1:14" x14ac:dyDescent="0.25">
      <c r="A1179" t="s">
        <v>180</v>
      </c>
      <c r="B1179" s="4" t="s">
        <v>1699</v>
      </c>
      <c r="C1179" s="12"/>
      <c r="D1179" s="103">
        <v>610000004389</v>
      </c>
      <c r="E1179" s="103">
        <f>VLOOKUP(D1179,'[1]Task list &amp; Maintenace plan'!$B:$G,6,FALSE)</f>
        <v>100823</v>
      </c>
      <c r="F1179" s="85" t="s">
        <v>1701</v>
      </c>
      <c r="G1179" s="182" t="s">
        <v>1727</v>
      </c>
      <c r="H1179" s="182" t="s">
        <v>1754</v>
      </c>
      <c r="I1179" s="183">
        <v>60</v>
      </c>
      <c r="J1179" s="183">
        <v>1</v>
      </c>
      <c r="K1179" s="718"/>
      <c r="L1179" s="718"/>
      <c r="M1179" s="718"/>
      <c r="N1179" s="721"/>
    </row>
    <row r="1180" spans="1:14" x14ac:dyDescent="0.25">
      <c r="A1180" t="s">
        <v>180</v>
      </c>
      <c r="B1180" s="4" t="s">
        <v>1699</v>
      </c>
      <c r="C1180" s="12"/>
      <c r="D1180" s="33">
        <v>342105</v>
      </c>
      <c r="E1180" s="33">
        <f>VLOOKUP(D1180,'[1]Task list &amp; Maintenace plan'!$B:$G,6,FALSE)</f>
        <v>436</v>
      </c>
      <c r="F1180" s="34" t="s">
        <v>1755</v>
      </c>
      <c r="G1180" s="26" t="s">
        <v>1700</v>
      </c>
      <c r="H1180" s="26" t="s">
        <v>1756</v>
      </c>
      <c r="I1180" s="34">
        <v>90</v>
      </c>
      <c r="J1180" s="34"/>
      <c r="K1180" s="686">
        <v>60</v>
      </c>
      <c r="L1180" s="686">
        <v>1</v>
      </c>
      <c r="M1180" s="686">
        <f>L1180*K1180</f>
        <v>60</v>
      </c>
      <c r="N1180" s="689" t="s">
        <v>20</v>
      </c>
    </row>
    <row r="1181" spans="1:14" x14ac:dyDescent="0.25">
      <c r="A1181" t="s">
        <v>180</v>
      </c>
      <c r="B1181" s="4" t="s">
        <v>1699</v>
      </c>
      <c r="C1181" s="12"/>
      <c r="D1181" s="17">
        <v>342105</v>
      </c>
      <c r="E1181" s="17">
        <f>VLOOKUP(D1181,'[1]Task list &amp; Maintenace plan'!$B:$G,6,FALSE)</f>
        <v>436</v>
      </c>
      <c r="F1181" s="18" t="s">
        <v>1755</v>
      </c>
      <c r="G1181" s="19" t="s">
        <v>1703</v>
      </c>
      <c r="H1181" s="19" t="s">
        <v>1756</v>
      </c>
      <c r="I1181" s="18">
        <v>90</v>
      </c>
      <c r="J1181" s="18"/>
      <c r="K1181" s="687"/>
      <c r="L1181" s="687"/>
      <c r="M1181" s="687"/>
      <c r="N1181" s="690"/>
    </row>
    <row r="1182" spans="1:14" x14ac:dyDescent="0.25">
      <c r="A1182" t="s">
        <v>180</v>
      </c>
      <c r="B1182" s="4" t="s">
        <v>1699</v>
      </c>
      <c r="C1182" s="12"/>
      <c r="D1182" s="17">
        <v>342105</v>
      </c>
      <c r="E1182" s="17">
        <f>VLOOKUP(D1182,'[1]Task list &amp; Maintenace plan'!$B:$G,6,FALSE)</f>
        <v>436</v>
      </c>
      <c r="F1182" s="18" t="s">
        <v>1755</v>
      </c>
      <c r="G1182" s="19" t="s">
        <v>1706</v>
      </c>
      <c r="H1182" s="19" t="s">
        <v>1756</v>
      </c>
      <c r="I1182" s="18">
        <v>90</v>
      </c>
      <c r="J1182" s="18"/>
      <c r="K1182" s="687"/>
      <c r="L1182" s="687"/>
      <c r="M1182" s="687"/>
      <c r="N1182" s="690"/>
    </row>
    <row r="1183" spans="1:14" x14ac:dyDescent="0.25">
      <c r="A1183" t="s">
        <v>180</v>
      </c>
      <c r="B1183" s="4" t="s">
        <v>1699</v>
      </c>
      <c r="C1183" s="12"/>
      <c r="D1183" s="22">
        <v>342105</v>
      </c>
      <c r="E1183" s="22">
        <f>VLOOKUP(D1183,'[1]Task list &amp; Maintenace plan'!$B:$G,6,FALSE)</f>
        <v>436</v>
      </c>
      <c r="F1183" s="23" t="s">
        <v>1755</v>
      </c>
      <c r="G1183" s="24" t="s">
        <v>1714</v>
      </c>
      <c r="H1183" s="24" t="s">
        <v>1757</v>
      </c>
      <c r="I1183" s="23">
        <v>90</v>
      </c>
      <c r="J1183" s="23"/>
      <c r="K1183" s="688"/>
      <c r="L1183" s="688"/>
      <c r="M1183" s="688"/>
      <c r="N1183" s="691"/>
    </row>
    <row r="1184" spans="1:14" x14ac:dyDescent="0.25">
      <c r="A1184" t="s">
        <v>180</v>
      </c>
      <c r="B1184" s="4" t="s">
        <v>1699</v>
      </c>
      <c r="C1184" s="12"/>
      <c r="D1184" s="6">
        <v>610000004390</v>
      </c>
      <c r="E1184" s="6">
        <f>VLOOKUP(D1184,'[1]Task list &amp; Maintenace plan'!$B:$G,6,FALSE)</f>
        <v>100824</v>
      </c>
      <c r="F1184" s="7" t="s">
        <v>1758</v>
      </c>
      <c r="G1184" s="8" t="s">
        <v>1722</v>
      </c>
      <c r="H1184" s="8" t="s">
        <v>1759</v>
      </c>
      <c r="I1184" s="7">
        <v>90</v>
      </c>
      <c r="J1184" s="7"/>
      <c r="K1184" s="7">
        <v>5</v>
      </c>
      <c r="L1184" s="7">
        <v>1</v>
      </c>
      <c r="M1184" s="7">
        <f>L1184*K1184</f>
        <v>5</v>
      </c>
      <c r="N1184" s="10" t="s">
        <v>20</v>
      </c>
    </row>
    <row r="1185" spans="1:14" ht="15.75" thickBot="1" x14ac:dyDescent="0.3">
      <c r="A1185" t="s">
        <v>180</v>
      </c>
      <c r="B1185" s="4" t="s">
        <v>1699</v>
      </c>
      <c r="C1185" s="27"/>
      <c r="D1185" s="65">
        <v>352900</v>
      </c>
      <c r="E1185" s="65">
        <f>VLOOKUP(D1185,'[1]Task list &amp; Maintenace plan'!$B:$G,6,FALSE)</f>
        <v>1457</v>
      </c>
      <c r="F1185" s="66" t="s">
        <v>1760</v>
      </c>
      <c r="G1185" s="67" t="s">
        <v>1714</v>
      </c>
      <c r="H1185" s="67" t="s">
        <v>1761</v>
      </c>
      <c r="I1185" s="66">
        <v>180</v>
      </c>
      <c r="J1185" s="66">
        <v>1</v>
      </c>
      <c r="K1185" s="66">
        <v>60</v>
      </c>
      <c r="L1185" s="66">
        <v>1</v>
      </c>
      <c r="M1185" s="66">
        <f>L1185*K1185</f>
        <v>60</v>
      </c>
      <c r="N1185" s="69" t="s">
        <v>20</v>
      </c>
    </row>
    <row r="1186" spans="1:14" x14ac:dyDescent="0.25">
      <c r="A1186" t="s">
        <v>180</v>
      </c>
      <c r="B1186" s="11" t="s">
        <v>1762</v>
      </c>
      <c r="C1186" s="12"/>
      <c r="D1186" s="100">
        <v>610000004393</v>
      </c>
      <c r="E1186" s="100">
        <f>VLOOKUP(D1186,'[1]Task list &amp; Maintenace plan'!$B:$G,6,FALSE)</f>
        <v>100827</v>
      </c>
      <c r="F1186" s="101" t="s">
        <v>1764</v>
      </c>
      <c r="G1186" s="178" t="s">
        <v>1763</v>
      </c>
      <c r="H1186" s="178" t="s">
        <v>1765</v>
      </c>
      <c r="I1186" s="179">
        <v>30</v>
      </c>
      <c r="J1186" s="179">
        <v>1</v>
      </c>
      <c r="K1186" s="722">
        <v>45</v>
      </c>
      <c r="L1186" s="722">
        <v>1</v>
      </c>
      <c r="M1186" s="722">
        <f>L1186*K1186</f>
        <v>45</v>
      </c>
      <c r="N1186" s="723" t="s">
        <v>34</v>
      </c>
    </row>
    <row r="1187" spans="1:14" x14ac:dyDescent="0.25">
      <c r="A1187" t="s">
        <v>180</v>
      </c>
      <c r="B1187" s="11" t="s">
        <v>1762</v>
      </c>
      <c r="C1187" s="12"/>
      <c r="D1187" s="123">
        <v>610000004393</v>
      </c>
      <c r="E1187" s="123">
        <f>VLOOKUP(D1187,'[1]Task list &amp; Maintenace plan'!$B:$G,6,FALSE)</f>
        <v>100827</v>
      </c>
      <c r="F1187" s="124" t="s">
        <v>1764</v>
      </c>
      <c r="G1187" s="180" t="s">
        <v>1766</v>
      </c>
      <c r="H1187" s="180" t="s">
        <v>1767</v>
      </c>
      <c r="I1187" s="181">
        <v>30</v>
      </c>
      <c r="J1187" s="181">
        <v>1</v>
      </c>
      <c r="K1187" s="717"/>
      <c r="L1187" s="717"/>
      <c r="M1187" s="717"/>
      <c r="N1187" s="720"/>
    </row>
    <row r="1188" spans="1:14" x14ac:dyDescent="0.25">
      <c r="A1188" t="s">
        <v>180</v>
      </c>
      <c r="B1188" s="11" t="s">
        <v>1762</v>
      </c>
      <c r="C1188" s="12"/>
      <c r="D1188" s="103">
        <v>610000004393</v>
      </c>
      <c r="E1188" s="103">
        <f>VLOOKUP(D1188,'[1]Task list &amp; Maintenace plan'!$B:$G,6,FALSE)</f>
        <v>100827</v>
      </c>
      <c r="F1188" s="85" t="s">
        <v>1764</v>
      </c>
      <c r="G1188" s="182" t="s">
        <v>1768</v>
      </c>
      <c r="H1188" s="182" t="s">
        <v>1769</v>
      </c>
      <c r="I1188" s="183">
        <v>30</v>
      </c>
      <c r="J1188" s="183">
        <v>1</v>
      </c>
      <c r="K1188" s="718"/>
      <c r="L1188" s="718"/>
      <c r="M1188" s="718"/>
      <c r="N1188" s="721"/>
    </row>
    <row r="1189" spans="1:14" x14ac:dyDescent="0.25">
      <c r="A1189" t="s">
        <v>180</v>
      </c>
      <c r="B1189" s="11" t="s">
        <v>1762</v>
      </c>
      <c r="C1189" s="12"/>
      <c r="D1189" s="123">
        <v>610000004394</v>
      </c>
      <c r="E1189" s="123">
        <f>VLOOKUP(D1189,'[1]Task list &amp; Maintenace plan'!$B:$G,6,FALSE)</f>
        <v>100828</v>
      </c>
      <c r="F1189" s="124" t="s">
        <v>1770</v>
      </c>
      <c r="G1189" s="180" t="s">
        <v>1763</v>
      </c>
      <c r="H1189" s="180" t="s">
        <v>1771</v>
      </c>
      <c r="I1189" s="181">
        <v>60</v>
      </c>
      <c r="J1189" s="181">
        <v>1</v>
      </c>
      <c r="K1189" s="716">
        <v>10</v>
      </c>
      <c r="L1189" s="716">
        <v>1</v>
      </c>
      <c r="M1189" s="716">
        <f>L1189*K1189</f>
        <v>10</v>
      </c>
      <c r="N1189" s="719" t="s">
        <v>20</v>
      </c>
    </row>
    <row r="1190" spans="1:14" x14ac:dyDescent="0.25">
      <c r="A1190" t="s">
        <v>180</v>
      </c>
      <c r="B1190" s="11" t="s">
        <v>1762</v>
      </c>
      <c r="C1190" s="12"/>
      <c r="D1190" s="17">
        <v>610000004394</v>
      </c>
      <c r="E1190" s="17">
        <f>VLOOKUP(D1190,'[1]Task list &amp; Maintenace plan'!$B:$G,6,FALSE)</f>
        <v>100828</v>
      </c>
      <c r="F1190" s="18" t="s">
        <v>1770</v>
      </c>
      <c r="G1190" s="19" t="s">
        <v>1766</v>
      </c>
      <c r="H1190" s="19" t="s">
        <v>1772</v>
      </c>
      <c r="I1190" s="18">
        <v>60</v>
      </c>
      <c r="J1190" s="18">
        <v>1</v>
      </c>
      <c r="K1190" s="717"/>
      <c r="L1190" s="717"/>
      <c r="M1190" s="717"/>
      <c r="N1190" s="720"/>
    </row>
    <row r="1191" spans="1:14" x14ac:dyDescent="0.25">
      <c r="A1191" t="s">
        <v>180</v>
      </c>
      <c r="B1191" s="11" t="s">
        <v>1762</v>
      </c>
      <c r="C1191" s="12"/>
      <c r="D1191" s="17">
        <v>610000004394</v>
      </c>
      <c r="E1191" s="17">
        <f>VLOOKUP(D1191,'[1]Task list &amp; Maintenace plan'!$B:$G,6,FALSE)</f>
        <v>100828</v>
      </c>
      <c r="F1191" s="18" t="s">
        <v>1770</v>
      </c>
      <c r="G1191" s="19" t="s">
        <v>1768</v>
      </c>
      <c r="H1191" s="19" t="s">
        <v>1774</v>
      </c>
      <c r="I1191" s="18">
        <v>60</v>
      </c>
      <c r="J1191" s="18">
        <v>1</v>
      </c>
      <c r="K1191" s="717"/>
      <c r="L1191" s="717"/>
      <c r="M1191" s="717"/>
      <c r="N1191" s="720"/>
    </row>
    <row r="1192" spans="1:14" x14ac:dyDescent="0.25">
      <c r="A1192" t="s">
        <v>180</v>
      </c>
      <c r="B1192" s="11" t="s">
        <v>1762</v>
      </c>
      <c r="C1192" s="12"/>
      <c r="D1192" s="123">
        <v>610000004394</v>
      </c>
      <c r="E1192" s="123">
        <f>VLOOKUP(D1192,'[1]Task list &amp; Maintenace plan'!$B:$G,6,FALSE)</f>
        <v>100828</v>
      </c>
      <c r="F1192" s="124" t="s">
        <v>1770</v>
      </c>
      <c r="G1192" s="180" t="s">
        <v>1763</v>
      </c>
      <c r="H1192" s="180" t="s">
        <v>1776</v>
      </c>
      <c r="I1192" s="181">
        <v>60</v>
      </c>
      <c r="J1192" s="181">
        <v>1</v>
      </c>
      <c r="K1192" s="717"/>
      <c r="L1192" s="717"/>
      <c r="M1192" s="717"/>
      <c r="N1192" s="720"/>
    </row>
    <row r="1193" spans="1:14" x14ac:dyDescent="0.25">
      <c r="A1193" t="s">
        <v>180</v>
      </c>
      <c r="B1193" s="11" t="s">
        <v>1762</v>
      </c>
      <c r="C1193" s="12"/>
      <c r="D1193" s="123">
        <v>610000004394</v>
      </c>
      <c r="E1193" s="123">
        <f>VLOOKUP(D1193,'[1]Task list &amp; Maintenace plan'!$B:$G,6,FALSE)</f>
        <v>100828</v>
      </c>
      <c r="F1193" s="124" t="s">
        <v>1770</v>
      </c>
      <c r="G1193" s="180" t="s">
        <v>1766</v>
      </c>
      <c r="H1193" s="180" t="s">
        <v>1778</v>
      </c>
      <c r="I1193" s="181">
        <v>60</v>
      </c>
      <c r="J1193" s="181">
        <v>1</v>
      </c>
      <c r="K1193" s="717"/>
      <c r="L1193" s="717"/>
      <c r="M1193" s="717"/>
      <c r="N1193" s="720"/>
    </row>
    <row r="1194" spans="1:14" x14ac:dyDescent="0.25">
      <c r="A1194" t="s">
        <v>180</v>
      </c>
      <c r="B1194" s="11" t="s">
        <v>1762</v>
      </c>
      <c r="C1194" s="12"/>
      <c r="D1194" s="103">
        <v>610000004394</v>
      </c>
      <c r="E1194" s="103">
        <f>VLOOKUP(D1194,'[1]Task list &amp; Maintenace plan'!$B:$G,6,FALSE)</f>
        <v>100828</v>
      </c>
      <c r="F1194" s="85" t="s">
        <v>1770</v>
      </c>
      <c r="G1194" s="182" t="s">
        <v>1768</v>
      </c>
      <c r="H1194" s="182" t="s">
        <v>1779</v>
      </c>
      <c r="I1194" s="183">
        <v>60</v>
      </c>
      <c r="J1194" s="183">
        <v>1</v>
      </c>
      <c r="K1194" s="718"/>
      <c r="L1194" s="718"/>
      <c r="M1194" s="718"/>
      <c r="N1194" s="721"/>
    </row>
    <row r="1195" spans="1:14" x14ac:dyDescent="0.25">
      <c r="A1195" t="s">
        <v>180</v>
      </c>
      <c r="B1195" s="11" t="s">
        <v>1762</v>
      </c>
      <c r="C1195" s="12"/>
      <c r="D1195" s="117">
        <v>610000004395</v>
      </c>
      <c r="E1195" s="117">
        <f>VLOOKUP(D1195,'[1]Task list &amp; Maintenace plan'!$B:$G,6,FALSE)</f>
        <v>100829</v>
      </c>
      <c r="F1195" s="118" t="s">
        <v>1780</v>
      </c>
      <c r="G1195" s="220" t="s">
        <v>1773</v>
      </c>
      <c r="H1195" s="220" t="s">
        <v>1781</v>
      </c>
      <c r="I1195" s="221">
        <v>90</v>
      </c>
      <c r="J1195" s="221"/>
      <c r="K1195" s="221">
        <v>3</v>
      </c>
      <c r="L1195" s="221">
        <v>1</v>
      </c>
      <c r="M1195" s="221">
        <f>L1195*K1195</f>
        <v>3</v>
      </c>
      <c r="N1195" s="294" t="s">
        <v>20</v>
      </c>
    </row>
    <row r="1196" spans="1:14" ht="15.75" thickBot="1" x14ac:dyDescent="0.3">
      <c r="A1196" t="s">
        <v>180</v>
      </c>
      <c r="B1196" s="11" t="s">
        <v>1762</v>
      </c>
      <c r="C1196" s="27"/>
      <c r="D1196" s="147">
        <v>610000004395</v>
      </c>
      <c r="E1196" s="147">
        <f>VLOOKUP(D1196,'[1]Task list &amp; Maintenace plan'!$B:$G,6,FALSE)</f>
        <v>100829</v>
      </c>
      <c r="F1196" s="148" t="s">
        <v>1780</v>
      </c>
      <c r="G1196" s="189" t="s">
        <v>1775</v>
      </c>
      <c r="H1196" s="189" t="s">
        <v>1782</v>
      </c>
      <c r="I1196" s="190">
        <v>90</v>
      </c>
      <c r="J1196" s="190"/>
      <c r="K1196" s="190">
        <v>3</v>
      </c>
      <c r="L1196" s="190">
        <v>1</v>
      </c>
      <c r="M1196" s="190">
        <f>L1196*K1196</f>
        <v>3</v>
      </c>
      <c r="N1196" s="295" t="s">
        <v>20</v>
      </c>
    </row>
    <row r="1197" spans="1:14" x14ac:dyDescent="0.25">
      <c r="A1197" t="s">
        <v>180</v>
      </c>
      <c r="B1197" s="11" t="s">
        <v>1783</v>
      </c>
      <c r="C1197" s="12"/>
      <c r="D1197" s="13">
        <v>610000004398</v>
      </c>
      <c r="E1197" s="13">
        <f>VLOOKUP(D1197,'[1]Task list &amp; Maintenace plan'!$B:$G,6,FALSE)</f>
        <v>100832</v>
      </c>
      <c r="F1197" s="101" t="s">
        <v>1785</v>
      </c>
      <c r="G1197" s="296" t="s">
        <v>1786</v>
      </c>
      <c r="H1197" s="178" t="s">
        <v>1787</v>
      </c>
      <c r="I1197" s="179">
        <v>60</v>
      </c>
      <c r="J1197" s="179"/>
      <c r="K1197" s="722">
        <v>20</v>
      </c>
      <c r="L1197" s="722">
        <v>1</v>
      </c>
      <c r="M1197" s="722">
        <f>L1197*K1197</f>
        <v>20</v>
      </c>
      <c r="N1197" s="723" t="s">
        <v>20</v>
      </c>
    </row>
    <row r="1198" spans="1:14" x14ac:dyDescent="0.25">
      <c r="A1198" t="s">
        <v>180</v>
      </c>
      <c r="B1198" s="11" t="s">
        <v>1783</v>
      </c>
      <c r="C1198" s="12"/>
      <c r="D1198" s="17">
        <v>610000004398</v>
      </c>
      <c r="E1198" s="17">
        <f>VLOOKUP(D1198,'[1]Task list &amp; Maintenace plan'!$B:$G,6,FALSE)</f>
        <v>100832</v>
      </c>
      <c r="F1198" s="124" t="s">
        <v>1785</v>
      </c>
      <c r="G1198" s="297" t="s">
        <v>1786</v>
      </c>
      <c r="H1198" s="180" t="s">
        <v>1789</v>
      </c>
      <c r="I1198" s="181">
        <v>60</v>
      </c>
      <c r="J1198" s="181"/>
      <c r="K1198" s="717"/>
      <c r="L1198" s="717"/>
      <c r="M1198" s="717"/>
      <c r="N1198" s="720"/>
    </row>
    <row r="1199" spans="1:14" x14ac:dyDescent="0.25">
      <c r="A1199" t="s">
        <v>180</v>
      </c>
      <c r="B1199" s="11" t="s">
        <v>1783</v>
      </c>
      <c r="C1199" s="12"/>
      <c r="D1199" s="298">
        <v>610000004398</v>
      </c>
      <c r="E1199" s="298">
        <f>VLOOKUP(D1199,'[1]Task list &amp; Maintenace plan'!$B:$G,6,FALSE)</f>
        <v>100832</v>
      </c>
      <c r="F1199" s="299" t="s">
        <v>1785</v>
      </c>
      <c r="G1199" s="300" t="s">
        <v>1786</v>
      </c>
      <c r="H1199" s="301" t="s">
        <v>1791</v>
      </c>
      <c r="I1199" s="302">
        <v>60</v>
      </c>
      <c r="J1199" s="302"/>
      <c r="K1199" s="717"/>
      <c r="L1199" s="717"/>
      <c r="M1199" s="717"/>
      <c r="N1199" s="720"/>
    </row>
    <row r="1200" spans="1:14" x14ac:dyDescent="0.25">
      <c r="A1200" t="s">
        <v>180</v>
      </c>
      <c r="B1200" s="11" t="s">
        <v>1783</v>
      </c>
      <c r="C1200" s="12"/>
      <c r="D1200" s="17">
        <v>610000004398</v>
      </c>
      <c r="E1200" s="298">
        <f>VLOOKUP(D1200,'[1]Task list &amp; Maintenace plan'!$B:$G,6,FALSE)</f>
        <v>100832</v>
      </c>
      <c r="F1200" s="18" t="s">
        <v>1785</v>
      </c>
      <c r="G1200" s="19" t="s">
        <v>1786</v>
      </c>
      <c r="H1200" s="19" t="s">
        <v>1793</v>
      </c>
      <c r="I1200" s="18">
        <v>60</v>
      </c>
      <c r="J1200" s="18"/>
      <c r="K1200" s="717"/>
      <c r="L1200" s="717"/>
      <c r="M1200" s="717"/>
      <c r="N1200" s="720"/>
    </row>
    <row r="1201" spans="1:14" x14ac:dyDescent="0.25">
      <c r="A1201" t="s">
        <v>180</v>
      </c>
      <c r="B1201" s="11" t="s">
        <v>1783</v>
      </c>
      <c r="C1201" s="12"/>
      <c r="D1201" s="17">
        <v>610000004398</v>
      </c>
      <c r="E1201" s="298">
        <f>VLOOKUP(D1201,'[1]Task list &amp; Maintenace plan'!$B:$G,6,FALSE)</f>
        <v>100832</v>
      </c>
      <c r="F1201" s="303" t="s">
        <v>1785</v>
      </c>
      <c r="G1201" s="19" t="s">
        <v>1786</v>
      </c>
      <c r="H1201" s="304" t="s">
        <v>1794</v>
      </c>
      <c r="I1201" s="18">
        <v>60</v>
      </c>
      <c r="J1201" s="18"/>
      <c r="K1201" s="717"/>
      <c r="L1201" s="717"/>
      <c r="M1201" s="717"/>
      <c r="N1201" s="720"/>
    </row>
    <row r="1202" spans="1:14" x14ac:dyDescent="0.25">
      <c r="A1202" t="s">
        <v>180</v>
      </c>
      <c r="B1202" s="11" t="s">
        <v>1783</v>
      </c>
      <c r="C1202" s="12"/>
      <c r="D1202" s="17">
        <v>610000004398</v>
      </c>
      <c r="E1202" s="298">
        <f>VLOOKUP(D1202,'[1]Task list &amp; Maintenace plan'!$B:$G,6,FALSE)</f>
        <v>100832</v>
      </c>
      <c r="F1202" s="303" t="s">
        <v>1785</v>
      </c>
      <c r="G1202" s="19" t="s">
        <v>1786</v>
      </c>
      <c r="H1202" s="304" t="s">
        <v>1795</v>
      </c>
      <c r="I1202" s="18">
        <v>60</v>
      </c>
      <c r="J1202" s="18"/>
      <c r="K1202" s="717"/>
      <c r="L1202" s="717"/>
      <c r="M1202" s="717"/>
      <c r="N1202" s="720"/>
    </row>
    <row r="1203" spans="1:14" x14ac:dyDescent="0.25">
      <c r="A1203" t="s">
        <v>180</v>
      </c>
      <c r="B1203" s="11" t="s">
        <v>1783</v>
      </c>
      <c r="C1203" s="12"/>
      <c r="D1203" s="17">
        <v>610000004398</v>
      </c>
      <c r="E1203" s="298">
        <f>VLOOKUP(D1203,'[1]Task list &amp; Maintenace plan'!$B:$G,6,FALSE)</f>
        <v>100832</v>
      </c>
      <c r="F1203" s="303" t="s">
        <v>1785</v>
      </c>
      <c r="G1203" s="19" t="s">
        <v>1786</v>
      </c>
      <c r="H1203" s="304" t="s">
        <v>1796</v>
      </c>
      <c r="I1203" s="18">
        <v>60</v>
      </c>
      <c r="J1203" s="18"/>
      <c r="K1203" s="717"/>
      <c r="L1203" s="717"/>
      <c r="M1203" s="717"/>
      <c r="N1203" s="720"/>
    </row>
    <row r="1204" spans="1:14" x14ac:dyDescent="0.25">
      <c r="A1204" t="s">
        <v>180</v>
      </c>
      <c r="B1204" s="11" t="s">
        <v>1783</v>
      </c>
      <c r="C1204" s="12"/>
      <c r="D1204" s="17">
        <v>610000004398</v>
      </c>
      <c r="E1204" s="298">
        <f>VLOOKUP(D1204,'[1]Task list &amp; Maintenace plan'!$B:$G,6,FALSE)</f>
        <v>100832</v>
      </c>
      <c r="F1204" s="303" t="s">
        <v>1785</v>
      </c>
      <c r="G1204" s="19" t="s">
        <v>1786</v>
      </c>
      <c r="H1204" s="304" t="s">
        <v>1797</v>
      </c>
      <c r="I1204" s="18">
        <v>60</v>
      </c>
      <c r="J1204" s="18"/>
      <c r="K1204" s="717"/>
      <c r="L1204" s="717"/>
      <c r="M1204" s="717"/>
      <c r="N1204" s="720"/>
    </row>
    <row r="1205" spans="1:14" x14ac:dyDescent="0.25">
      <c r="A1205" t="s">
        <v>180</v>
      </c>
      <c r="B1205" s="11" t="s">
        <v>1783</v>
      </c>
      <c r="C1205" s="12"/>
      <c r="D1205" s="17">
        <v>610000004398</v>
      </c>
      <c r="E1205" s="298">
        <f>VLOOKUP(D1205,'[1]Task list &amp; Maintenace plan'!$B:$G,6,FALSE)</f>
        <v>100832</v>
      </c>
      <c r="F1205" s="303" t="s">
        <v>1785</v>
      </c>
      <c r="G1205" s="19" t="s">
        <v>1786</v>
      </c>
      <c r="H1205" s="304" t="s">
        <v>1798</v>
      </c>
      <c r="I1205" s="18">
        <v>60</v>
      </c>
      <c r="J1205" s="18"/>
      <c r="K1205" s="717"/>
      <c r="L1205" s="717"/>
      <c r="M1205" s="717"/>
      <c r="N1205" s="720"/>
    </row>
    <row r="1206" spans="1:14" x14ac:dyDescent="0.25">
      <c r="A1206" t="s">
        <v>180</v>
      </c>
      <c r="B1206" s="11" t="s">
        <v>1783</v>
      </c>
      <c r="C1206" s="12"/>
      <c r="D1206" s="100">
        <v>610000004398</v>
      </c>
      <c r="E1206" s="298">
        <f>VLOOKUP(D1206,'[1]Task list &amp; Maintenace plan'!$B:$G,6,FALSE)</f>
        <v>100832</v>
      </c>
      <c r="F1206" s="101" t="s">
        <v>1785</v>
      </c>
      <c r="G1206" s="178" t="s">
        <v>1784</v>
      </c>
      <c r="H1206" s="178" t="s">
        <v>1799</v>
      </c>
      <c r="I1206" s="179">
        <v>60</v>
      </c>
      <c r="J1206" s="179"/>
      <c r="K1206" s="717"/>
      <c r="L1206" s="717"/>
      <c r="M1206" s="717"/>
      <c r="N1206" s="720"/>
    </row>
    <row r="1207" spans="1:14" x14ac:dyDescent="0.25">
      <c r="A1207" t="s">
        <v>180</v>
      </c>
      <c r="B1207" s="11" t="s">
        <v>1783</v>
      </c>
      <c r="C1207" s="12"/>
      <c r="D1207" s="123">
        <v>610000004398</v>
      </c>
      <c r="E1207" s="298">
        <f>VLOOKUP(D1207,'[1]Task list &amp; Maintenace plan'!$B:$G,6,FALSE)</f>
        <v>100832</v>
      </c>
      <c r="F1207" s="124" t="s">
        <v>1785</v>
      </c>
      <c r="G1207" s="180" t="s">
        <v>1788</v>
      </c>
      <c r="H1207" s="180" t="s">
        <v>1800</v>
      </c>
      <c r="I1207" s="181">
        <v>60</v>
      </c>
      <c r="J1207" s="181"/>
      <c r="K1207" s="717"/>
      <c r="L1207" s="717"/>
      <c r="M1207" s="717"/>
      <c r="N1207" s="720"/>
    </row>
    <row r="1208" spans="1:14" x14ac:dyDescent="0.25">
      <c r="A1208" t="s">
        <v>180</v>
      </c>
      <c r="B1208" s="11" t="s">
        <v>1783</v>
      </c>
      <c r="C1208" s="12"/>
      <c r="D1208" s="123">
        <v>610000004398</v>
      </c>
      <c r="E1208" s="298">
        <f>VLOOKUP(D1208,'[1]Task list &amp; Maintenace plan'!$B:$G,6,FALSE)</f>
        <v>100832</v>
      </c>
      <c r="F1208" s="124" t="s">
        <v>1785</v>
      </c>
      <c r="G1208" s="180" t="s">
        <v>1790</v>
      </c>
      <c r="H1208" s="180" t="s">
        <v>1801</v>
      </c>
      <c r="I1208" s="181">
        <v>60</v>
      </c>
      <c r="J1208" s="181"/>
      <c r="K1208" s="717"/>
      <c r="L1208" s="717"/>
      <c r="M1208" s="717"/>
      <c r="N1208" s="720"/>
    </row>
    <row r="1209" spans="1:14" x14ac:dyDescent="0.25">
      <c r="A1209" t="s">
        <v>180</v>
      </c>
      <c r="B1209" s="11" t="s">
        <v>1783</v>
      </c>
      <c r="C1209" s="12"/>
      <c r="D1209" s="123">
        <v>610000004398</v>
      </c>
      <c r="E1209" s="298">
        <f>VLOOKUP(D1209,'[1]Task list &amp; Maintenace plan'!$B:$G,6,FALSE)</f>
        <v>100832</v>
      </c>
      <c r="F1209" s="124" t="s">
        <v>1785</v>
      </c>
      <c r="G1209" s="180" t="s">
        <v>1792</v>
      </c>
      <c r="H1209" s="180" t="s">
        <v>1802</v>
      </c>
      <c r="I1209" s="181">
        <v>60</v>
      </c>
      <c r="J1209" s="181"/>
      <c r="K1209" s="717"/>
      <c r="L1209" s="717"/>
      <c r="M1209" s="717"/>
      <c r="N1209" s="720"/>
    </row>
    <row r="1210" spans="1:14" x14ac:dyDescent="0.25">
      <c r="A1210" t="s">
        <v>180</v>
      </c>
      <c r="B1210" s="11" t="s">
        <v>1783</v>
      </c>
      <c r="C1210" s="12"/>
      <c r="D1210" s="123">
        <v>610000004398</v>
      </c>
      <c r="E1210" s="298">
        <f>VLOOKUP(D1210,'[1]Task list &amp; Maintenace plan'!$B:$G,6,FALSE)</f>
        <v>100832</v>
      </c>
      <c r="F1210" s="124" t="s">
        <v>1785</v>
      </c>
      <c r="G1210" s="180" t="s">
        <v>1786</v>
      </c>
      <c r="H1210" s="180" t="s">
        <v>1803</v>
      </c>
      <c r="I1210" s="181">
        <v>60</v>
      </c>
      <c r="J1210" s="181"/>
      <c r="K1210" s="717"/>
      <c r="L1210" s="717"/>
      <c r="M1210" s="717"/>
      <c r="N1210" s="720"/>
    </row>
    <row r="1211" spans="1:14" x14ac:dyDescent="0.25">
      <c r="A1211" t="s">
        <v>180</v>
      </c>
      <c r="B1211" s="11" t="s">
        <v>1783</v>
      </c>
      <c r="C1211" s="12"/>
      <c r="D1211" s="123">
        <v>610000004398</v>
      </c>
      <c r="E1211" s="298">
        <f>VLOOKUP(D1211,'[1]Task list &amp; Maintenace plan'!$B:$G,6,FALSE)</f>
        <v>100832</v>
      </c>
      <c r="F1211" s="124" t="s">
        <v>1785</v>
      </c>
      <c r="G1211" s="180" t="s">
        <v>1786</v>
      </c>
      <c r="H1211" s="180" t="s">
        <v>1804</v>
      </c>
      <c r="I1211" s="181">
        <v>60</v>
      </c>
      <c r="J1211" s="181"/>
      <c r="K1211" s="717"/>
      <c r="L1211" s="717"/>
      <c r="M1211" s="717"/>
      <c r="N1211" s="720"/>
    </row>
    <row r="1212" spans="1:14" x14ac:dyDescent="0.25">
      <c r="A1212" t="s">
        <v>180</v>
      </c>
      <c r="B1212" s="11" t="s">
        <v>1783</v>
      </c>
      <c r="C1212" s="12"/>
      <c r="D1212" s="123">
        <v>610000004398</v>
      </c>
      <c r="E1212" s="298">
        <f>VLOOKUP(D1212,'[1]Task list &amp; Maintenace plan'!$B:$G,6,FALSE)</f>
        <v>100832</v>
      </c>
      <c r="F1212" s="124" t="s">
        <v>1785</v>
      </c>
      <c r="G1212" s="180" t="s">
        <v>1786</v>
      </c>
      <c r="H1212" s="180" t="s">
        <v>1805</v>
      </c>
      <c r="I1212" s="181">
        <v>60</v>
      </c>
      <c r="J1212" s="181"/>
      <c r="K1212" s="717"/>
      <c r="L1212" s="717"/>
      <c r="M1212" s="717"/>
      <c r="N1212" s="720"/>
    </row>
    <row r="1213" spans="1:14" x14ac:dyDescent="0.25">
      <c r="A1213" t="s">
        <v>180</v>
      </c>
      <c r="B1213" s="11" t="s">
        <v>1783</v>
      </c>
      <c r="C1213" s="12"/>
      <c r="D1213" s="123">
        <v>610000004398</v>
      </c>
      <c r="E1213" s="298">
        <f>VLOOKUP(D1213,'[1]Task list &amp; Maintenace plan'!$B:$G,6,FALSE)</f>
        <v>100832</v>
      </c>
      <c r="F1213" s="124" t="s">
        <v>1785</v>
      </c>
      <c r="G1213" s="180" t="s">
        <v>1786</v>
      </c>
      <c r="H1213" s="180" t="s">
        <v>1806</v>
      </c>
      <c r="I1213" s="181">
        <v>60</v>
      </c>
      <c r="J1213" s="181"/>
      <c r="K1213" s="717"/>
      <c r="L1213" s="717"/>
      <c r="M1213" s="717"/>
      <c r="N1213" s="720"/>
    </row>
    <row r="1214" spans="1:14" x14ac:dyDescent="0.25">
      <c r="A1214" t="s">
        <v>180</v>
      </c>
      <c r="B1214" s="11" t="s">
        <v>1783</v>
      </c>
      <c r="C1214" s="12"/>
      <c r="D1214" s="123">
        <v>610000004398</v>
      </c>
      <c r="E1214" s="123">
        <f>VLOOKUP(D1214,'[1]Task list &amp; Maintenace plan'!$B:$G,6,FALSE)</f>
        <v>100832</v>
      </c>
      <c r="F1214" s="124" t="s">
        <v>1785</v>
      </c>
      <c r="G1214" s="180" t="s">
        <v>1786</v>
      </c>
      <c r="H1214" s="180" t="s">
        <v>1807</v>
      </c>
      <c r="I1214" s="181">
        <v>60</v>
      </c>
      <c r="J1214" s="181"/>
      <c r="K1214" s="717"/>
      <c r="L1214" s="717"/>
      <c r="M1214" s="717"/>
      <c r="N1214" s="720"/>
    </row>
    <row r="1215" spans="1:14" x14ac:dyDescent="0.25">
      <c r="A1215" t="s">
        <v>180</v>
      </c>
      <c r="B1215" s="11" t="s">
        <v>1783</v>
      </c>
      <c r="C1215" s="12"/>
      <c r="D1215" s="17">
        <v>610000004398</v>
      </c>
      <c r="E1215" s="17">
        <f>VLOOKUP(D1215,'[1]Task list &amp; Maintenace plan'!$B:$G,6,FALSE)</f>
        <v>100832</v>
      </c>
      <c r="F1215" s="18" t="s">
        <v>1785</v>
      </c>
      <c r="G1215" s="19" t="s">
        <v>1786</v>
      </c>
      <c r="H1215" s="19" t="s">
        <v>1808</v>
      </c>
      <c r="I1215" s="18">
        <v>60</v>
      </c>
      <c r="J1215" s="18"/>
      <c r="K1215" s="717"/>
      <c r="L1215" s="717"/>
      <c r="M1215" s="717"/>
      <c r="N1215" s="720"/>
    </row>
    <row r="1216" spans="1:14" x14ac:dyDescent="0.25">
      <c r="A1216" t="s">
        <v>180</v>
      </c>
      <c r="B1216" s="11" t="s">
        <v>1783</v>
      </c>
      <c r="C1216" s="12"/>
      <c r="D1216" s="17">
        <v>610000004398</v>
      </c>
      <c r="E1216" s="17">
        <f>VLOOKUP(D1216,'[1]Task list &amp; Maintenace plan'!$B:$G,6,FALSE)</f>
        <v>100832</v>
      </c>
      <c r="F1216" s="18" t="s">
        <v>1785</v>
      </c>
      <c r="G1216" s="19" t="s">
        <v>1786</v>
      </c>
      <c r="H1216" s="19" t="s">
        <v>1809</v>
      </c>
      <c r="I1216" s="18">
        <v>60</v>
      </c>
      <c r="J1216" s="18"/>
      <c r="K1216" s="717"/>
      <c r="L1216" s="717"/>
      <c r="M1216" s="717"/>
      <c r="N1216" s="720"/>
    </row>
    <row r="1217" spans="1:14" x14ac:dyDescent="0.25">
      <c r="A1217" t="s">
        <v>180</v>
      </c>
      <c r="B1217" s="11" t="s">
        <v>1783</v>
      </c>
      <c r="C1217" s="12"/>
      <c r="D1217" s="17">
        <v>610000004398</v>
      </c>
      <c r="E1217" s="17">
        <f>VLOOKUP(D1217,'[1]Task list &amp; Maintenace plan'!$B:$G,6,FALSE)</f>
        <v>100832</v>
      </c>
      <c r="F1217" s="18" t="s">
        <v>1785</v>
      </c>
      <c r="G1217" s="19" t="s">
        <v>1786</v>
      </c>
      <c r="H1217" s="19" t="s">
        <v>1810</v>
      </c>
      <c r="I1217" s="18">
        <v>60</v>
      </c>
      <c r="J1217" s="18"/>
      <c r="K1217" s="717"/>
      <c r="L1217" s="717"/>
      <c r="M1217" s="717"/>
      <c r="N1217" s="720"/>
    </row>
    <row r="1218" spans="1:14" x14ac:dyDescent="0.25">
      <c r="A1218" t="s">
        <v>180</v>
      </c>
      <c r="B1218" s="11" t="s">
        <v>1783</v>
      </c>
      <c r="C1218" s="12"/>
      <c r="D1218" s="17">
        <v>610000004398</v>
      </c>
      <c r="E1218" s="17">
        <f>VLOOKUP(D1218,'[1]Task list &amp; Maintenace plan'!$B:$G,6,FALSE)</f>
        <v>100832</v>
      </c>
      <c r="F1218" s="18" t="s">
        <v>1785</v>
      </c>
      <c r="G1218" s="19" t="s">
        <v>1786</v>
      </c>
      <c r="H1218" s="19" t="s">
        <v>1811</v>
      </c>
      <c r="I1218" s="18">
        <v>60</v>
      </c>
      <c r="J1218" s="18"/>
      <c r="K1218" s="717"/>
      <c r="L1218" s="717"/>
      <c r="M1218" s="717"/>
      <c r="N1218" s="720"/>
    </row>
    <row r="1219" spans="1:14" x14ac:dyDescent="0.25">
      <c r="A1219" t="s">
        <v>180</v>
      </c>
      <c r="B1219" s="11" t="s">
        <v>1783</v>
      </c>
      <c r="C1219" s="12"/>
      <c r="D1219" s="17">
        <v>610000004398</v>
      </c>
      <c r="E1219" s="17">
        <f>VLOOKUP(D1219,'[1]Task list &amp; Maintenace plan'!$B:$G,6,FALSE)</f>
        <v>100832</v>
      </c>
      <c r="F1219" s="18" t="s">
        <v>1785</v>
      </c>
      <c r="G1219" s="19" t="s">
        <v>1786</v>
      </c>
      <c r="H1219" s="19" t="s">
        <v>1812</v>
      </c>
      <c r="I1219" s="18">
        <v>60</v>
      </c>
      <c r="J1219" s="18"/>
      <c r="K1219" s="717"/>
      <c r="L1219" s="717"/>
      <c r="M1219" s="717"/>
      <c r="N1219" s="720"/>
    </row>
    <row r="1220" spans="1:14" x14ac:dyDescent="0.25">
      <c r="A1220" t="s">
        <v>180</v>
      </c>
      <c r="B1220" s="11" t="s">
        <v>1783</v>
      </c>
      <c r="C1220" s="12"/>
      <c r="D1220" s="22">
        <v>610000004398</v>
      </c>
      <c r="E1220" s="22">
        <f>VLOOKUP(D1220,'[1]Task list &amp; Maintenace plan'!$B:$G,6,FALSE)</f>
        <v>100832</v>
      </c>
      <c r="F1220" s="23" t="s">
        <v>1785</v>
      </c>
      <c r="G1220" s="24" t="s">
        <v>1786</v>
      </c>
      <c r="H1220" s="24" t="s">
        <v>1813</v>
      </c>
      <c r="I1220" s="23">
        <v>60</v>
      </c>
      <c r="J1220" s="23"/>
      <c r="K1220" s="718"/>
      <c r="L1220" s="718"/>
      <c r="M1220" s="718"/>
      <c r="N1220" s="721"/>
    </row>
    <row r="1221" spans="1:14" x14ac:dyDescent="0.25">
      <c r="A1221" t="s">
        <v>180</v>
      </c>
      <c r="B1221" s="11" t="s">
        <v>1783</v>
      </c>
      <c r="C1221" s="12"/>
      <c r="D1221" s="6">
        <v>610000004399</v>
      </c>
      <c r="E1221" s="6">
        <f>VLOOKUP(D1221,'[1]Task list &amp; Maintenace plan'!$B:$G,6,FALSE)</f>
        <v>100833</v>
      </c>
      <c r="F1221" s="7" t="s">
        <v>1814</v>
      </c>
      <c r="G1221" s="8" t="s">
        <v>1786</v>
      </c>
      <c r="H1221" s="158" t="s">
        <v>1815</v>
      </c>
      <c r="I1221" s="7">
        <v>30</v>
      </c>
      <c r="J1221" s="7">
        <v>1</v>
      </c>
      <c r="K1221" s="7">
        <v>5</v>
      </c>
      <c r="L1221" s="7">
        <v>1</v>
      </c>
      <c r="M1221" s="7">
        <f>L1221*K1221</f>
        <v>5</v>
      </c>
      <c r="N1221" s="10" t="s">
        <v>468</v>
      </c>
    </row>
    <row r="1222" spans="1:14" x14ac:dyDescent="0.25">
      <c r="A1222" t="s">
        <v>180</v>
      </c>
      <c r="B1222" s="11" t="s">
        <v>1783</v>
      </c>
      <c r="C1222" s="12"/>
      <c r="D1222" s="100">
        <v>610000004400</v>
      </c>
      <c r="E1222" s="100">
        <f>VLOOKUP(D1222,'[1]Task list &amp; Maintenace plan'!$B:$G,6,FALSE)</f>
        <v>100834</v>
      </c>
      <c r="F1222" s="101" t="s">
        <v>1816</v>
      </c>
      <c r="G1222" s="296" t="s">
        <v>1786</v>
      </c>
      <c r="H1222" s="178" t="s">
        <v>1817</v>
      </c>
      <c r="I1222" s="179">
        <v>30</v>
      </c>
      <c r="J1222" s="179">
        <v>1</v>
      </c>
      <c r="K1222" s="716">
        <v>60</v>
      </c>
      <c r="L1222" s="716">
        <v>1</v>
      </c>
      <c r="M1222" s="716">
        <f>L1222*K1222</f>
        <v>60</v>
      </c>
      <c r="N1222" s="719" t="s">
        <v>34</v>
      </c>
    </row>
    <row r="1223" spans="1:14" x14ac:dyDescent="0.25">
      <c r="A1223" t="s">
        <v>180</v>
      </c>
      <c r="B1223" s="11" t="s">
        <v>1783</v>
      </c>
      <c r="C1223" s="12"/>
      <c r="D1223" s="123">
        <v>610000004400</v>
      </c>
      <c r="E1223" s="123">
        <f>VLOOKUP(D1223,'[1]Task list &amp; Maintenace plan'!$B:$G,6,FALSE)</f>
        <v>100834</v>
      </c>
      <c r="F1223" s="124" t="s">
        <v>1816</v>
      </c>
      <c r="G1223" s="297" t="s">
        <v>1786</v>
      </c>
      <c r="H1223" s="180" t="s">
        <v>1818</v>
      </c>
      <c r="I1223" s="181">
        <v>30</v>
      </c>
      <c r="J1223" s="181">
        <v>1</v>
      </c>
      <c r="K1223" s="717"/>
      <c r="L1223" s="717"/>
      <c r="M1223" s="717"/>
      <c r="N1223" s="720"/>
    </row>
    <row r="1224" spans="1:14" x14ac:dyDescent="0.25">
      <c r="A1224" t="s">
        <v>180</v>
      </c>
      <c r="B1224" s="11" t="s">
        <v>1783</v>
      </c>
      <c r="C1224" s="12"/>
      <c r="D1224" s="123">
        <v>610000004400</v>
      </c>
      <c r="E1224" s="123">
        <f>VLOOKUP(D1224,'[1]Task list &amp; Maintenace plan'!$B:$G,6,FALSE)</f>
        <v>100834</v>
      </c>
      <c r="F1224" s="124" t="s">
        <v>1816</v>
      </c>
      <c r="G1224" s="297" t="s">
        <v>1786</v>
      </c>
      <c r="H1224" s="180" t="s">
        <v>1819</v>
      </c>
      <c r="I1224" s="181">
        <v>30</v>
      </c>
      <c r="J1224" s="181">
        <v>1</v>
      </c>
      <c r="K1224" s="717"/>
      <c r="L1224" s="717"/>
      <c r="M1224" s="717"/>
      <c r="N1224" s="720"/>
    </row>
    <row r="1225" spans="1:14" x14ac:dyDescent="0.25">
      <c r="A1225" t="s">
        <v>180</v>
      </c>
      <c r="B1225" s="11" t="s">
        <v>1783</v>
      </c>
      <c r="C1225" s="12"/>
      <c r="D1225" s="123">
        <v>610000004400</v>
      </c>
      <c r="E1225" s="123">
        <f>VLOOKUP(D1225,'[1]Task list &amp; Maintenace plan'!$B:$G,6,FALSE)</f>
        <v>100834</v>
      </c>
      <c r="F1225" s="124" t="s">
        <v>1816</v>
      </c>
      <c r="G1225" s="297" t="s">
        <v>1786</v>
      </c>
      <c r="H1225" s="180" t="s">
        <v>1820</v>
      </c>
      <c r="I1225" s="181">
        <v>30</v>
      </c>
      <c r="J1225" s="181">
        <v>1</v>
      </c>
      <c r="K1225" s="731"/>
      <c r="L1225" s="731"/>
      <c r="M1225" s="731"/>
      <c r="N1225" s="732"/>
    </row>
    <row r="1226" spans="1:14" x14ac:dyDescent="0.25">
      <c r="A1226" t="s">
        <v>180</v>
      </c>
      <c r="B1226" s="11" t="s">
        <v>1783</v>
      </c>
      <c r="C1226" s="12"/>
      <c r="D1226" s="103">
        <v>610000004401</v>
      </c>
      <c r="E1226" s="103">
        <f>VLOOKUP(D1226,'[1]Task list &amp; Maintenace plan'!$B:$G,6,FALSE)</f>
        <v>100835</v>
      </c>
      <c r="F1226" s="85" t="s">
        <v>1821</v>
      </c>
      <c r="G1226" s="182" t="s">
        <v>1784</v>
      </c>
      <c r="H1226" s="182" t="s">
        <v>1822</v>
      </c>
      <c r="I1226" s="183">
        <v>30</v>
      </c>
      <c r="J1226" s="183"/>
      <c r="K1226" s="183">
        <v>2</v>
      </c>
      <c r="L1226" s="183">
        <v>1</v>
      </c>
      <c r="M1226" s="183">
        <f>L1226*K1226</f>
        <v>2</v>
      </c>
      <c r="N1226" s="305" t="s">
        <v>20</v>
      </c>
    </row>
    <row r="1227" spans="1:14" x14ac:dyDescent="0.25">
      <c r="A1227" t="s">
        <v>180</v>
      </c>
      <c r="B1227" s="11" t="s">
        <v>1783</v>
      </c>
      <c r="C1227" s="12"/>
      <c r="D1227" s="100">
        <v>610000004402</v>
      </c>
      <c r="E1227" s="100">
        <f>VLOOKUP(D1227,'[1]Task list &amp; Maintenace plan'!$B:$G,6,FALSE)</f>
        <v>100836</v>
      </c>
      <c r="F1227" s="101" t="s">
        <v>1823</v>
      </c>
      <c r="G1227" s="178" t="s">
        <v>1786</v>
      </c>
      <c r="H1227" s="178" t="s">
        <v>1824</v>
      </c>
      <c r="I1227" s="179">
        <v>90</v>
      </c>
      <c r="J1227" s="179">
        <v>1</v>
      </c>
      <c r="K1227" s="716">
        <v>45</v>
      </c>
      <c r="L1227" s="716">
        <v>1</v>
      </c>
      <c r="M1227" s="716">
        <f>L1227*K1227</f>
        <v>45</v>
      </c>
      <c r="N1227" s="719" t="s">
        <v>34</v>
      </c>
    </row>
    <row r="1228" spans="1:14" x14ac:dyDescent="0.25">
      <c r="A1228" t="s">
        <v>180</v>
      </c>
      <c r="B1228" s="11" t="s">
        <v>1783</v>
      </c>
      <c r="C1228" s="12"/>
      <c r="D1228" s="123">
        <v>610000004402</v>
      </c>
      <c r="E1228" s="123">
        <f>VLOOKUP(D1228,'[1]Task list &amp; Maintenace plan'!$B:$G,6,FALSE)</f>
        <v>100836</v>
      </c>
      <c r="F1228" s="124" t="s">
        <v>1823</v>
      </c>
      <c r="G1228" s="180" t="s">
        <v>1786</v>
      </c>
      <c r="H1228" s="180" t="s">
        <v>1825</v>
      </c>
      <c r="I1228" s="181">
        <v>90</v>
      </c>
      <c r="J1228" s="181">
        <v>1</v>
      </c>
      <c r="K1228" s="717"/>
      <c r="L1228" s="717"/>
      <c r="M1228" s="717"/>
      <c r="N1228" s="720"/>
    </row>
    <row r="1229" spans="1:14" x14ac:dyDescent="0.25">
      <c r="A1229" t="s">
        <v>180</v>
      </c>
      <c r="B1229" s="11" t="s">
        <v>1783</v>
      </c>
      <c r="C1229" s="12"/>
      <c r="D1229" s="123">
        <v>610000004402</v>
      </c>
      <c r="E1229" s="123">
        <f>VLOOKUP(D1229,'[1]Task list &amp; Maintenace plan'!$B:$G,6,FALSE)</f>
        <v>100836</v>
      </c>
      <c r="F1229" s="124" t="s">
        <v>1823</v>
      </c>
      <c r="G1229" s="180" t="s">
        <v>1786</v>
      </c>
      <c r="H1229" s="180" t="s">
        <v>1826</v>
      </c>
      <c r="I1229" s="181">
        <v>90</v>
      </c>
      <c r="J1229" s="181">
        <v>1</v>
      </c>
      <c r="K1229" s="717"/>
      <c r="L1229" s="717"/>
      <c r="M1229" s="717"/>
      <c r="N1229" s="720"/>
    </row>
    <row r="1230" spans="1:14" x14ac:dyDescent="0.25">
      <c r="A1230" t="s">
        <v>180</v>
      </c>
      <c r="B1230" s="11" t="s">
        <v>1783</v>
      </c>
      <c r="C1230" s="12"/>
      <c r="D1230" s="103">
        <v>610000004402</v>
      </c>
      <c r="E1230" s="103">
        <f>VLOOKUP(D1230,'[1]Task list &amp; Maintenace plan'!$B:$G,6,FALSE)</f>
        <v>100836</v>
      </c>
      <c r="F1230" s="85" t="s">
        <v>1823</v>
      </c>
      <c r="G1230" s="182" t="s">
        <v>1786</v>
      </c>
      <c r="H1230" s="182" t="s">
        <v>1827</v>
      </c>
      <c r="I1230" s="183">
        <v>90</v>
      </c>
      <c r="J1230" s="183">
        <v>1</v>
      </c>
      <c r="K1230" s="718"/>
      <c r="L1230" s="718"/>
      <c r="M1230" s="718"/>
      <c r="N1230" s="721"/>
    </row>
    <row r="1231" spans="1:14" x14ac:dyDescent="0.25">
      <c r="A1231" t="s">
        <v>180</v>
      </c>
      <c r="B1231" s="11" t="s">
        <v>1783</v>
      </c>
      <c r="C1231" s="12"/>
      <c r="D1231" s="100">
        <v>610000004404</v>
      </c>
      <c r="E1231" s="100">
        <f>VLOOKUP(D1231,'[1]Task list &amp; Maintenace plan'!$B:$G,6,FALSE)</f>
        <v>100838</v>
      </c>
      <c r="F1231" s="101" t="s">
        <v>1828</v>
      </c>
      <c r="G1231" s="296" t="s">
        <v>1784</v>
      </c>
      <c r="H1231" s="178" t="s">
        <v>1829</v>
      </c>
      <c r="I1231" s="179">
        <v>60</v>
      </c>
      <c r="J1231" s="179"/>
      <c r="K1231" s="716">
        <v>60</v>
      </c>
      <c r="L1231" s="716">
        <v>1</v>
      </c>
      <c r="M1231" s="716">
        <f>L1231*K1231</f>
        <v>60</v>
      </c>
      <c r="N1231" s="719" t="s">
        <v>20</v>
      </c>
    </row>
    <row r="1232" spans="1:14" x14ac:dyDescent="0.25">
      <c r="A1232" t="s">
        <v>180</v>
      </c>
      <c r="B1232" s="11" t="s">
        <v>1783</v>
      </c>
      <c r="C1232" s="12"/>
      <c r="D1232" s="123">
        <v>610000004404</v>
      </c>
      <c r="E1232" s="123">
        <f>VLOOKUP(D1232,'[1]Task list &amp; Maintenace plan'!$B:$G,6,FALSE)</f>
        <v>100838</v>
      </c>
      <c r="F1232" s="124" t="s">
        <v>1828</v>
      </c>
      <c r="G1232" s="297" t="s">
        <v>1784</v>
      </c>
      <c r="H1232" s="180" t="s">
        <v>1830</v>
      </c>
      <c r="I1232" s="181">
        <v>60</v>
      </c>
      <c r="J1232" s="181"/>
      <c r="K1232" s="717"/>
      <c r="L1232" s="717"/>
      <c r="M1232" s="717"/>
      <c r="N1232" s="720"/>
    </row>
    <row r="1233" spans="1:14" x14ac:dyDescent="0.25">
      <c r="A1233" t="s">
        <v>180</v>
      </c>
      <c r="B1233" s="11" t="s">
        <v>1783</v>
      </c>
      <c r="C1233" s="12"/>
      <c r="D1233" s="123">
        <v>610000004404</v>
      </c>
      <c r="E1233" s="123">
        <f>VLOOKUP(D1233,'[1]Task list &amp; Maintenace plan'!$B:$G,6,FALSE)</f>
        <v>100838</v>
      </c>
      <c r="F1233" s="124" t="s">
        <v>1828</v>
      </c>
      <c r="G1233" s="297" t="s">
        <v>1788</v>
      </c>
      <c r="H1233" s="180" t="s">
        <v>1831</v>
      </c>
      <c r="I1233" s="181">
        <v>60</v>
      </c>
      <c r="J1233" s="181"/>
      <c r="K1233" s="717"/>
      <c r="L1233" s="717"/>
      <c r="M1233" s="717"/>
      <c r="N1233" s="720"/>
    </row>
    <row r="1234" spans="1:14" x14ac:dyDescent="0.25">
      <c r="A1234" t="s">
        <v>180</v>
      </c>
      <c r="B1234" s="11" t="s">
        <v>1783</v>
      </c>
      <c r="C1234" s="12"/>
      <c r="D1234" s="123">
        <v>610000004404</v>
      </c>
      <c r="E1234" s="123">
        <f>VLOOKUP(D1234,'[1]Task list &amp; Maintenace plan'!$B:$G,6,FALSE)</f>
        <v>100838</v>
      </c>
      <c r="F1234" s="124" t="s">
        <v>1828</v>
      </c>
      <c r="G1234" s="297" t="s">
        <v>1790</v>
      </c>
      <c r="H1234" s="180" t="s">
        <v>1832</v>
      </c>
      <c r="I1234" s="181">
        <v>60</v>
      </c>
      <c r="J1234" s="181"/>
      <c r="K1234" s="717"/>
      <c r="L1234" s="717"/>
      <c r="M1234" s="717"/>
      <c r="N1234" s="720"/>
    </row>
    <row r="1235" spans="1:14" x14ac:dyDescent="0.25">
      <c r="A1235" t="s">
        <v>180</v>
      </c>
      <c r="B1235" s="11" t="s">
        <v>1783</v>
      </c>
      <c r="C1235" s="12"/>
      <c r="D1235" s="123">
        <v>610000004404</v>
      </c>
      <c r="E1235" s="123">
        <f>VLOOKUP(D1235,'[1]Task list &amp; Maintenace plan'!$B:$G,6,FALSE)</f>
        <v>100838</v>
      </c>
      <c r="F1235" s="124" t="s">
        <v>1828</v>
      </c>
      <c r="G1235" s="297" t="s">
        <v>1792</v>
      </c>
      <c r="H1235" s="180" t="s">
        <v>1833</v>
      </c>
      <c r="I1235" s="181">
        <v>60</v>
      </c>
      <c r="J1235" s="181"/>
      <c r="K1235" s="717"/>
      <c r="L1235" s="717"/>
      <c r="M1235" s="717"/>
      <c r="N1235" s="720"/>
    </row>
    <row r="1236" spans="1:14" x14ac:dyDescent="0.25">
      <c r="A1236" t="s">
        <v>180</v>
      </c>
      <c r="B1236" s="11" t="s">
        <v>1783</v>
      </c>
      <c r="C1236" s="12"/>
      <c r="D1236" s="123">
        <v>610000004404</v>
      </c>
      <c r="E1236" s="123">
        <f>VLOOKUP(D1236,'[1]Task list &amp; Maintenace plan'!$B:$G,6,FALSE)</f>
        <v>100838</v>
      </c>
      <c r="F1236" s="124" t="s">
        <v>1828</v>
      </c>
      <c r="G1236" s="297" t="s">
        <v>1786</v>
      </c>
      <c r="H1236" s="180" t="s">
        <v>1834</v>
      </c>
      <c r="I1236" s="181">
        <v>60</v>
      </c>
      <c r="J1236" s="181"/>
      <c r="K1236" s="717"/>
      <c r="L1236" s="717"/>
      <c r="M1236" s="717"/>
      <c r="N1236" s="720"/>
    </row>
    <row r="1237" spans="1:14" x14ac:dyDescent="0.25">
      <c r="A1237" t="s">
        <v>180</v>
      </c>
      <c r="B1237" s="11" t="s">
        <v>1783</v>
      </c>
      <c r="C1237" s="12"/>
      <c r="D1237" s="123">
        <v>610000004404</v>
      </c>
      <c r="E1237" s="123">
        <f>VLOOKUP(D1237,'[1]Task list &amp; Maintenace plan'!$B:$G,6,FALSE)</f>
        <v>100838</v>
      </c>
      <c r="F1237" s="124" t="s">
        <v>1828</v>
      </c>
      <c r="G1237" s="297" t="s">
        <v>1786</v>
      </c>
      <c r="H1237" s="180" t="s">
        <v>1835</v>
      </c>
      <c r="I1237" s="181">
        <v>60</v>
      </c>
      <c r="J1237" s="181"/>
      <c r="K1237" s="717"/>
      <c r="L1237" s="717"/>
      <c r="M1237" s="717"/>
      <c r="N1237" s="720"/>
    </row>
    <row r="1238" spans="1:14" x14ac:dyDescent="0.25">
      <c r="A1238" t="s">
        <v>180</v>
      </c>
      <c r="B1238" s="11" t="s">
        <v>1783</v>
      </c>
      <c r="C1238" s="12"/>
      <c r="D1238" s="123">
        <v>610000004404</v>
      </c>
      <c r="E1238" s="123">
        <f>VLOOKUP(D1238,'[1]Task list &amp; Maintenace plan'!$B:$G,6,FALSE)</f>
        <v>100838</v>
      </c>
      <c r="F1238" s="124" t="s">
        <v>1828</v>
      </c>
      <c r="G1238" s="297" t="s">
        <v>1786</v>
      </c>
      <c r="H1238" s="180" t="s">
        <v>1836</v>
      </c>
      <c r="I1238" s="181">
        <v>60</v>
      </c>
      <c r="J1238" s="181"/>
      <c r="K1238" s="717"/>
      <c r="L1238" s="717"/>
      <c r="M1238" s="717"/>
      <c r="N1238" s="720"/>
    </row>
    <row r="1239" spans="1:14" x14ac:dyDescent="0.25">
      <c r="A1239" t="s">
        <v>180</v>
      </c>
      <c r="B1239" s="11" t="s">
        <v>1783</v>
      </c>
      <c r="C1239" s="12"/>
      <c r="D1239" s="123">
        <v>610000004404</v>
      </c>
      <c r="E1239" s="123">
        <f>VLOOKUP(D1239,'[1]Task list &amp; Maintenace plan'!$B:$G,6,FALSE)</f>
        <v>100838</v>
      </c>
      <c r="F1239" s="124" t="s">
        <v>1828</v>
      </c>
      <c r="G1239" s="297" t="s">
        <v>1786</v>
      </c>
      <c r="H1239" s="180" t="s">
        <v>1837</v>
      </c>
      <c r="I1239" s="181">
        <v>60</v>
      </c>
      <c r="J1239" s="181"/>
      <c r="K1239" s="717"/>
      <c r="L1239" s="717"/>
      <c r="M1239" s="717"/>
      <c r="N1239" s="720"/>
    </row>
    <row r="1240" spans="1:14" x14ac:dyDescent="0.25">
      <c r="A1240" t="s">
        <v>180</v>
      </c>
      <c r="B1240" s="11" t="s">
        <v>1783</v>
      </c>
      <c r="C1240" s="12"/>
      <c r="D1240" s="103">
        <v>610000004404</v>
      </c>
      <c r="E1240" s="103">
        <f>VLOOKUP(D1240,'[1]Task list &amp; Maintenace plan'!$B:$G,6,FALSE)</f>
        <v>100838</v>
      </c>
      <c r="F1240" s="85" t="s">
        <v>1828</v>
      </c>
      <c r="G1240" s="306" t="s">
        <v>1786</v>
      </c>
      <c r="H1240" s="182" t="s">
        <v>1838</v>
      </c>
      <c r="I1240" s="183">
        <v>60</v>
      </c>
      <c r="J1240" s="183"/>
      <c r="K1240" s="718"/>
      <c r="L1240" s="718"/>
      <c r="M1240" s="718"/>
      <c r="N1240" s="721"/>
    </row>
    <row r="1241" spans="1:14" x14ac:dyDescent="0.25">
      <c r="A1241" t="s">
        <v>180</v>
      </c>
      <c r="B1241" s="11" t="s">
        <v>1783</v>
      </c>
      <c r="C1241" s="12"/>
      <c r="D1241" s="132"/>
      <c r="E1241" s="132" t="e">
        <f>VLOOKUP(D1241,'[1]Task list &amp; Maintenace plan'!$B:$G,6,FALSE)</f>
        <v>#N/A</v>
      </c>
      <c r="F1241" s="218" t="s">
        <v>1839</v>
      </c>
      <c r="G1241" s="78" t="s">
        <v>1840</v>
      </c>
      <c r="H1241" s="78" t="s">
        <v>1841</v>
      </c>
      <c r="I1241" s="218">
        <v>180</v>
      </c>
      <c r="J1241" s="218"/>
      <c r="K1241" s="218"/>
      <c r="L1241" s="218"/>
      <c r="M1241" s="218"/>
      <c r="N1241" s="219"/>
    </row>
    <row r="1242" spans="1:14" x14ac:dyDescent="0.25">
      <c r="A1242" t="s">
        <v>180</v>
      </c>
      <c r="B1242" s="11" t="s">
        <v>1783</v>
      </c>
      <c r="C1242" s="307"/>
      <c r="D1242" s="33">
        <v>610000004405</v>
      </c>
      <c r="E1242" s="33">
        <f>VLOOKUP(D1242,'[1]Task list &amp; Maintenace plan'!$B:$G,6,FALSE)</f>
        <v>100839</v>
      </c>
      <c r="F1242" s="34" t="s">
        <v>1842</v>
      </c>
      <c r="G1242" s="26" t="s">
        <v>1786</v>
      </c>
      <c r="H1242" s="26" t="s">
        <v>1843</v>
      </c>
      <c r="I1242" s="34">
        <v>180</v>
      </c>
      <c r="J1242" s="34">
        <v>1</v>
      </c>
      <c r="K1242" s="686">
        <v>120</v>
      </c>
      <c r="L1242" s="686">
        <v>1</v>
      </c>
      <c r="M1242" s="686">
        <f>L1242*K1242</f>
        <v>120</v>
      </c>
      <c r="N1242" s="689" t="s">
        <v>117</v>
      </c>
    </row>
    <row r="1243" spans="1:14" x14ac:dyDescent="0.25">
      <c r="A1243" t="s">
        <v>180</v>
      </c>
      <c r="B1243" s="11" t="s">
        <v>1783</v>
      </c>
      <c r="C1243" s="12"/>
      <c r="D1243" s="57">
        <v>610000004405</v>
      </c>
      <c r="E1243" s="57">
        <f>VLOOKUP(D1243,'[1]Task list &amp; Maintenace plan'!$B:$G,6,FALSE)</f>
        <v>100839</v>
      </c>
      <c r="F1243" s="58" t="s">
        <v>1842</v>
      </c>
      <c r="G1243" s="59" t="s">
        <v>1786</v>
      </c>
      <c r="H1243" s="59" t="s">
        <v>1844</v>
      </c>
      <c r="I1243" s="58">
        <v>180</v>
      </c>
      <c r="J1243" s="58">
        <v>1</v>
      </c>
      <c r="K1243" s="687"/>
      <c r="L1243" s="687"/>
      <c r="M1243" s="687"/>
      <c r="N1243" s="690"/>
    </row>
    <row r="1244" spans="1:14" x14ac:dyDescent="0.25">
      <c r="A1244" t="s">
        <v>180</v>
      </c>
      <c r="B1244" s="11" t="s">
        <v>1783</v>
      </c>
      <c r="C1244" s="12"/>
      <c r="D1244" s="38">
        <v>610000004405</v>
      </c>
      <c r="E1244" s="38">
        <f>VLOOKUP(D1244,'[1]Task list &amp; Maintenace plan'!$B:$G,6,FALSE)</f>
        <v>100839</v>
      </c>
      <c r="F1244" s="39" t="s">
        <v>1842</v>
      </c>
      <c r="G1244" s="40" t="s">
        <v>1786</v>
      </c>
      <c r="H1244" s="40" t="s">
        <v>1845</v>
      </c>
      <c r="I1244" s="39">
        <v>180</v>
      </c>
      <c r="J1244" s="39">
        <v>1</v>
      </c>
      <c r="K1244" s="687"/>
      <c r="L1244" s="687"/>
      <c r="M1244" s="687"/>
      <c r="N1244" s="690"/>
    </row>
    <row r="1245" spans="1:14" x14ac:dyDescent="0.25">
      <c r="A1245" t="s">
        <v>180</v>
      </c>
      <c r="B1245" s="11" t="s">
        <v>1783</v>
      </c>
      <c r="C1245" s="12"/>
      <c r="D1245" s="38">
        <v>610000004405</v>
      </c>
      <c r="E1245" s="38">
        <f>VLOOKUP(D1245,'[1]Task list &amp; Maintenace plan'!$B:$G,6,FALSE)</f>
        <v>100839</v>
      </c>
      <c r="F1245" s="39" t="s">
        <v>1842</v>
      </c>
      <c r="G1245" s="40" t="s">
        <v>1786</v>
      </c>
      <c r="H1245" s="40" t="s">
        <v>1846</v>
      </c>
      <c r="I1245" s="18">
        <v>180</v>
      </c>
      <c r="J1245" s="18">
        <v>1</v>
      </c>
      <c r="K1245" s="687"/>
      <c r="L1245" s="687"/>
      <c r="M1245" s="687"/>
      <c r="N1245" s="690"/>
    </row>
    <row r="1246" spans="1:14" x14ac:dyDescent="0.25">
      <c r="A1246" t="s">
        <v>180</v>
      </c>
      <c r="B1246" s="11" t="s">
        <v>1783</v>
      </c>
      <c r="C1246" s="12"/>
      <c r="D1246" s="38">
        <v>610000004405</v>
      </c>
      <c r="E1246" s="38">
        <f>VLOOKUP(D1246,'[1]Task list &amp; Maintenace plan'!$B:$G,6,FALSE)</f>
        <v>100839</v>
      </c>
      <c r="F1246" s="39" t="s">
        <v>1842</v>
      </c>
      <c r="G1246" s="40" t="s">
        <v>1786</v>
      </c>
      <c r="H1246" s="40" t="s">
        <v>1847</v>
      </c>
      <c r="I1246" s="39">
        <v>180</v>
      </c>
      <c r="J1246" s="39">
        <v>1</v>
      </c>
      <c r="K1246" s="687"/>
      <c r="L1246" s="687"/>
      <c r="M1246" s="687"/>
      <c r="N1246" s="690"/>
    </row>
    <row r="1247" spans="1:14" x14ac:dyDescent="0.25">
      <c r="A1247" t="s">
        <v>180</v>
      </c>
      <c r="B1247" s="11" t="s">
        <v>1783</v>
      </c>
      <c r="C1247" s="12"/>
      <c r="D1247" s="22">
        <v>610000004405</v>
      </c>
      <c r="E1247" s="22">
        <f>VLOOKUP(D1247,'[1]Task list &amp; Maintenace plan'!$B:$G,6,FALSE)</f>
        <v>100839</v>
      </c>
      <c r="F1247" s="23" t="s">
        <v>1842</v>
      </c>
      <c r="G1247" s="24" t="s">
        <v>1786</v>
      </c>
      <c r="H1247" s="24" t="s">
        <v>1848</v>
      </c>
      <c r="I1247" s="23">
        <v>180</v>
      </c>
      <c r="J1247" s="23">
        <v>1</v>
      </c>
      <c r="K1247" s="688"/>
      <c r="L1247" s="688"/>
      <c r="M1247" s="688"/>
      <c r="N1247" s="691"/>
    </row>
    <row r="1248" spans="1:14" ht="15.75" thickBot="1" x14ac:dyDescent="0.3">
      <c r="A1248" t="s">
        <v>180</v>
      </c>
      <c r="B1248" s="11" t="s">
        <v>1783</v>
      </c>
      <c r="C1248" s="27"/>
      <c r="D1248" s="65">
        <v>356692</v>
      </c>
      <c r="E1248" s="65">
        <f>VLOOKUP(D1248,'[1]Task list &amp; Maintenace plan'!$B:$G,6,FALSE)</f>
        <v>1613</v>
      </c>
      <c r="F1248" s="66" t="s">
        <v>1849</v>
      </c>
      <c r="G1248" s="67" t="s">
        <v>1786</v>
      </c>
      <c r="H1248" s="308" t="s">
        <v>122</v>
      </c>
      <c r="I1248" s="66">
        <v>365</v>
      </c>
      <c r="J1248" s="66">
        <v>1</v>
      </c>
      <c r="K1248" s="66">
        <v>240</v>
      </c>
      <c r="L1248" s="66">
        <v>1</v>
      </c>
      <c r="M1248" s="66">
        <f>L1248*K1248</f>
        <v>240</v>
      </c>
      <c r="N1248" s="69" t="s">
        <v>20</v>
      </c>
    </row>
    <row r="1249" spans="1:14" x14ac:dyDescent="0.25">
      <c r="A1249" t="s">
        <v>180</v>
      </c>
      <c r="B1249" s="11" t="s">
        <v>1850</v>
      </c>
      <c r="C1249" s="12"/>
      <c r="D1249" s="140">
        <v>610000004406</v>
      </c>
      <c r="E1249" s="140">
        <f>VLOOKUP(D1249,'[1]Task list &amp; Maintenace plan'!$B:$G,6,FALSE)</f>
        <v>100840</v>
      </c>
      <c r="F1249" s="141" t="s">
        <v>1852</v>
      </c>
      <c r="G1249" s="293" t="s">
        <v>1853</v>
      </c>
      <c r="H1249" s="180" t="s">
        <v>1854</v>
      </c>
      <c r="I1249" s="181">
        <v>60</v>
      </c>
      <c r="J1249" s="181"/>
      <c r="K1249" s="722">
        <v>10</v>
      </c>
      <c r="L1249" s="722">
        <v>1</v>
      </c>
      <c r="M1249" s="722">
        <f>L1249*K1249</f>
        <v>10</v>
      </c>
      <c r="N1249" s="723" t="s">
        <v>20</v>
      </c>
    </row>
    <row r="1250" spans="1:14" x14ac:dyDescent="0.25">
      <c r="A1250" t="s">
        <v>180</v>
      </c>
      <c r="B1250" s="11" t="s">
        <v>1850</v>
      </c>
      <c r="C1250" s="12"/>
      <c r="D1250" s="123">
        <v>610000004406</v>
      </c>
      <c r="E1250" s="123">
        <f>VLOOKUP(D1250,'[1]Task list &amp; Maintenace plan'!$B:$G,6,FALSE)</f>
        <v>100840</v>
      </c>
      <c r="F1250" s="124" t="s">
        <v>1852</v>
      </c>
      <c r="G1250" s="180" t="s">
        <v>1853</v>
      </c>
      <c r="H1250" s="180" t="s">
        <v>1856</v>
      </c>
      <c r="I1250" s="181">
        <v>60</v>
      </c>
      <c r="J1250" s="181"/>
      <c r="K1250" s="717"/>
      <c r="L1250" s="717"/>
      <c r="M1250" s="717"/>
      <c r="N1250" s="720"/>
    </row>
    <row r="1251" spans="1:14" x14ac:dyDescent="0.25">
      <c r="A1251" t="s">
        <v>180</v>
      </c>
      <c r="B1251" s="11" t="s">
        <v>1850</v>
      </c>
      <c r="C1251" s="12"/>
      <c r="D1251" s="123">
        <v>610000004406</v>
      </c>
      <c r="E1251" s="123">
        <f>VLOOKUP(D1251,'[1]Task list &amp; Maintenace plan'!$B:$G,6,FALSE)</f>
        <v>100840</v>
      </c>
      <c r="F1251" s="124" t="s">
        <v>1852</v>
      </c>
      <c r="G1251" s="180" t="s">
        <v>1853</v>
      </c>
      <c r="H1251" s="180" t="s">
        <v>1857</v>
      </c>
      <c r="I1251" s="181">
        <v>60</v>
      </c>
      <c r="J1251" s="181"/>
      <c r="K1251" s="717"/>
      <c r="L1251" s="717"/>
      <c r="M1251" s="717"/>
      <c r="N1251" s="720"/>
    </row>
    <row r="1252" spans="1:14" x14ac:dyDescent="0.25">
      <c r="A1252" t="s">
        <v>180</v>
      </c>
      <c r="B1252" s="11" t="s">
        <v>1850</v>
      </c>
      <c r="C1252" s="12"/>
      <c r="D1252" s="103">
        <v>610000004406</v>
      </c>
      <c r="E1252" s="103">
        <f>VLOOKUP(D1252,'[1]Task list &amp; Maintenace plan'!$B:$G,6,FALSE)</f>
        <v>100840</v>
      </c>
      <c r="F1252" s="85" t="s">
        <v>1852</v>
      </c>
      <c r="G1252" s="182" t="s">
        <v>1853</v>
      </c>
      <c r="H1252" s="182" t="s">
        <v>1859</v>
      </c>
      <c r="I1252" s="183">
        <v>60</v>
      </c>
      <c r="J1252" s="183"/>
      <c r="K1252" s="718"/>
      <c r="L1252" s="718"/>
      <c r="M1252" s="718"/>
      <c r="N1252" s="721"/>
    </row>
    <row r="1253" spans="1:14" x14ac:dyDescent="0.25">
      <c r="A1253" t="s">
        <v>180</v>
      </c>
      <c r="B1253" s="11" t="s">
        <v>1850</v>
      </c>
      <c r="C1253" s="12"/>
      <c r="D1253" s="123">
        <v>610000004408</v>
      </c>
      <c r="E1253" s="123">
        <f>VLOOKUP(D1253,'[1]Task list &amp; Maintenace plan'!$B:$G,6,FALSE)</f>
        <v>100842</v>
      </c>
      <c r="F1253" s="124" t="s">
        <v>1860</v>
      </c>
      <c r="G1253" s="180" t="s">
        <v>1853</v>
      </c>
      <c r="H1253" s="180" t="s">
        <v>1861</v>
      </c>
      <c r="I1253" s="181">
        <v>60</v>
      </c>
      <c r="J1253" s="181"/>
      <c r="K1253" s="716">
        <v>30</v>
      </c>
      <c r="L1253" s="716">
        <v>1</v>
      </c>
      <c r="M1253" s="716">
        <f>L1253*K1253</f>
        <v>30</v>
      </c>
      <c r="N1253" s="719" t="s">
        <v>20</v>
      </c>
    </row>
    <row r="1254" spans="1:14" x14ac:dyDescent="0.25">
      <c r="A1254" t="s">
        <v>180</v>
      </c>
      <c r="B1254" s="11" t="s">
        <v>1850</v>
      </c>
      <c r="C1254" s="12"/>
      <c r="D1254" s="123">
        <v>610000004408</v>
      </c>
      <c r="E1254" s="123">
        <f>VLOOKUP(D1254,'[1]Task list &amp; Maintenace plan'!$B:$G,6,FALSE)</f>
        <v>100842</v>
      </c>
      <c r="F1254" s="124" t="s">
        <v>1860</v>
      </c>
      <c r="G1254" s="180" t="s">
        <v>1853</v>
      </c>
      <c r="H1254" s="180" t="s">
        <v>1862</v>
      </c>
      <c r="I1254" s="181">
        <v>60</v>
      </c>
      <c r="J1254" s="181"/>
      <c r="K1254" s="717"/>
      <c r="L1254" s="717"/>
      <c r="M1254" s="717"/>
      <c r="N1254" s="720"/>
    </row>
    <row r="1255" spans="1:14" x14ac:dyDescent="0.25">
      <c r="A1255" t="s">
        <v>180</v>
      </c>
      <c r="B1255" s="11" t="s">
        <v>1850</v>
      </c>
      <c r="C1255" s="12"/>
      <c r="D1255" s="123">
        <v>610000004408</v>
      </c>
      <c r="E1255" s="123">
        <f>VLOOKUP(D1255,'[1]Task list &amp; Maintenace plan'!$B:$G,6,FALSE)</f>
        <v>100842</v>
      </c>
      <c r="F1255" s="124" t="s">
        <v>1860</v>
      </c>
      <c r="G1255" s="180" t="s">
        <v>1853</v>
      </c>
      <c r="H1255" s="180" t="s">
        <v>1863</v>
      </c>
      <c r="I1255" s="181">
        <v>60</v>
      </c>
      <c r="J1255" s="181"/>
      <c r="K1255" s="717"/>
      <c r="L1255" s="717"/>
      <c r="M1255" s="717"/>
      <c r="N1255" s="720"/>
    </row>
    <row r="1256" spans="1:14" x14ac:dyDescent="0.25">
      <c r="A1256" t="s">
        <v>180</v>
      </c>
      <c r="B1256" s="11" t="s">
        <v>1850</v>
      </c>
      <c r="C1256" s="12"/>
      <c r="D1256" s="123">
        <v>610000004408</v>
      </c>
      <c r="E1256" s="123">
        <f>VLOOKUP(D1256,'[1]Task list &amp; Maintenace plan'!$B:$G,6,FALSE)</f>
        <v>100842</v>
      </c>
      <c r="F1256" s="124" t="s">
        <v>1860</v>
      </c>
      <c r="G1256" s="180" t="s">
        <v>1853</v>
      </c>
      <c r="H1256" s="180" t="s">
        <v>1864</v>
      </c>
      <c r="I1256" s="181">
        <v>60</v>
      </c>
      <c r="J1256" s="181"/>
      <c r="K1256" s="717"/>
      <c r="L1256" s="717"/>
      <c r="M1256" s="717"/>
      <c r="N1256" s="720"/>
    </row>
    <row r="1257" spans="1:14" x14ac:dyDescent="0.25">
      <c r="A1257" t="s">
        <v>180</v>
      </c>
      <c r="B1257" s="11" t="s">
        <v>1850</v>
      </c>
      <c r="C1257" s="12"/>
      <c r="D1257" s="123">
        <v>610000004408</v>
      </c>
      <c r="E1257" s="123">
        <f>VLOOKUP(D1257,'[1]Task list &amp; Maintenace plan'!$B:$G,6,FALSE)</f>
        <v>100842</v>
      </c>
      <c r="F1257" s="124" t="s">
        <v>1860</v>
      </c>
      <c r="G1257" s="180" t="s">
        <v>1853</v>
      </c>
      <c r="H1257" s="180" t="s">
        <v>1865</v>
      </c>
      <c r="I1257" s="181">
        <v>60</v>
      </c>
      <c r="J1257" s="181"/>
      <c r="K1257" s="717"/>
      <c r="L1257" s="717"/>
      <c r="M1257" s="717"/>
      <c r="N1257" s="720"/>
    </row>
    <row r="1258" spans="1:14" x14ac:dyDescent="0.25">
      <c r="A1258" t="s">
        <v>180</v>
      </c>
      <c r="B1258" s="11" t="s">
        <v>1850</v>
      </c>
      <c r="C1258" s="12"/>
      <c r="D1258" s="123">
        <v>610000004408</v>
      </c>
      <c r="E1258" s="123">
        <f>VLOOKUP(D1258,'[1]Task list &amp; Maintenace plan'!$B:$G,6,FALSE)</f>
        <v>100842</v>
      </c>
      <c r="F1258" s="124" t="s">
        <v>1860</v>
      </c>
      <c r="G1258" s="180" t="s">
        <v>1853</v>
      </c>
      <c r="H1258" s="180" t="s">
        <v>1866</v>
      </c>
      <c r="I1258" s="181">
        <v>60</v>
      </c>
      <c r="J1258" s="181"/>
      <c r="K1258" s="717"/>
      <c r="L1258" s="717"/>
      <c r="M1258" s="717"/>
      <c r="N1258" s="720"/>
    </row>
    <row r="1259" spans="1:14" x14ac:dyDescent="0.25">
      <c r="A1259" t="s">
        <v>180</v>
      </c>
      <c r="B1259" s="11" t="s">
        <v>1850</v>
      </c>
      <c r="C1259" s="12"/>
      <c r="D1259" s="123">
        <v>610000004408</v>
      </c>
      <c r="E1259" s="123">
        <f>VLOOKUP(D1259,'[1]Task list &amp; Maintenace plan'!$B:$G,6,FALSE)</f>
        <v>100842</v>
      </c>
      <c r="F1259" s="124" t="s">
        <v>1860</v>
      </c>
      <c r="G1259" s="180" t="s">
        <v>1853</v>
      </c>
      <c r="H1259" s="180" t="s">
        <v>1867</v>
      </c>
      <c r="I1259" s="181">
        <v>60</v>
      </c>
      <c r="J1259" s="181"/>
      <c r="K1259" s="717"/>
      <c r="L1259" s="717"/>
      <c r="M1259" s="717"/>
      <c r="N1259" s="720"/>
    </row>
    <row r="1260" spans="1:14" x14ac:dyDescent="0.25">
      <c r="A1260" t="s">
        <v>180</v>
      </c>
      <c r="B1260" s="11" t="s">
        <v>1850</v>
      </c>
      <c r="C1260" s="12"/>
      <c r="D1260" s="123">
        <v>610000004408</v>
      </c>
      <c r="E1260" s="123">
        <f>VLOOKUP(D1260,'[1]Task list &amp; Maintenace plan'!$B:$G,6,FALSE)</f>
        <v>100842</v>
      </c>
      <c r="F1260" s="124" t="s">
        <v>1860</v>
      </c>
      <c r="G1260" s="180" t="s">
        <v>1853</v>
      </c>
      <c r="H1260" s="180" t="s">
        <v>1868</v>
      </c>
      <c r="I1260" s="181">
        <v>60</v>
      </c>
      <c r="J1260" s="181"/>
      <c r="K1260" s="717"/>
      <c r="L1260" s="717"/>
      <c r="M1260" s="717"/>
      <c r="N1260" s="720"/>
    </row>
    <row r="1261" spans="1:14" x14ac:dyDescent="0.25">
      <c r="A1261" t="s">
        <v>180</v>
      </c>
      <c r="B1261" s="11" t="s">
        <v>1850</v>
      </c>
      <c r="C1261" s="12"/>
      <c r="D1261" s="123">
        <v>610000004408</v>
      </c>
      <c r="E1261" s="123">
        <f>VLOOKUP(D1261,'[1]Task list &amp; Maintenace plan'!$B:$G,6,FALSE)</f>
        <v>100842</v>
      </c>
      <c r="F1261" s="124" t="s">
        <v>1860</v>
      </c>
      <c r="G1261" s="180" t="s">
        <v>1853</v>
      </c>
      <c r="H1261" s="180" t="s">
        <v>1869</v>
      </c>
      <c r="I1261" s="181">
        <v>60</v>
      </c>
      <c r="J1261" s="181"/>
      <c r="K1261" s="717"/>
      <c r="L1261" s="717"/>
      <c r="M1261" s="717"/>
      <c r="N1261" s="720"/>
    </row>
    <row r="1262" spans="1:14" x14ac:dyDescent="0.25">
      <c r="A1262" t="s">
        <v>180</v>
      </c>
      <c r="B1262" s="11" t="s">
        <v>1850</v>
      </c>
      <c r="C1262" s="12"/>
      <c r="D1262" s="123">
        <v>610000004408</v>
      </c>
      <c r="E1262" s="123">
        <f>VLOOKUP(D1262,'[1]Task list &amp; Maintenace plan'!$B:$G,6,FALSE)</f>
        <v>100842</v>
      </c>
      <c r="F1262" s="124" t="s">
        <v>1860</v>
      </c>
      <c r="G1262" s="180" t="s">
        <v>1853</v>
      </c>
      <c r="H1262" s="180" t="s">
        <v>1870</v>
      </c>
      <c r="I1262" s="181">
        <v>60</v>
      </c>
      <c r="J1262" s="181"/>
      <c r="K1262" s="717"/>
      <c r="L1262" s="717"/>
      <c r="M1262" s="717"/>
      <c r="N1262" s="720"/>
    </row>
    <row r="1263" spans="1:14" x14ac:dyDescent="0.25">
      <c r="A1263" t="s">
        <v>180</v>
      </c>
      <c r="B1263" s="11" t="s">
        <v>1850</v>
      </c>
      <c r="C1263" s="12"/>
      <c r="D1263" s="123">
        <v>610000004408</v>
      </c>
      <c r="E1263" s="123">
        <f>VLOOKUP(D1263,'[1]Task list &amp; Maintenace plan'!$B:$G,6,FALSE)</f>
        <v>100842</v>
      </c>
      <c r="F1263" s="124" t="s">
        <v>1860</v>
      </c>
      <c r="G1263" s="180" t="s">
        <v>1853</v>
      </c>
      <c r="H1263" s="180" t="s">
        <v>1871</v>
      </c>
      <c r="I1263" s="181">
        <v>60</v>
      </c>
      <c r="J1263" s="181"/>
      <c r="K1263" s="717"/>
      <c r="L1263" s="717"/>
      <c r="M1263" s="717"/>
      <c r="N1263" s="720"/>
    </row>
    <row r="1264" spans="1:14" x14ac:dyDescent="0.25">
      <c r="A1264" t="s">
        <v>180</v>
      </c>
      <c r="B1264" s="11" t="s">
        <v>1850</v>
      </c>
      <c r="C1264" s="12"/>
      <c r="D1264" s="123">
        <v>610000004408</v>
      </c>
      <c r="E1264" s="123">
        <f>VLOOKUP(D1264,'[1]Task list &amp; Maintenace plan'!$B:$G,6,FALSE)</f>
        <v>100842</v>
      </c>
      <c r="F1264" s="124" t="s">
        <v>1860</v>
      </c>
      <c r="G1264" s="180" t="s">
        <v>1853</v>
      </c>
      <c r="H1264" s="180" t="s">
        <v>1872</v>
      </c>
      <c r="I1264" s="181">
        <v>60</v>
      </c>
      <c r="J1264" s="181"/>
      <c r="K1264" s="717"/>
      <c r="L1264" s="717"/>
      <c r="M1264" s="717"/>
      <c r="N1264" s="720"/>
    </row>
    <row r="1265" spans="1:14" x14ac:dyDescent="0.25">
      <c r="A1265" t="s">
        <v>180</v>
      </c>
      <c r="B1265" s="11" t="s">
        <v>1850</v>
      </c>
      <c r="C1265" s="12"/>
      <c r="D1265" s="123">
        <v>610000004408</v>
      </c>
      <c r="E1265" s="123">
        <f>VLOOKUP(D1265,'[1]Task list &amp; Maintenace plan'!$B:$G,6,FALSE)</f>
        <v>100842</v>
      </c>
      <c r="F1265" s="124" t="s">
        <v>1860</v>
      </c>
      <c r="G1265" s="180" t="s">
        <v>1853</v>
      </c>
      <c r="H1265" s="180" t="s">
        <v>1873</v>
      </c>
      <c r="I1265" s="181">
        <v>60</v>
      </c>
      <c r="J1265" s="181"/>
      <c r="K1265" s="717"/>
      <c r="L1265" s="717"/>
      <c r="M1265" s="717"/>
      <c r="N1265" s="720"/>
    </row>
    <row r="1266" spans="1:14" x14ac:dyDescent="0.25">
      <c r="A1266" t="s">
        <v>180</v>
      </c>
      <c r="B1266" s="11" t="s">
        <v>1850</v>
      </c>
      <c r="C1266" s="12"/>
      <c r="D1266" s="123">
        <v>610000004408</v>
      </c>
      <c r="E1266" s="123">
        <f>VLOOKUP(D1266,'[1]Task list &amp; Maintenace plan'!$B:$G,6,FALSE)</f>
        <v>100842</v>
      </c>
      <c r="F1266" s="124" t="s">
        <v>1860</v>
      </c>
      <c r="G1266" s="180" t="s">
        <v>1853</v>
      </c>
      <c r="H1266" s="180" t="s">
        <v>1874</v>
      </c>
      <c r="I1266" s="181">
        <v>60</v>
      </c>
      <c r="J1266" s="181"/>
      <c r="K1266" s="717"/>
      <c r="L1266" s="717"/>
      <c r="M1266" s="717"/>
      <c r="N1266" s="720"/>
    </row>
    <row r="1267" spans="1:14" x14ac:dyDescent="0.25">
      <c r="A1267" t="s">
        <v>180</v>
      </c>
      <c r="B1267" s="11" t="s">
        <v>1850</v>
      </c>
      <c r="C1267" s="12"/>
      <c r="D1267" s="123">
        <v>610000004408</v>
      </c>
      <c r="E1267" s="123">
        <f>VLOOKUP(D1267,'[1]Task list &amp; Maintenace plan'!$B:$G,6,FALSE)</f>
        <v>100842</v>
      </c>
      <c r="F1267" s="124" t="s">
        <v>1860</v>
      </c>
      <c r="G1267" s="180" t="s">
        <v>1853</v>
      </c>
      <c r="H1267" s="180" t="s">
        <v>1875</v>
      </c>
      <c r="I1267" s="181">
        <v>60</v>
      </c>
      <c r="J1267" s="181"/>
      <c r="K1267" s="717"/>
      <c r="L1267" s="717"/>
      <c r="M1267" s="717"/>
      <c r="N1267" s="720"/>
    </row>
    <row r="1268" spans="1:14" x14ac:dyDescent="0.25">
      <c r="A1268" t="s">
        <v>180</v>
      </c>
      <c r="B1268" s="11" t="s">
        <v>1850</v>
      </c>
      <c r="C1268" s="12"/>
      <c r="D1268" s="123">
        <v>610000004408</v>
      </c>
      <c r="E1268" s="123">
        <f>VLOOKUP(D1268,'[1]Task list &amp; Maintenace plan'!$B:$G,6,FALSE)</f>
        <v>100842</v>
      </c>
      <c r="F1268" s="124" t="s">
        <v>1860</v>
      </c>
      <c r="G1268" s="180" t="s">
        <v>1853</v>
      </c>
      <c r="H1268" s="180" t="s">
        <v>1876</v>
      </c>
      <c r="I1268" s="181">
        <v>60</v>
      </c>
      <c r="J1268" s="181"/>
      <c r="K1268" s="717"/>
      <c r="L1268" s="717"/>
      <c r="M1268" s="717"/>
      <c r="N1268" s="720"/>
    </row>
    <row r="1269" spans="1:14" x14ac:dyDescent="0.25">
      <c r="A1269" t="s">
        <v>180</v>
      </c>
      <c r="B1269" s="11" t="s">
        <v>1850</v>
      </c>
      <c r="C1269" s="12"/>
      <c r="D1269" s="123">
        <v>610000004408</v>
      </c>
      <c r="E1269" s="123">
        <f>VLOOKUP(D1269,'[1]Task list &amp; Maintenace plan'!$B:$G,6,FALSE)</f>
        <v>100842</v>
      </c>
      <c r="F1269" s="124" t="s">
        <v>1860</v>
      </c>
      <c r="G1269" s="180" t="s">
        <v>1851</v>
      </c>
      <c r="H1269" s="180" t="s">
        <v>1877</v>
      </c>
      <c r="I1269" s="181">
        <v>60</v>
      </c>
      <c r="J1269" s="181"/>
      <c r="K1269" s="717"/>
      <c r="L1269" s="717"/>
      <c r="M1269" s="717"/>
      <c r="N1269" s="720"/>
    </row>
    <row r="1270" spans="1:14" x14ac:dyDescent="0.25">
      <c r="A1270" t="s">
        <v>180</v>
      </c>
      <c r="B1270" s="11" t="s">
        <v>1850</v>
      </c>
      <c r="C1270" s="12"/>
      <c r="D1270" s="123">
        <v>610000004408</v>
      </c>
      <c r="E1270" s="123">
        <f>VLOOKUP(D1270,'[1]Task list &amp; Maintenace plan'!$B:$G,6,FALSE)</f>
        <v>100842</v>
      </c>
      <c r="F1270" s="124" t="s">
        <v>1860</v>
      </c>
      <c r="G1270" s="180" t="s">
        <v>1851</v>
      </c>
      <c r="H1270" s="180" t="s">
        <v>1878</v>
      </c>
      <c r="I1270" s="181">
        <v>60</v>
      </c>
      <c r="J1270" s="181"/>
      <c r="K1270" s="717"/>
      <c r="L1270" s="717"/>
      <c r="M1270" s="717"/>
      <c r="N1270" s="720"/>
    </row>
    <row r="1271" spans="1:14" x14ac:dyDescent="0.25">
      <c r="A1271" t="s">
        <v>180</v>
      </c>
      <c r="B1271" s="11" t="s">
        <v>1850</v>
      </c>
      <c r="C1271" s="12"/>
      <c r="D1271" s="123">
        <v>610000004408</v>
      </c>
      <c r="E1271" s="123">
        <f>VLOOKUP(D1271,'[1]Task list &amp; Maintenace plan'!$B:$G,6,FALSE)</f>
        <v>100842</v>
      </c>
      <c r="F1271" s="124" t="s">
        <v>1860</v>
      </c>
      <c r="G1271" s="180" t="s">
        <v>1855</v>
      </c>
      <c r="H1271" s="180" t="s">
        <v>1879</v>
      </c>
      <c r="I1271" s="181">
        <v>60</v>
      </c>
      <c r="J1271" s="181"/>
      <c r="K1271" s="717"/>
      <c r="L1271" s="717"/>
      <c r="M1271" s="717"/>
      <c r="N1271" s="720"/>
    </row>
    <row r="1272" spans="1:14" x14ac:dyDescent="0.25">
      <c r="A1272" t="s">
        <v>180</v>
      </c>
      <c r="B1272" s="11" t="s">
        <v>1850</v>
      </c>
      <c r="C1272" s="12"/>
      <c r="D1272" s="103">
        <v>610000004408</v>
      </c>
      <c r="E1272" s="103">
        <f>VLOOKUP(D1272,'[1]Task list &amp; Maintenace plan'!$B:$G,6,FALSE)</f>
        <v>100842</v>
      </c>
      <c r="F1272" s="85" t="s">
        <v>1860</v>
      </c>
      <c r="G1272" s="182" t="s">
        <v>1855</v>
      </c>
      <c r="H1272" s="182" t="s">
        <v>1880</v>
      </c>
      <c r="I1272" s="183">
        <v>60</v>
      </c>
      <c r="J1272" s="183"/>
      <c r="K1272" s="718"/>
      <c r="L1272" s="718"/>
      <c r="M1272" s="718"/>
      <c r="N1272" s="721"/>
    </row>
    <row r="1273" spans="1:14" x14ac:dyDescent="0.25">
      <c r="A1273" t="s">
        <v>180</v>
      </c>
      <c r="B1273" s="11" t="s">
        <v>1850</v>
      </c>
      <c r="C1273" s="12"/>
      <c r="D1273" s="100">
        <v>610000004410</v>
      </c>
      <c r="E1273" s="100">
        <f>VLOOKUP(D1273,'[1]Task list &amp; Maintenace plan'!$B:$G,6,FALSE)</f>
        <v>100844</v>
      </c>
      <c r="F1273" s="101" t="s">
        <v>1881</v>
      </c>
      <c r="G1273" s="178" t="s">
        <v>1851</v>
      </c>
      <c r="H1273" s="178" t="s">
        <v>1882</v>
      </c>
      <c r="I1273" s="179">
        <v>90</v>
      </c>
      <c r="J1273" s="179">
        <v>1</v>
      </c>
      <c r="K1273" s="716">
        <v>60</v>
      </c>
      <c r="L1273" s="716">
        <v>1</v>
      </c>
      <c r="M1273" s="716">
        <f>L1273*K1273</f>
        <v>60</v>
      </c>
      <c r="N1273" s="719"/>
    </row>
    <row r="1274" spans="1:14" x14ac:dyDescent="0.25">
      <c r="A1274" t="s">
        <v>180</v>
      </c>
      <c r="B1274" s="11" t="s">
        <v>1850</v>
      </c>
      <c r="C1274" s="12"/>
      <c r="D1274" s="123">
        <v>610000004410</v>
      </c>
      <c r="E1274" s="123">
        <f>VLOOKUP(D1274,'[1]Task list &amp; Maintenace plan'!$B:$G,6,FALSE)</f>
        <v>100844</v>
      </c>
      <c r="F1274" s="124" t="s">
        <v>1881</v>
      </c>
      <c r="G1274" s="180" t="s">
        <v>1851</v>
      </c>
      <c r="H1274" s="180" t="s">
        <v>1883</v>
      </c>
      <c r="I1274" s="181">
        <v>90</v>
      </c>
      <c r="J1274" s="181">
        <v>1</v>
      </c>
      <c r="K1274" s="717"/>
      <c r="L1274" s="717"/>
      <c r="M1274" s="717"/>
      <c r="N1274" s="720"/>
    </row>
    <row r="1275" spans="1:14" x14ac:dyDescent="0.25">
      <c r="A1275" t="s">
        <v>180</v>
      </c>
      <c r="B1275" s="11" t="s">
        <v>1850</v>
      </c>
      <c r="C1275" s="12"/>
      <c r="D1275" s="103">
        <v>610000004410</v>
      </c>
      <c r="E1275" s="103">
        <f>VLOOKUP(D1275,'[1]Task list &amp; Maintenace plan'!$B:$G,6,FALSE)</f>
        <v>100844</v>
      </c>
      <c r="F1275" s="85" t="s">
        <v>1881</v>
      </c>
      <c r="G1275" s="182" t="s">
        <v>1855</v>
      </c>
      <c r="H1275" s="182" t="s">
        <v>1884</v>
      </c>
      <c r="I1275" s="183">
        <v>90</v>
      </c>
      <c r="J1275" s="183">
        <v>1</v>
      </c>
      <c r="K1275" s="718"/>
      <c r="L1275" s="718"/>
      <c r="M1275" s="718"/>
      <c r="N1275" s="721"/>
    </row>
    <row r="1276" spans="1:14" x14ac:dyDescent="0.25">
      <c r="A1276" t="s">
        <v>180</v>
      </c>
      <c r="B1276" s="11" t="s">
        <v>1850</v>
      </c>
      <c r="C1276" s="12"/>
      <c r="D1276" s="100">
        <v>610000004411</v>
      </c>
      <c r="E1276" s="100">
        <f>VLOOKUP(D1276,'[1]Task list &amp; Maintenace plan'!$B:$G,6,FALSE)</f>
        <v>100845</v>
      </c>
      <c r="F1276" s="101" t="s">
        <v>1885</v>
      </c>
      <c r="G1276" s="178" t="s">
        <v>1853</v>
      </c>
      <c r="H1276" s="102" t="s">
        <v>1886</v>
      </c>
      <c r="I1276" s="179">
        <v>60</v>
      </c>
      <c r="J1276" s="179">
        <v>1</v>
      </c>
      <c r="K1276" s="716">
        <v>90</v>
      </c>
      <c r="L1276" s="716">
        <v>1</v>
      </c>
      <c r="M1276" s="716">
        <f>L1276*K1276</f>
        <v>90</v>
      </c>
      <c r="N1276" s="719" t="s">
        <v>20</v>
      </c>
    </row>
    <row r="1277" spans="1:14" x14ac:dyDescent="0.25">
      <c r="A1277" t="s">
        <v>180</v>
      </c>
      <c r="B1277" s="11" t="s">
        <v>1850</v>
      </c>
      <c r="C1277" s="12"/>
      <c r="D1277" s="123">
        <v>610000004411</v>
      </c>
      <c r="E1277" s="123">
        <f>VLOOKUP(D1277,'[1]Task list &amp; Maintenace plan'!$B:$G,6,FALSE)</f>
        <v>100845</v>
      </c>
      <c r="F1277" s="124" t="s">
        <v>1885</v>
      </c>
      <c r="G1277" s="180" t="s">
        <v>1853</v>
      </c>
      <c r="H1277" s="107" t="s">
        <v>1887</v>
      </c>
      <c r="I1277" s="181">
        <v>60</v>
      </c>
      <c r="J1277" s="181">
        <v>1</v>
      </c>
      <c r="K1277" s="717"/>
      <c r="L1277" s="717"/>
      <c r="M1277" s="717"/>
      <c r="N1277" s="720"/>
    </row>
    <row r="1278" spans="1:14" x14ac:dyDescent="0.25">
      <c r="A1278" t="s">
        <v>180</v>
      </c>
      <c r="B1278" s="11" t="s">
        <v>1850</v>
      </c>
      <c r="C1278" s="12"/>
      <c r="D1278" s="123">
        <v>610000004411</v>
      </c>
      <c r="E1278" s="123">
        <f>VLOOKUP(D1278,'[1]Task list &amp; Maintenace plan'!$B:$G,6,FALSE)</f>
        <v>100845</v>
      </c>
      <c r="F1278" s="124" t="s">
        <v>1885</v>
      </c>
      <c r="G1278" s="180" t="s">
        <v>1853</v>
      </c>
      <c r="H1278" s="107" t="s">
        <v>1888</v>
      </c>
      <c r="I1278" s="181">
        <v>60</v>
      </c>
      <c r="J1278" s="181">
        <v>1</v>
      </c>
      <c r="K1278" s="717"/>
      <c r="L1278" s="717"/>
      <c r="M1278" s="717"/>
      <c r="N1278" s="720"/>
    </row>
    <row r="1279" spans="1:14" x14ac:dyDescent="0.25">
      <c r="A1279" t="s">
        <v>180</v>
      </c>
      <c r="B1279" s="11" t="s">
        <v>1850</v>
      </c>
      <c r="C1279" s="12"/>
      <c r="D1279" s="123">
        <v>610000004411</v>
      </c>
      <c r="E1279" s="123">
        <f>VLOOKUP(D1279,'[1]Task list &amp; Maintenace plan'!$B:$G,6,FALSE)</f>
        <v>100845</v>
      </c>
      <c r="F1279" s="124" t="s">
        <v>1885</v>
      </c>
      <c r="G1279" s="180" t="s">
        <v>1853</v>
      </c>
      <c r="H1279" s="107" t="s">
        <v>1889</v>
      </c>
      <c r="I1279" s="181">
        <v>60</v>
      </c>
      <c r="J1279" s="181">
        <v>1</v>
      </c>
      <c r="K1279" s="717"/>
      <c r="L1279" s="717"/>
      <c r="M1279" s="717"/>
      <c r="N1279" s="720"/>
    </row>
    <row r="1280" spans="1:14" x14ac:dyDescent="0.25">
      <c r="A1280" t="s">
        <v>180</v>
      </c>
      <c r="B1280" s="11" t="s">
        <v>1850</v>
      </c>
      <c r="C1280" s="12"/>
      <c r="D1280" s="123">
        <v>610000004411</v>
      </c>
      <c r="E1280" s="123">
        <f>VLOOKUP(D1280,'[1]Task list &amp; Maintenace plan'!$B:$G,6,FALSE)</f>
        <v>100845</v>
      </c>
      <c r="F1280" s="124" t="s">
        <v>1885</v>
      </c>
      <c r="G1280" s="180" t="s">
        <v>1853</v>
      </c>
      <c r="H1280" s="107" t="s">
        <v>1890</v>
      </c>
      <c r="I1280" s="181">
        <v>60</v>
      </c>
      <c r="J1280" s="181">
        <v>1</v>
      </c>
      <c r="K1280" s="717"/>
      <c r="L1280" s="717"/>
      <c r="M1280" s="717"/>
      <c r="N1280" s="720"/>
    </row>
    <row r="1281" spans="1:14" x14ac:dyDescent="0.25">
      <c r="A1281" t="s">
        <v>180</v>
      </c>
      <c r="B1281" s="11" t="s">
        <v>1850</v>
      </c>
      <c r="C1281" s="12"/>
      <c r="D1281" s="123">
        <v>610000004411</v>
      </c>
      <c r="E1281" s="123">
        <f>VLOOKUP(D1281,'[1]Task list &amp; Maintenace plan'!$B:$G,6,FALSE)</f>
        <v>100845</v>
      </c>
      <c r="F1281" s="124" t="s">
        <v>1885</v>
      </c>
      <c r="G1281" s="180" t="s">
        <v>1853</v>
      </c>
      <c r="H1281" s="107" t="s">
        <v>1891</v>
      </c>
      <c r="I1281" s="181">
        <v>60</v>
      </c>
      <c r="J1281" s="181">
        <v>1</v>
      </c>
      <c r="K1281" s="717"/>
      <c r="L1281" s="717"/>
      <c r="M1281" s="717"/>
      <c r="N1281" s="720"/>
    </row>
    <row r="1282" spans="1:14" x14ac:dyDescent="0.25">
      <c r="A1282" t="s">
        <v>180</v>
      </c>
      <c r="B1282" s="11" t="s">
        <v>1850</v>
      </c>
      <c r="C1282" s="12"/>
      <c r="D1282" s="123">
        <v>610000004411</v>
      </c>
      <c r="E1282" s="123">
        <f>VLOOKUP(D1282,'[1]Task list &amp; Maintenace plan'!$B:$G,6,FALSE)</f>
        <v>100845</v>
      </c>
      <c r="F1282" s="124" t="s">
        <v>1885</v>
      </c>
      <c r="G1282" s="180" t="s">
        <v>1853</v>
      </c>
      <c r="H1282" s="107" t="s">
        <v>1892</v>
      </c>
      <c r="I1282" s="181">
        <v>60</v>
      </c>
      <c r="J1282" s="181">
        <v>1</v>
      </c>
      <c r="K1282" s="717"/>
      <c r="L1282" s="717"/>
      <c r="M1282" s="717"/>
      <c r="N1282" s="720"/>
    </row>
    <row r="1283" spans="1:14" x14ac:dyDescent="0.25">
      <c r="A1283" t="s">
        <v>180</v>
      </c>
      <c r="B1283" s="11" t="s">
        <v>1850</v>
      </c>
      <c r="C1283" s="12"/>
      <c r="D1283" s="123">
        <v>610000004411</v>
      </c>
      <c r="E1283" s="123">
        <f>VLOOKUP(D1283,'[1]Task list &amp; Maintenace plan'!$B:$G,6,FALSE)</f>
        <v>100845</v>
      </c>
      <c r="F1283" s="124" t="s">
        <v>1885</v>
      </c>
      <c r="G1283" s="180" t="s">
        <v>1853</v>
      </c>
      <c r="H1283" s="107" t="s">
        <v>1893</v>
      </c>
      <c r="I1283" s="181">
        <v>60</v>
      </c>
      <c r="J1283" s="181">
        <v>1</v>
      </c>
      <c r="K1283" s="717"/>
      <c r="L1283" s="717"/>
      <c r="M1283" s="717"/>
      <c r="N1283" s="720"/>
    </row>
    <row r="1284" spans="1:14" x14ac:dyDescent="0.25">
      <c r="A1284" t="s">
        <v>180</v>
      </c>
      <c r="B1284" s="11" t="s">
        <v>1850</v>
      </c>
      <c r="C1284" s="12"/>
      <c r="D1284" s="123">
        <v>610000004411</v>
      </c>
      <c r="E1284" s="123">
        <f>VLOOKUP(D1284,'[1]Task list &amp; Maintenace plan'!$B:$G,6,FALSE)</f>
        <v>100845</v>
      </c>
      <c r="F1284" s="124" t="s">
        <v>1885</v>
      </c>
      <c r="G1284" s="180" t="s">
        <v>1853</v>
      </c>
      <c r="H1284" s="107" t="s">
        <v>1894</v>
      </c>
      <c r="I1284" s="181">
        <v>60</v>
      </c>
      <c r="J1284" s="181">
        <v>1</v>
      </c>
      <c r="K1284" s="717"/>
      <c r="L1284" s="717"/>
      <c r="M1284" s="717"/>
      <c r="N1284" s="720"/>
    </row>
    <row r="1285" spans="1:14" x14ac:dyDescent="0.25">
      <c r="A1285" t="s">
        <v>180</v>
      </c>
      <c r="B1285" s="11" t="s">
        <v>1850</v>
      </c>
      <c r="C1285" s="12"/>
      <c r="D1285" s="123">
        <v>610000004411</v>
      </c>
      <c r="E1285" s="123">
        <f>VLOOKUP(D1285,'[1]Task list &amp; Maintenace plan'!$B:$G,6,FALSE)</f>
        <v>100845</v>
      </c>
      <c r="F1285" s="124" t="s">
        <v>1885</v>
      </c>
      <c r="G1285" s="180" t="s">
        <v>1853</v>
      </c>
      <c r="H1285" s="107" t="s">
        <v>1895</v>
      </c>
      <c r="I1285" s="181">
        <v>60</v>
      </c>
      <c r="J1285" s="181">
        <v>1</v>
      </c>
      <c r="K1285" s="717"/>
      <c r="L1285" s="717"/>
      <c r="M1285" s="717"/>
      <c r="N1285" s="720"/>
    </row>
    <row r="1286" spans="1:14" x14ac:dyDescent="0.25">
      <c r="A1286" t="s">
        <v>180</v>
      </c>
      <c r="B1286" s="11" t="s">
        <v>1850</v>
      </c>
      <c r="C1286" s="12"/>
      <c r="D1286" s="123">
        <v>610000004411</v>
      </c>
      <c r="E1286" s="123">
        <f>VLOOKUP(D1286,'[1]Task list &amp; Maintenace plan'!$B:$G,6,FALSE)</f>
        <v>100845</v>
      </c>
      <c r="F1286" s="124" t="s">
        <v>1885</v>
      </c>
      <c r="G1286" s="180" t="s">
        <v>1853</v>
      </c>
      <c r="H1286" s="107" t="s">
        <v>1896</v>
      </c>
      <c r="I1286" s="181">
        <v>60</v>
      </c>
      <c r="J1286" s="181">
        <v>1</v>
      </c>
      <c r="K1286" s="717"/>
      <c r="L1286" s="717"/>
      <c r="M1286" s="717"/>
      <c r="N1286" s="720"/>
    </row>
    <row r="1287" spans="1:14" x14ac:dyDescent="0.25">
      <c r="A1287" t="s">
        <v>180</v>
      </c>
      <c r="B1287" s="11" t="s">
        <v>1850</v>
      </c>
      <c r="C1287" s="12"/>
      <c r="D1287" s="123">
        <v>610000004411</v>
      </c>
      <c r="E1287" s="123">
        <f>VLOOKUP(D1287,'[1]Task list &amp; Maintenace plan'!$B:$G,6,FALSE)</f>
        <v>100845</v>
      </c>
      <c r="F1287" s="124" t="s">
        <v>1885</v>
      </c>
      <c r="G1287" s="180" t="s">
        <v>1853</v>
      </c>
      <c r="H1287" s="107" t="s">
        <v>1897</v>
      </c>
      <c r="I1287" s="181">
        <v>60</v>
      </c>
      <c r="J1287" s="181">
        <v>1</v>
      </c>
      <c r="K1287" s="717"/>
      <c r="L1287" s="717"/>
      <c r="M1287" s="717"/>
      <c r="N1287" s="720"/>
    </row>
    <row r="1288" spans="1:14" x14ac:dyDescent="0.25">
      <c r="A1288" t="s">
        <v>180</v>
      </c>
      <c r="B1288" s="11" t="s">
        <v>1850</v>
      </c>
      <c r="C1288" s="12"/>
      <c r="D1288" s="123">
        <v>610000004411</v>
      </c>
      <c r="E1288" s="123">
        <f>VLOOKUP(D1288,'[1]Task list &amp; Maintenace plan'!$B:$G,6,FALSE)</f>
        <v>100845</v>
      </c>
      <c r="F1288" s="124" t="s">
        <v>1885</v>
      </c>
      <c r="G1288" s="180" t="s">
        <v>1853</v>
      </c>
      <c r="H1288" s="107" t="s">
        <v>1898</v>
      </c>
      <c r="I1288" s="181">
        <v>60</v>
      </c>
      <c r="J1288" s="181">
        <v>1</v>
      </c>
      <c r="K1288" s="717"/>
      <c r="L1288" s="717"/>
      <c r="M1288" s="717"/>
      <c r="N1288" s="720"/>
    </row>
    <row r="1289" spans="1:14" x14ac:dyDescent="0.25">
      <c r="A1289" t="s">
        <v>180</v>
      </c>
      <c r="B1289" s="11" t="s">
        <v>1850</v>
      </c>
      <c r="C1289" s="12"/>
      <c r="D1289" s="123">
        <v>610000004411</v>
      </c>
      <c r="E1289" s="123">
        <f>VLOOKUP(D1289,'[1]Task list &amp; Maintenace plan'!$B:$G,6,FALSE)</f>
        <v>100845</v>
      </c>
      <c r="F1289" s="124" t="s">
        <v>1885</v>
      </c>
      <c r="G1289" s="180" t="s">
        <v>1853</v>
      </c>
      <c r="H1289" s="107" t="s">
        <v>1899</v>
      </c>
      <c r="I1289" s="181">
        <v>60</v>
      </c>
      <c r="J1289" s="181">
        <v>1</v>
      </c>
      <c r="K1289" s="717"/>
      <c r="L1289" s="717"/>
      <c r="M1289" s="717"/>
      <c r="N1289" s="720"/>
    </row>
    <row r="1290" spans="1:14" x14ac:dyDescent="0.25">
      <c r="A1290" t="s">
        <v>180</v>
      </c>
      <c r="B1290" s="11" t="s">
        <v>1850</v>
      </c>
      <c r="C1290" s="12"/>
      <c r="D1290" s="123">
        <v>610000004411</v>
      </c>
      <c r="E1290" s="123">
        <f>VLOOKUP(D1290,'[1]Task list &amp; Maintenace plan'!$B:$G,6,FALSE)</f>
        <v>100845</v>
      </c>
      <c r="F1290" s="124" t="s">
        <v>1885</v>
      </c>
      <c r="G1290" s="180" t="s">
        <v>1853</v>
      </c>
      <c r="H1290" s="107" t="s">
        <v>1900</v>
      </c>
      <c r="I1290" s="181">
        <v>60</v>
      </c>
      <c r="J1290" s="181">
        <v>1</v>
      </c>
      <c r="K1290" s="717"/>
      <c r="L1290" s="717"/>
      <c r="M1290" s="717"/>
      <c r="N1290" s="720"/>
    </row>
    <row r="1291" spans="1:14" x14ac:dyDescent="0.25">
      <c r="A1291" t="s">
        <v>180</v>
      </c>
      <c r="B1291" s="11" t="s">
        <v>1850</v>
      </c>
      <c r="C1291" s="12"/>
      <c r="D1291" s="123">
        <v>610000004411</v>
      </c>
      <c r="E1291" s="123">
        <f>VLOOKUP(D1291,'[1]Task list &amp; Maintenace plan'!$B:$G,6,FALSE)</f>
        <v>100845</v>
      </c>
      <c r="F1291" s="124" t="s">
        <v>1885</v>
      </c>
      <c r="G1291" s="180" t="s">
        <v>1853</v>
      </c>
      <c r="H1291" s="107" t="s">
        <v>1901</v>
      </c>
      <c r="I1291" s="181">
        <v>60</v>
      </c>
      <c r="J1291" s="181">
        <v>1</v>
      </c>
      <c r="K1291" s="717"/>
      <c r="L1291" s="717"/>
      <c r="M1291" s="717"/>
      <c r="N1291" s="720"/>
    </row>
    <row r="1292" spans="1:14" x14ac:dyDescent="0.25">
      <c r="A1292" t="s">
        <v>180</v>
      </c>
      <c r="B1292" s="11" t="s">
        <v>1850</v>
      </c>
      <c r="C1292" s="12"/>
      <c r="D1292" s="100">
        <v>610000004411</v>
      </c>
      <c r="E1292" s="100">
        <f>VLOOKUP(D1292,'[1]Task list &amp; Maintenace plan'!$B:$G,6,FALSE)</f>
        <v>100845</v>
      </c>
      <c r="F1292" s="101" t="s">
        <v>1885</v>
      </c>
      <c r="G1292" s="178" t="s">
        <v>1851</v>
      </c>
      <c r="H1292" s="102" t="s">
        <v>1902</v>
      </c>
      <c r="I1292" s="179">
        <v>60</v>
      </c>
      <c r="J1292" s="179">
        <v>1</v>
      </c>
      <c r="K1292" s="717"/>
      <c r="L1292" s="717"/>
      <c r="M1292" s="717"/>
      <c r="N1292" s="720"/>
    </row>
    <row r="1293" spans="1:14" x14ac:dyDescent="0.25">
      <c r="A1293" t="s">
        <v>180</v>
      </c>
      <c r="B1293" s="11" t="s">
        <v>1850</v>
      </c>
      <c r="C1293" s="12"/>
      <c r="D1293" s="100">
        <v>610000004411</v>
      </c>
      <c r="E1293" s="100">
        <f>VLOOKUP(D1293,'[1]Task list &amp; Maintenace plan'!$B:$G,6,FALSE)</f>
        <v>100845</v>
      </c>
      <c r="F1293" s="101" t="s">
        <v>1885</v>
      </c>
      <c r="G1293" s="178" t="s">
        <v>1851</v>
      </c>
      <c r="H1293" s="107" t="s">
        <v>1903</v>
      </c>
      <c r="I1293" s="181">
        <v>60</v>
      </c>
      <c r="J1293" s="181">
        <v>1</v>
      </c>
      <c r="K1293" s="717"/>
      <c r="L1293" s="717"/>
      <c r="M1293" s="717"/>
      <c r="N1293" s="720"/>
    </row>
    <row r="1294" spans="1:14" x14ac:dyDescent="0.25">
      <c r="A1294" t="s">
        <v>180</v>
      </c>
      <c r="B1294" s="11" t="s">
        <v>1850</v>
      </c>
      <c r="C1294" s="12"/>
      <c r="D1294" s="123">
        <v>610000004411</v>
      </c>
      <c r="E1294" s="123">
        <f>VLOOKUP(D1294,'[1]Task list &amp; Maintenace plan'!$B:$G,6,FALSE)</f>
        <v>100845</v>
      </c>
      <c r="F1294" s="124" t="s">
        <v>1885</v>
      </c>
      <c r="G1294" s="297" t="s">
        <v>1855</v>
      </c>
      <c r="H1294" s="107" t="s">
        <v>1904</v>
      </c>
      <c r="I1294" s="181">
        <v>60</v>
      </c>
      <c r="J1294" s="181">
        <v>1</v>
      </c>
      <c r="K1294" s="717"/>
      <c r="L1294" s="717"/>
      <c r="M1294" s="717"/>
      <c r="N1294" s="720"/>
    </row>
    <row r="1295" spans="1:14" ht="15.75" thickBot="1" x14ac:dyDescent="0.3">
      <c r="A1295" t="s">
        <v>180</v>
      </c>
      <c r="B1295" s="11" t="s">
        <v>1850</v>
      </c>
      <c r="C1295" s="27"/>
      <c r="D1295" s="147">
        <v>610000004411</v>
      </c>
      <c r="E1295" s="147">
        <f>VLOOKUP(D1295,'[1]Task list &amp; Maintenace plan'!$B:$G,6,FALSE)</f>
        <v>100845</v>
      </c>
      <c r="F1295" s="148" t="s">
        <v>1885</v>
      </c>
      <c r="G1295" s="309" t="s">
        <v>1855</v>
      </c>
      <c r="H1295" s="149" t="s">
        <v>1905</v>
      </c>
      <c r="I1295" s="190">
        <v>60</v>
      </c>
      <c r="J1295" s="190">
        <v>1</v>
      </c>
      <c r="K1295" s="727"/>
      <c r="L1295" s="727"/>
      <c r="M1295" s="727"/>
      <c r="N1295" s="728"/>
    </row>
    <row r="1296" spans="1:14" ht="15.75" thickBot="1" x14ac:dyDescent="0.3">
      <c r="A1296" t="s">
        <v>180</v>
      </c>
      <c r="B1296" s="11" t="s">
        <v>1850</v>
      </c>
      <c r="C1296" s="27"/>
      <c r="D1296" s="125"/>
      <c r="E1296" s="125" t="e">
        <f>VLOOKUP(D1296,'[1]Task list &amp; Maintenace plan'!$B:$G,6,FALSE)</f>
        <v>#N/A</v>
      </c>
      <c r="F1296" s="129" t="s">
        <v>1906</v>
      </c>
      <c r="G1296" s="223" t="s">
        <v>1840</v>
      </c>
      <c r="H1296" s="223" t="s">
        <v>1907</v>
      </c>
      <c r="I1296" s="310">
        <v>180</v>
      </c>
      <c r="J1296" s="310"/>
      <c r="K1296" s="310"/>
      <c r="L1296" s="310"/>
      <c r="M1296" s="310"/>
      <c r="N1296" s="311"/>
    </row>
    <row r="1297" spans="1:14" x14ac:dyDescent="0.25">
      <c r="A1297" t="s">
        <v>180</v>
      </c>
      <c r="B1297" s="11" t="s">
        <v>1908</v>
      </c>
      <c r="C1297" s="12"/>
      <c r="D1297" s="312">
        <v>610000004412</v>
      </c>
      <c r="E1297" s="312">
        <f>VLOOKUP(D1297,'[1]Task list &amp; Maintenace plan'!$B:$G,6,FALSE)</f>
        <v>100846</v>
      </c>
      <c r="F1297" s="313" t="s">
        <v>1910</v>
      </c>
      <c r="G1297" s="314" t="s">
        <v>1911</v>
      </c>
      <c r="H1297" s="314" t="s">
        <v>1854</v>
      </c>
      <c r="I1297" s="315">
        <v>60</v>
      </c>
      <c r="J1297" s="315"/>
      <c r="K1297" s="722">
        <v>15</v>
      </c>
      <c r="L1297" s="722">
        <v>1</v>
      </c>
      <c r="M1297" s="722">
        <f>L1297*K1297</f>
        <v>15</v>
      </c>
      <c r="N1297" s="723" t="s">
        <v>20</v>
      </c>
    </row>
    <row r="1298" spans="1:14" x14ac:dyDescent="0.25">
      <c r="A1298" t="s">
        <v>180</v>
      </c>
      <c r="B1298" s="11" t="s">
        <v>1908</v>
      </c>
      <c r="C1298" s="12"/>
      <c r="D1298" s="123">
        <v>610000004412</v>
      </c>
      <c r="E1298" s="123">
        <f>VLOOKUP(D1298,'[1]Task list &amp; Maintenace plan'!$B:$G,6,FALSE)</f>
        <v>100846</v>
      </c>
      <c r="F1298" s="124" t="s">
        <v>1910</v>
      </c>
      <c r="G1298" s="180" t="s">
        <v>1912</v>
      </c>
      <c r="H1298" s="180" t="s">
        <v>1856</v>
      </c>
      <c r="I1298" s="181">
        <v>60</v>
      </c>
      <c r="J1298" s="181"/>
      <c r="K1298" s="717"/>
      <c r="L1298" s="717"/>
      <c r="M1298" s="717"/>
      <c r="N1298" s="720"/>
    </row>
    <row r="1299" spans="1:14" x14ac:dyDescent="0.25">
      <c r="A1299" t="s">
        <v>180</v>
      </c>
      <c r="B1299" s="11" t="s">
        <v>1908</v>
      </c>
      <c r="C1299" s="12"/>
      <c r="D1299" s="123">
        <v>610000004412</v>
      </c>
      <c r="E1299" s="123">
        <f>VLOOKUP(D1299,'[1]Task list &amp; Maintenace plan'!$B:$G,6,FALSE)</f>
        <v>100846</v>
      </c>
      <c r="F1299" s="124" t="s">
        <v>1910</v>
      </c>
      <c r="G1299" s="180" t="s">
        <v>1914</v>
      </c>
      <c r="H1299" s="180" t="s">
        <v>1915</v>
      </c>
      <c r="I1299" s="181">
        <v>60</v>
      </c>
      <c r="J1299" s="181"/>
      <c r="K1299" s="717"/>
      <c r="L1299" s="717"/>
      <c r="M1299" s="717"/>
      <c r="N1299" s="720"/>
    </row>
    <row r="1300" spans="1:14" x14ac:dyDescent="0.25">
      <c r="A1300" t="s">
        <v>180</v>
      </c>
      <c r="B1300" s="11" t="s">
        <v>1908</v>
      </c>
      <c r="C1300" s="12"/>
      <c r="D1300" s="103">
        <v>610000004412</v>
      </c>
      <c r="E1300" s="103">
        <f>VLOOKUP(D1300,'[1]Task list &amp; Maintenace plan'!$B:$G,6,FALSE)</f>
        <v>100846</v>
      </c>
      <c r="F1300" s="85" t="s">
        <v>1910</v>
      </c>
      <c r="G1300" s="182" t="s">
        <v>1917</v>
      </c>
      <c r="H1300" s="182" t="s">
        <v>1859</v>
      </c>
      <c r="I1300" s="183">
        <v>60</v>
      </c>
      <c r="J1300" s="183"/>
      <c r="K1300" s="718"/>
      <c r="L1300" s="718"/>
      <c r="M1300" s="718"/>
      <c r="N1300" s="721"/>
    </row>
    <row r="1301" spans="1:14" x14ac:dyDescent="0.25">
      <c r="A1301" t="s">
        <v>180</v>
      </c>
      <c r="B1301" s="11" t="s">
        <v>1908</v>
      </c>
      <c r="C1301" s="12"/>
      <c r="D1301" s="100">
        <v>610000004413</v>
      </c>
      <c r="E1301" s="100">
        <f>VLOOKUP(D1301,'[1]Task list &amp; Maintenace plan'!$B:$G,6,FALSE)</f>
        <v>100847</v>
      </c>
      <c r="F1301" s="101" t="s">
        <v>1919</v>
      </c>
      <c r="G1301" s="178" t="s">
        <v>1911</v>
      </c>
      <c r="H1301" s="178" t="s">
        <v>1861</v>
      </c>
      <c r="I1301" s="179">
        <v>60</v>
      </c>
      <c r="J1301" s="179"/>
      <c r="K1301" s="716">
        <v>15</v>
      </c>
      <c r="L1301" s="716">
        <v>1</v>
      </c>
      <c r="M1301" s="716">
        <f>L1301*K1301</f>
        <v>15</v>
      </c>
      <c r="N1301" s="719" t="s">
        <v>20</v>
      </c>
    </row>
    <row r="1302" spans="1:14" x14ac:dyDescent="0.25">
      <c r="A1302" t="s">
        <v>180</v>
      </c>
      <c r="B1302" s="11" t="s">
        <v>1908</v>
      </c>
      <c r="C1302" s="12"/>
      <c r="D1302" s="123">
        <v>610000004413</v>
      </c>
      <c r="E1302" s="123">
        <f>VLOOKUP(D1302,'[1]Task list &amp; Maintenace plan'!$B:$G,6,FALSE)</f>
        <v>100847</v>
      </c>
      <c r="F1302" s="124" t="s">
        <v>1919</v>
      </c>
      <c r="G1302" s="180" t="s">
        <v>1912</v>
      </c>
      <c r="H1302" s="180" t="s">
        <v>1862</v>
      </c>
      <c r="I1302" s="181">
        <v>60</v>
      </c>
      <c r="J1302" s="181"/>
      <c r="K1302" s="717"/>
      <c r="L1302" s="717"/>
      <c r="M1302" s="717"/>
      <c r="N1302" s="720"/>
    </row>
    <row r="1303" spans="1:14" x14ac:dyDescent="0.25">
      <c r="A1303" t="s">
        <v>180</v>
      </c>
      <c r="B1303" s="11" t="s">
        <v>1908</v>
      </c>
      <c r="C1303" s="12"/>
      <c r="D1303" s="123">
        <v>610000004413</v>
      </c>
      <c r="E1303" s="123">
        <f>VLOOKUP(D1303,'[1]Task list &amp; Maintenace plan'!$B:$G,6,FALSE)</f>
        <v>100847</v>
      </c>
      <c r="F1303" s="124" t="s">
        <v>1919</v>
      </c>
      <c r="G1303" s="180" t="s">
        <v>1922</v>
      </c>
      <c r="H1303" s="180" t="s">
        <v>1863</v>
      </c>
      <c r="I1303" s="181">
        <v>60</v>
      </c>
      <c r="J1303" s="181"/>
      <c r="K1303" s="717"/>
      <c r="L1303" s="717"/>
      <c r="M1303" s="717"/>
      <c r="N1303" s="720"/>
    </row>
    <row r="1304" spans="1:14" x14ac:dyDescent="0.25">
      <c r="A1304" t="s">
        <v>180</v>
      </c>
      <c r="B1304" s="11" t="s">
        <v>1908</v>
      </c>
      <c r="C1304" s="12"/>
      <c r="D1304" s="123">
        <v>610000004413</v>
      </c>
      <c r="E1304" s="123">
        <f>VLOOKUP(D1304,'[1]Task list &amp; Maintenace plan'!$B:$G,6,FALSE)</f>
        <v>100847</v>
      </c>
      <c r="F1304" s="124" t="s">
        <v>1919</v>
      </c>
      <c r="G1304" s="180" t="s">
        <v>1923</v>
      </c>
      <c r="H1304" s="180" t="s">
        <v>1864</v>
      </c>
      <c r="I1304" s="181">
        <v>60</v>
      </c>
      <c r="J1304" s="181"/>
      <c r="K1304" s="717"/>
      <c r="L1304" s="717"/>
      <c r="M1304" s="717"/>
      <c r="N1304" s="720"/>
    </row>
    <row r="1305" spans="1:14" x14ac:dyDescent="0.25">
      <c r="A1305" t="s">
        <v>180</v>
      </c>
      <c r="B1305" s="11" t="s">
        <v>1908</v>
      </c>
      <c r="C1305" s="12"/>
      <c r="D1305" s="123">
        <v>610000004413</v>
      </c>
      <c r="E1305" s="123">
        <f>VLOOKUP(D1305,'[1]Task list &amp; Maintenace plan'!$B:$G,6,FALSE)</f>
        <v>100847</v>
      </c>
      <c r="F1305" s="124" t="s">
        <v>1919</v>
      </c>
      <c r="G1305" s="180" t="s">
        <v>1924</v>
      </c>
      <c r="H1305" s="180" t="s">
        <v>1865</v>
      </c>
      <c r="I1305" s="181">
        <v>60</v>
      </c>
      <c r="J1305" s="181"/>
      <c r="K1305" s="717"/>
      <c r="L1305" s="717"/>
      <c r="M1305" s="717"/>
      <c r="N1305" s="720"/>
    </row>
    <row r="1306" spans="1:14" x14ac:dyDescent="0.25">
      <c r="A1306" t="s">
        <v>180</v>
      </c>
      <c r="B1306" s="11" t="s">
        <v>1908</v>
      </c>
      <c r="C1306" s="12"/>
      <c r="D1306" s="123">
        <v>610000004413</v>
      </c>
      <c r="E1306" s="123">
        <f>VLOOKUP(D1306,'[1]Task list &amp; Maintenace plan'!$B:$G,6,FALSE)</f>
        <v>100847</v>
      </c>
      <c r="F1306" s="124" t="s">
        <v>1919</v>
      </c>
      <c r="G1306" s="180" t="s">
        <v>1925</v>
      </c>
      <c r="H1306" s="180" t="s">
        <v>1866</v>
      </c>
      <c r="I1306" s="181">
        <v>60</v>
      </c>
      <c r="J1306" s="181"/>
      <c r="K1306" s="717"/>
      <c r="L1306" s="717"/>
      <c r="M1306" s="717"/>
      <c r="N1306" s="720"/>
    </row>
    <row r="1307" spans="1:14" x14ac:dyDescent="0.25">
      <c r="A1307" t="s">
        <v>180</v>
      </c>
      <c r="B1307" s="11" t="s">
        <v>1908</v>
      </c>
      <c r="C1307" s="12"/>
      <c r="D1307" s="123">
        <v>610000004413</v>
      </c>
      <c r="E1307" s="123">
        <f>VLOOKUP(D1307,'[1]Task list &amp; Maintenace plan'!$B:$G,6,FALSE)</f>
        <v>100847</v>
      </c>
      <c r="F1307" s="124" t="s">
        <v>1919</v>
      </c>
      <c r="G1307" s="180" t="s">
        <v>1914</v>
      </c>
      <c r="H1307" s="180" t="s">
        <v>1867</v>
      </c>
      <c r="I1307" s="181">
        <v>60</v>
      </c>
      <c r="J1307" s="181"/>
      <c r="K1307" s="717"/>
      <c r="L1307" s="717"/>
      <c r="M1307" s="717"/>
      <c r="N1307" s="720"/>
    </row>
    <row r="1308" spans="1:14" x14ac:dyDescent="0.25">
      <c r="A1308" t="s">
        <v>180</v>
      </c>
      <c r="B1308" s="11" t="s">
        <v>1908</v>
      </c>
      <c r="C1308" s="12"/>
      <c r="D1308" s="123">
        <v>610000004413</v>
      </c>
      <c r="E1308" s="123">
        <f>VLOOKUP(D1308,'[1]Task list &amp; Maintenace plan'!$B:$G,6,FALSE)</f>
        <v>100847</v>
      </c>
      <c r="F1308" s="124" t="s">
        <v>1919</v>
      </c>
      <c r="G1308" s="180" t="s">
        <v>1926</v>
      </c>
      <c r="H1308" s="180" t="s">
        <v>1868</v>
      </c>
      <c r="I1308" s="181">
        <v>60</v>
      </c>
      <c r="J1308" s="181"/>
      <c r="K1308" s="717"/>
      <c r="L1308" s="717"/>
      <c r="M1308" s="717"/>
      <c r="N1308" s="720"/>
    </row>
    <row r="1309" spans="1:14" x14ac:dyDescent="0.25">
      <c r="A1309" t="s">
        <v>180</v>
      </c>
      <c r="B1309" s="11" t="s">
        <v>1908</v>
      </c>
      <c r="C1309" s="12"/>
      <c r="D1309" s="123">
        <v>610000004413</v>
      </c>
      <c r="E1309" s="123">
        <f>VLOOKUP(D1309,'[1]Task list &amp; Maintenace plan'!$B:$G,6,FALSE)</f>
        <v>100847</v>
      </c>
      <c r="F1309" s="124" t="s">
        <v>1919</v>
      </c>
      <c r="G1309" s="180" t="s">
        <v>1927</v>
      </c>
      <c r="H1309" s="180" t="s">
        <v>1869</v>
      </c>
      <c r="I1309" s="181">
        <v>60</v>
      </c>
      <c r="J1309" s="181"/>
      <c r="K1309" s="717"/>
      <c r="L1309" s="717"/>
      <c r="M1309" s="717"/>
      <c r="N1309" s="720"/>
    </row>
    <row r="1310" spans="1:14" x14ac:dyDescent="0.25">
      <c r="A1310" t="s">
        <v>180</v>
      </c>
      <c r="B1310" s="11" t="s">
        <v>1908</v>
      </c>
      <c r="C1310" s="12"/>
      <c r="D1310" s="123">
        <v>610000004413</v>
      </c>
      <c r="E1310" s="123">
        <f>VLOOKUP(D1310,'[1]Task list &amp; Maintenace plan'!$B:$G,6,FALSE)</f>
        <v>100847</v>
      </c>
      <c r="F1310" s="124" t="s">
        <v>1919</v>
      </c>
      <c r="G1310" s="180" t="s">
        <v>1928</v>
      </c>
      <c r="H1310" s="180" t="s">
        <v>1870</v>
      </c>
      <c r="I1310" s="181">
        <v>60</v>
      </c>
      <c r="J1310" s="181"/>
      <c r="K1310" s="717"/>
      <c r="L1310" s="717"/>
      <c r="M1310" s="717"/>
      <c r="N1310" s="720"/>
    </row>
    <row r="1311" spans="1:14" x14ac:dyDescent="0.25">
      <c r="A1311" t="s">
        <v>180</v>
      </c>
      <c r="B1311" s="11" t="s">
        <v>1908</v>
      </c>
      <c r="C1311" s="12"/>
      <c r="D1311" s="123">
        <v>610000004413</v>
      </c>
      <c r="E1311" s="123">
        <f>VLOOKUP(D1311,'[1]Task list &amp; Maintenace plan'!$B:$G,6,FALSE)</f>
        <v>100847</v>
      </c>
      <c r="F1311" s="124" t="s">
        <v>1919</v>
      </c>
      <c r="G1311" s="180" t="s">
        <v>1929</v>
      </c>
      <c r="H1311" s="180" t="s">
        <v>1871</v>
      </c>
      <c r="I1311" s="181">
        <v>60</v>
      </c>
      <c r="J1311" s="181"/>
      <c r="K1311" s="717"/>
      <c r="L1311" s="717"/>
      <c r="M1311" s="717"/>
      <c r="N1311" s="720"/>
    </row>
    <row r="1312" spans="1:14" x14ac:dyDescent="0.25">
      <c r="A1312" t="s">
        <v>180</v>
      </c>
      <c r="B1312" s="11" t="s">
        <v>1908</v>
      </c>
      <c r="C1312" s="12"/>
      <c r="D1312" s="123">
        <v>610000004413</v>
      </c>
      <c r="E1312" s="123">
        <f>VLOOKUP(D1312,'[1]Task list &amp; Maintenace plan'!$B:$G,6,FALSE)</f>
        <v>100847</v>
      </c>
      <c r="F1312" s="124" t="s">
        <v>1919</v>
      </c>
      <c r="G1312" s="180" t="s">
        <v>1930</v>
      </c>
      <c r="H1312" s="180" t="s">
        <v>1872</v>
      </c>
      <c r="I1312" s="181">
        <v>60</v>
      </c>
      <c r="J1312" s="181"/>
      <c r="K1312" s="717"/>
      <c r="L1312" s="717"/>
      <c r="M1312" s="717"/>
      <c r="N1312" s="720"/>
    </row>
    <row r="1313" spans="1:14" x14ac:dyDescent="0.25">
      <c r="A1313" t="s">
        <v>180</v>
      </c>
      <c r="B1313" s="11" t="s">
        <v>1908</v>
      </c>
      <c r="C1313" s="12"/>
      <c r="D1313" s="123">
        <v>610000004413</v>
      </c>
      <c r="E1313" s="123">
        <f>VLOOKUP(D1313,'[1]Task list &amp; Maintenace plan'!$B:$G,6,FALSE)</f>
        <v>100847</v>
      </c>
      <c r="F1313" s="124" t="s">
        <v>1919</v>
      </c>
      <c r="G1313" s="180" t="s">
        <v>1931</v>
      </c>
      <c r="H1313" s="180" t="s">
        <v>1873</v>
      </c>
      <c r="I1313" s="181">
        <v>60</v>
      </c>
      <c r="J1313" s="181"/>
      <c r="K1313" s="717"/>
      <c r="L1313" s="717"/>
      <c r="M1313" s="717"/>
      <c r="N1313" s="720"/>
    </row>
    <row r="1314" spans="1:14" x14ac:dyDescent="0.25">
      <c r="A1314" t="s">
        <v>180</v>
      </c>
      <c r="B1314" s="11" t="s">
        <v>1908</v>
      </c>
      <c r="C1314" s="12"/>
      <c r="D1314" s="123">
        <v>610000004413</v>
      </c>
      <c r="E1314" s="123">
        <f>VLOOKUP(D1314,'[1]Task list &amp; Maintenace plan'!$B:$G,6,FALSE)</f>
        <v>100847</v>
      </c>
      <c r="F1314" s="124" t="s">
        <v>1919</v>
      </c>
      <c r="G1314" s="180" t="s">
        <v>1932</v>
      </c>
      <c r="H1314" s="180" t="s">
        <v>1874</v>
      </c>
      <c r="I1314" s="181">
        <v>60</v>
      </c>
      <c r="J1314" s="181"/>
      <c r="K1314" s="717"/>
      <c r="L1314" s="717"/>
      <c r="M1314" s="717"/>
      <c r="N1314" s="720"/>
    </row>
    <row r="1315" spans="1:14" x14ac:dyDescent="0.25">
      <c r="A1315" t="s">
        <v>180</v>
      </c>
      <c r="B1315" s="11" t="s">
        <v>1908</v>
      </c>
      <c r="C1315" s="12"/>
      <c r="D1315" s="123">
        <v>610000004413</v>
      </c>
      <c r="E1315" s="123">
        <f>VLOOKUP(D1315,'[1]Task list &amp; Maintenace plan'!$B:$G,6,FALSE)</f>
        <v>100847</v>
      </c>
      <c r="F1315" s="124" t="s">
        <v>1919</v>
      </c>
      <c r="G1315" s="180" t="s">
        <v>1933</v>
      </c>
      <c r="H1315" s="180" t="s">
        <v>1875</v>
      </c>
      <c r="I1315" s="181">
        <v>60</v>
      </c>
      <c r="J1315" s="181"/>
      <c r="K1315" s="717"/>
      <c r="L1315" s="717"/>
      <c r="M1315" s="717"/>
      <c r="N1315" s="720"/>
    </row>
    <row r="1316" spans="1:14" x14ac:dyDescent="0.25">
      <c r="A1316" t="s">
        <v>180</v>
      </c>
      <c r="B1316" s="11" t="s">
        <v>1908</v>
      </c>
      <c r="C1316" s="12"/>
      <c r="D1316" s="103">
        <v>610000004413</v>
      </c>
      <c r="E1316" s="103">
        <f>VLOOKUP(D1316,'[1]Task list &amp; Maintenace plan'!$B:$G,6,FALSE)</f>
        <v>100847</v>
      </c>
      <c r="F1316" s="85" t="s">
        <v>1919</v>
      </c>
      <c r="G1316" s="182" t="s">
        <v>1917</v>
      </c>
      <c r="H1316" s="182" t="s">
        <v>1876</v>
      </c>
      <c r="I1316" s="183">
        <v>60</v>
      </c>
      <c r="J1316" s="183"/>
      <c r="K1316" s="718"/>
      <c r="L1316" s="718"/>
      <c r="M1316" s="718"/>
      <c r="N1316" s="721"/>
    </row>
    <row r="1317" spans="1:14" x14ac:dyDescent="0.25">
      <c r="A1317" t="s">
        <v>180</v>
      </c>
      <c r="B1317" s="11" t="s">
        <v>1908</v>
      </c>
      <c r="C1317" s="12"/>
      <c r="D1317" s="100">
        <v>610000004414</v>
      </c>
      <c r="E1317" s="100">
        <f>VLOOKUP(D1317,'[1]Task list &amp; Maintenace plan'!$B:$G,6,FALSE)</f>
        <v>100848</v>
      </c>
      <c r="F1317" s="101" t="s">
        <v>1934</v>
      </c>
      <c r="G1317" s="178" t="s">
        <v>1909</v>
      </c>
      <c r="H1317" s="178" t="s">
        <v>1935</v>
      </c>
      <c r="I1317" s="179">
        <v>90</v>
      </c>
      <c r="J1317" s="179">
        <v>1</v>
      </c>
      <c r="K1317" s="716">
        <v>180</v>
      </c>
      <c r="L1317" s="716">
        <v>1</v>
      </c>
      <c r="M1317" s="716">
        <f>L1317*K1317</f>
        <v>180</v>
      </c>
      <c r="N1317" s="719" t="s">
        <v>34</v>
      </c>
    </row>
    <row r="1318" spans="1:14" x14ac:dyDescent="0.25">
      <c r="A1318" t="s">
        <v>180</v>
      </c>
      <c r="B1318" s="11" t="s">
        <v>1908</v>
      </c>
      <c r="C1318" s="12"/>
      <c r="D1318" s="140">
        <v>610000004414</v>
      </c>
      <c r="E1318" s="140">
        <f>VLOOKUP(D1318,'[1]Task list &amp; Maintenace plan'!$B:$G,6,FALSE)</f>
        <v>100848</v>
      </c>
      <c r="F1318" s="141" t="s">
        <v>1934</v>
      </c>
      <c r="G1318" s="293" t="s">
        <v>1936</v>
      </c>
      <c r="H1318" s="178" t="s">
        <v>1937</v>
      </c>
      <c r="I1318" s="179">
        <v>90</v>
      </c>
      <c r="J1318" s="179">
        <v>1</v>
      </c>
      <c r="K1318" s="717"/>
      <c r="L1318" s="717"/>
      <c r="M1318" s="717"/>
      <c r="N1318" s="720"/>
    </row>
    <row r="1319" spans="1:14" x14ac:dyDescent="0.25">
      <c r="A1319" t="s">
        <v>180</v>
      </c>
      <c r="B1319" s="11" t="s">
        <v>1908</v>
      </c>
      <c r="C1319" s="12"/>
      <c r="D1319" s="123">
        <v>610000004414</v>
      </c>
      <c r="E1319" s="123">
        <f>VLOOKUP(D1319,'[1]Task list &amp; Maintenace plan'!$B:$G,6,FALSE)</f>
        <v>100848</v>
      </c>
      <c r="F1319" s="124" t="s">
        <v>1934</v>
      </c>
      <c r="G1319" s="180" t="s">
        <v>1909</v>
      </c>
      <c r="H1319" s="180" t="s">
        <v>1938</v>
      </c>
      <c r="I1319" s="181">
        <v>90</v>
      </c>
      <c r="J1319" s="181">
        <v>1</v>
      </c>
      <c r="K1319" s="717"/>
      <c r="L1319" s="717"/>
      <c r="M1319" s="717"/>
      <c r="N1319" s="720"/>
    </row>
    <row r="1320" spans="1:14" x14ac:dyDescent="0.25">
      <c r="A1320" t="s">
        <v>180</v>
      </c>
      <c r="B1320" s="11" t="s">
        <v>1908</v>
      </c>
      <c r="C1320" s="12"/>
      <c r="D1320" s="123">
        <v>610000004414</v>
      </c>
      <c r="E1320" s="123">
        <f>VLOOKUP(D1320,'[1]Task list &amp; Maintenace plan'!$B:$G,6,FALSE)</f>
        <v>100848</v>
      </c>
      <c r="F1320" s="124" t="s">
        <v>1934</v>
      </c>
      <c r="G1320" s="180" t="s">
        <v>1909</v>
      </c>
      <c r="H1320" s="180" t="s">
        <v>1939</v>
      </c>
      <c r="I1320" s="181">
        <v>90</v>
      </c>
      <c r="J1320" s="181">
        <v>1</v>
      </c>
      <c r="K1320" s="717"/>
      <c r="L1320" s="717"/>
      <c r="M1320" s="717"/>
      <c r="N1320" s="720"/>
    </row>
    <row r="1321" spans="1:14" x14ac:dyDescent="0.25">
      <c r="A1321" t="s">
        <v>180</v>
      </c>
      <c r="B1321" s="11" t="s">
        <v>1908</v>
      </c>
      <c r="C1321" s="12"/>
      <c r="D1321" s="123">
        <v>610000004414</v>
      </c>
      <c r="E1321" s="123">
        <f>VLOOKUP(D1321,'[1]Task list &amp; Maintenace plan'!$B:$G,6,FALSE)</f>
        <v>100848</v>
      </c>
      <c r="F1321" s="124" t="s">
        <v>1934</v>
      </c>
      <c r="G1321" s="180" t="s">
        <v>1909</v>
      </c>
      <c r="H1321" s="180" t="s">
        <v>1940</v>
      </c>
      <c r="I1321" s="181">
        <v>90</v>
      </c>
      <c r="J1321" s="181">
        <v>1</v>
      </c>
      <c r="K1321" s="717"/>
      <c r="L1321" s="717"/>
      <c r="M1321" s="717"/>
      <c r="N1321" s="720"/>
    </row>
    <row r="1322" spans="1:14" x14ac:dyDescent="0.25">
      <c r="A1322" t="s">
        <v>180</v>
      </c>
      <c r="B1322" s="11" t="s">
        <v>1908</v>
      </c>
      <c r="C1322" s="12"/>
      <c r="D1322" s="123">
        <v>610000004414</v>
      </c>
      <c r="E1322" s="123">
        <f>VLOOKUP(D1322,'[1]Task list &amp; Maintenace plan'!$B:$G,6,FALSE)</f>
        <v>100848</v>
      </c>
      <c r="F1322" s="124" t="s">
        <v>1934</v>
      </c>
      <c r="G1322" s="180" t="s">
        <v>1909</v>
      </c>
      <c r="H1322" s="180" t="s">
        <v>1941</v>
      </c>
      <c r="I1322" s="181">
        <v>90</v>
      </c>
      <c r="J1322" s="181">
        <v>1</v>
      </c>
      <c r="K1322" s="717"/>
      <c r="L1322" s="717"/>
      <c r="M1322" s="717"/>
      <c r="N1322" s="720"/>
    </row>
    <row r="1323" spans="1:14" x14ac:dyDescent="0.25">
      <c r="A1323" t="s">
        <v>180</v>
      </c>
      <c r="B1323" s="11" t="s">
        <v>1908</v>
      </c>
      <c r="C1323" s="12"/>
      <c r="D1323" s="100">
        <v>610000004414</v>
      </c>
      <c r="E1323" s="100">
        <f>VLOOKUP(D1323,'[1]Task list &amp; Maintenace plan'!$B:$G,6,FALSE)</f>
        <v>100848</v>
      </c>
      <c r="F1323" s="101" t="s">
        <v>1934</v>
      </c>
      <c r="G1323" s="178" t="s">
        <v>1909</v>
      </c>
      <c r="H1323" s="180" t="s">
        <v>1942</v>
      </c>
      <c r="I1323" s="181">
        <v>90</v>
      </c>
      <c r="J1323" s="181">
        <v>1</v>
      </c>
      <c r="K1323" s="717"/>
      <c r="L1323" s="717"/>
      <c r="M1323" s="717"/>
      <c r="N1323" s="720"/>
    </row>
    <row r="1324" spans="1:14" x14ac:dyDescent="0.25">
      <c r="A1324" t="s">
        <v>180</v>
      </c>
      <c r="B1324" s="11" t="s">
        <v>1908</v>
      </c>
      <c r="C1324" s="12"/>
      <c r="D1324" s="100">
        <v>610000004414</v>
      </c>
      <c r="E1324" s="100">
        <f>VLOOKUP(D1324,'[1]Task list &amp; Maintenace plan'!$B:$G,6,FALSE)</f>
        <v>100848</v>
      </c>
      <c r="F1324" s="101" t="s">
        <v>1934</v>
      </c>
      <c r="G1324" s="178" t="s">
        <v>1909</v>
      </c>
      <c r="H1324" s="180" t="s">
        <v>1943</v>
      </c>
      <c r="I1324" s="181">
        <v>90</v>
      </c>
      <c r="J1324" s="181">
        <v>1</v>
      </c>
      <c r="K1324" s="717"/>
      <c r="L1324" s="717"/>
      <c r="M1324" s="717"/>
      <c r="N1324" s="720"/>
    </row>
    <row r="1325" spans="1:14" x14ac:dyDescent="0.25">
      <c r="A1325" t="s">
        <v>180</v>
      </c>
      <c r="B1325" s="11" t="s">
        <v>1908</v>
      </c>
      <c r="C1325" s="12"/>
      <c r="D1325" s="140">
        <v>610000004414</v>
      </c>
      <c r="E1325" s="140">
        <f>VLOOKUP(D1325,'[1]Task list &amp; Maintenace plan'!$B:$G,6,FALSE)</f>
        <v>100848</v>
      </c>
      <c r="F1325" s="141" t="s">
        <v>1934</v>
      </c>
      <c r="G1325" s="293" t="s">
        <v>1936</v>
      </c>
      <c r="H1325" s="180" t="s">
        <v>1944</v>
      </c>
      <c r="I1325" s="181">
        <v>90</v>
      </c>
      <c r="J1325" s="181">
        <v>1</v>
      </c>
      <c r="K1325" s="717"/>
      <c r="L1325" s="717"/>
      <c r="M1325" s="717"/>
      <c r="N1325" s="720"/>
    </row>
    <row r="1326" spans="1:14" x14ac:dyDescent="0.25">
      <c r="A1326" t="s">
        <v>180</v>
      </c>
      <c r="B1326" s="11" t="s">
        <v>1908</v>
      </c>
      <c r="C1326" s="12"/>
      <c r="D1326" s="123">
        <v>610000004414</v>
      </c>
      <c r="E1326" s="123">
        <f>VLOOKUP(D1326,'[1]Task list &amp; Maintenace plan'!$B:$G,6,FALSE)</f>
        <v>100848</v>
      </c>
      <c r="F1326" s="124" t="s">
        <v>1934</v>
      </c>
      <c r="G1326" s="180" t="s">
        <v>1936</v>
      </c>
      <c r="H1326" s="180" t="s">
        <v>1945</v>
      </c>
      <c r="I1326" s="181">
        <v>90</v>
      </c>
      <c r="J1326" s="181">
        <v>1</v>
      </c>
      <c r="K1326" s="717"/>
      <c r="L1326" s="717"/>
      <c r="M1326" s="717"/>
      <c r="N1326" s="720"/>
    </row>
    <row r="1327" spans="1:14" x14ac:dyDescent="0.25">
      <c r="A1327" t="s">
        <v>180</v>
      </c>
      <c r="B1327" s="11" t="s">
        <v>1908</v>
      </c>
      <c r="C1327" s="12"/>
      <c r="D1327" s="123">
        <v>610000004414</v>
      </c>
      <c r="E1327" s="123">
        <f>VLOOKUP(D1327,'[1]Task list &amp; Maintenace plan'!$B:$G,6,FALSE)</f>
        <v>100848</v>
      </c>
      <c r="F1327" s="124" t="s">
        <v>1934</v>
      </c>
      <c r="G1327" s="180" t="s">
        <v>1936</v>
      </c>
      <c r="H1327" s="180" t="s">
        <v>1946</v>
      </c>
      <c r="I1327" s="181">
        <v>90</v>
      </c>
      <c r="J1327" s="181">
        <v>1</v>
      </c>
      <c r="K1327" s="717"/>
      <c r="L1327" s="717"/>
      <c r="M1327" s="717"/>
      <c r="N1327" s="720"/>
    </row>
    <row r="1328" spans="1:14" x14ac:dyDescent="0.25">
      <c r="A1328" t="s">
        <v>180</v>
      </c>
      <c r="B1328" s="11" t="s">
        <v>1908</v>
      </c>
      <c r="C1328" s="12"/>
      <c r="D1328" s="123">
        <v>610000004414</v>
      </c>
      <c r="E1328" s="123">
        <f>VLOOKUP(D1328,'[1]Task list &amp; Maintenace plan'!$B:$G,6,FALSE)</f>
        <v>100848</v>
      </c>
      <c r="F1328" s="124" t="s">
        <v>1934</v>
      </c>
      <c r="G1328" s="180" t="s">
        <v>1936</v>
      </c>
      <c r="H1328" s="180" t="s">
        <v>1947</v>
      </c>
      <c r="I1328" s="181">
        <v>90</v>
      </c>
      <c r="J1328" s="181">
        <v>1</v>
      </c>
      <c r="K1328" s="717"/>
      <c r="L1328" s="717"/>
      <c r="M1328" s="717"/>
      <c r="N1328" s="720"/>
    </row>
    <row r="1329" spans="1:14" x14ac:dyDescent="0.25">
      <c r="A1329" t="s">
        <v>180</v>
      </c>
      <c r="B1329" s="11" t="s">
        <v>1908</v>
      </c>
      <c r="C1329" s="12"/>
      <c r="D1329" s="123">
        <v>610000004414</v>
      </c>
      <c r="E1329" s="123">
        <f>VLOOKUP(D1329,'[1]Task list &amp; Maintenace plan'!$B:$G,6,FALSE)</f>
        <v>100848</v>
      </c>
      <c r="F1329" s="124" t="s">
        <v>1934</v>
      </c>
      <c r="G1329" s="180" t="s">
        <v>1936</v>
      </c>
      <c r="H1329" s="180" t="s">
        <v>1948</v>
      </c>
      <c r="I1329" s="181">
        <v>90</v>
      </c>
      <c r="J1329" s="181">
        <v>1</v>
      </c>
      <c r="K1329" s="717"/>
      <c r="L1329" s="717"/>
      <c r="M1329" s="717"/>
      <c r="N1329" s="720"/>
    </row>
    <row r="1330" spans="1:14" x14ac:dyDescent="0.25">
      <c r="A1330" t="s">
        <v>180</v>
      </c>
      <c r="B1330" s="11" t="s">
        <v>1908</v>
      </c>
      <c r="C1330" s="12"/>
      <c r="D1330" s="123">
        <v>610000004414</v>
      </c>
      <c r="E1330" s="123">
        <f>VLOOKUP(D1330,'[1]Task list &amp; Maintenace plan'!$B:$G,6,FALSE)</f>
        <v>100848</v>
      </c>
      <c r="F1330" s="124" t="s">
        <v>1934</v>
      </c>
      <c r="G1330" s="180" t="s">
        <v>1936</v>
      </c>
      <c r="H1330" s="180" t="s">
        <v>1949</v>
      </c>
      <c r="I1330" s="181">
        <v>90</v>
      </c>
      <c r="J1330" s="181">
        <v>1</v>
      </c>
      <c r="K1330" s="717"/>
      <c r="L1330" s="717"/>
      <c r="M1330" s="717"/>
      <c r="N1330" s="720"/>
    </row>
    <row r="1331" spans="1:14" x14ac:dyDescent="0.25">
      <c r="A1331" t="s">
        <v>180</v>
      </c>
      <c r="B1331" s="11" t="s">
        <v>1908</v>
      </c>
      <c r="C1331" s="12"/>
      <c r="D1331" s="123">
        <v>610000004414</v>
      </c>
      <c r="E1331" s="123">
        <f>VLOOKUP(D1331,'[1]Task list &amp; Maintenace plan'!$B:$G,6,FALSE)</f>
        <v>100848</v>
      </c>
      <c r="F1331" s="124" t="s">
        <v>1934</v>
      </c>
      <c r="G1331" s="297" t="s">
        <v>1918</v>
      </c>
      <c r="H1331" s="180" t="s">
        <v>1950</v>
      </c>
      <c r="I1331" s="181">
        <v>90</v>
      </c>
      <c r="J1331" s="181">
        <v>1</v>
      </c>
      <c r="K1331" s="717"/>
      <c r="L1331" s="717"/>
      <c r="M1331" s="717"/>
      <c r="N1331" s="720"/>
    </row>
    <row r="1332" spans="1:14" ht="15.75" thickBot="1" x14ac:dyDescent="0.3">
      <c r="A1332" t="s">
        <v>180</v>
      </c>
      <c r="B1332" s="11" t="s">
        <v>1908</v>
      </c>
      <c r="C1332" s="27"/>
      <c r="D1332" s="147">
        <v>610000004414</v>
      </c>
      <c r="E1332" s="147">
        <f>VLOOKUP(D1332,'[1]Task list &amp; Maintenace plan'!$B:$G,6,FALSE)</f>
        <v>100848</v>
      </c>
      <c r="F1332" s="148" t="s">
        <v>1934</v>
      </c>
      <c r="G1332" s="309" t="s">
        <v>1921</v>
      </c>
      <c r="H1332" s="189" t="s">
        <v>1951</v>
      </c>
      <c r="I1332" s="190">
        <v>90</v>
      </c>
      <c r="J1332" s="190">
        <v>1</v>
      </c>
      <c r="K1332" s="727"/>
      <c r="L1332" s="727"/>
      <c r="M1332" s="727"/>
      <c r="N1332" s="728"/>
    </row>
    <row r="1333" spans="1:14" x14ac:dyDescent="0.25">
      <c r="A1333" t="s">
        <v>180</v>
      </c>
      <c r="B1333" s="11" t="s">
        <v>1952</v>
      </c>
      <c r="C1333" s="12"/>
      <c r="D1333" s="36">
        <v>610000004419</v>
      </c>
      <c r="E1333" s="36">
        <f>VLOOKUP(D1333,'[1]Task list &amp; Maintenace plan'!$B:$G,6,FALSE)</f>
        <v>100853</v>
      </c>
      <c r="F1333" s="45" t="s">
        <v>1954</v>
      </c>
      <c r="G1333" s="46" t="s">
        <v>1955</v>
      </c>
      <c r="H1333" s="46" t="s">
        <v>1956</v>
      </c>
      <c r="I1333" s="45">
        <v>60</v>
      </c>
      <c r="J1333" s="45">
        <v>1</v>
      </c>
      <c r="K1333" s="45">
        <v>30</v>
      </c>
      <c r="L1333" s="45">
        <v>1</v>
      </c>
      <c r="M1333" s="45">
        <f>L1333*K1333</f>
        <v>30</v>
      </c>
      <c r="N1333" s="49" t="s">
        <v>34</v>
      </c>
    </row>
    <row r="1334" spans="1:14" x14ac:dyDescent="0.25">
      <c r="A1334" t="s">
        <v>180</v>
      </c>
      <c r="B1334" s="11" t="s">
        <v>1952</v>
      </c>
      <c r="C1334" s="12"/>
      <c r="D1334" s="140">
        <v>610000004420</v>
      </c>
      <c r="E1334" s="140">
        <f>VLOOKUP(D1334,'[1]Task list &amp; Maintenace plan'!$B:$G,6,FALSE)</f>
        <v>100854</v>
      </c>
      <c r="F1334" s="141" t="s">
        <v>1958</v>
      </c>
      <c r="G1334" s="293" t="s">
        <v>1959</v>
      </c>
      <c r="H1334" s="178" t="s">
        <v>1960</v>
      </c>
      <c r="I1334" s="179">
        <v>60</v>
      </c>
      <c r="J1334" s="179"/>
      <c r="K1334" s="716">
        <v>30</v>
      </c>
      <c r="L1334" s="716">
        <v>1</v>
      </c>
      <c r="M1334" s="716">
        <f>L1334*K1334</f>
        <v>30</v>
      </c>
      <c r="N1334" s="719" t="s">
        <v>20</v>
      </c>
    </row>
    <row r="1335" spans="1:14" x14ac:dyDescent="0.25">
      <c r="A1335" t="s">
        <v>180</v>
      </c>
      <c r="B1335" s="11" t="s">
        <v>1952</v>
      </c>
      <c r="C1335" s="12"/>
      <c r="D1335" s="123">
        <v>610000004420</v>
      </c>
      <c r="E1335" s="123">
        <f>VLOOKUP(D1335,'[1]Task list &amp; Maintenace plan'!$B:$G,6,FALSE)</f>
        <v>100854</v>
      </c>
      <c r="F1335" s="124" t="s">
        <v>1958</v>
      </c>
      <c r="G1335" s="180" t="s">
        <v>1959</v>
      </c>
      <c r="H1335" s="180" t="s">
        <v>1961</v>
      </c>
      <c r="I1335" s="181">
        <v>60</v>
      </c>
      <c r="J1335" s="181"/>
      <c r="K1335" s="717"/>
      <c r="L1335" s="717"/>
      <c r="M1335" s="717"/>
      <c r="N1335" s="720"/>
    </row>
    <row r="1336" spans="1:14" x14ac:dyDescent="0.25">
      <c r="A1336" t="s">
        <v>180</v>
      </c>
      <c r="B1336" s="11" t="s">
        <v>1952</v>
      </c>
      <c r="C1336" s="12"/>
      <c r="D1336" s="123">
        <v>610000004420</v>
      </c>
      <c r="E1336" s="123">
        <f>VLOOKUP(D1336,'[1]Task list &amp; Maintenace plan'!$B:$G,6,FALSE)</f>
        <v>100854</v>
      </c>
      <c r="F1336" s="124" t="s">
        <v>1958</v>
      </c>
      <c r="G1336" s="180" t="s">
        <v>1959</v>
      </c>
      <c r="H1336" s="180" t="s">
        <v>1963</v>
      </c>
      <c r="I1336" s="181">
        <v>60</v>
      </c>
      <c r="J1336" s="181"/>
      <c r="K1336" s="717"/>
      <c r="L1336" s="717"/>
      <c r="M1336" s="717"/>
      <c r="N1336" s="720"/>
    </row>
    <row r="1337" spans="1:14" x14ac:dyDescent="0.25">
      <c r="A1337" t="s">
        <v>180</v>
      </c>
      <c r="B1337" s="11" t="s">
        <v>1952</v>
      </c>
      <c r="C1337" s="12"/>
      <c r="D1337" s="123">
        <v>610000004420</v>
      </c>
      <c r="E1337" s="123">
        <f>VLOOKUP(D1337,'[1]Task list &amp; Maintenace plan'!$B:$G,6,FALSE)</f>
        <v>100854</v>
      </c>
      <c r="F1337" s="124" t="s">
        <v>1958</v>
      </c>
      <c r="G1337" s="180" t="s">
        <v>1959</v>
      </c>
      <c r="H1337" s="180" t="s">
        <v>1964</v>
      </c>
      <c r="I1337" s="181">
        <v>60</v>
      </c>
      <c r="J1337" s="181"/>
      <c r="K1337" s="717"/>
      <c r="L1337" s="717"/>
      <c r="M1337" s="717"/>
      <c r="N1337" s="720"/>
    </row>
    <row r="1338" spans="1:14" x14ac:dyDescent="0.25">
      <c r="A1338" t="s">
        <v>180</v>
      </c>
      <c r="B1338" s="11" t="s">
        <v>1952</v>
      </c>
      <c r="C1338" s="12"/>
      <c r="D1338" s="123">
        <v>610000004420</v>
      </c>
      <c r="E1338" s="123">
        <f>VLOOKUP(D1338,'[1]Task list &amp; Maintenace plan'!$B:$G,6,FALSE)</f>
        <v>100854</v>
      </c>
      <c r="F1338" s="124" t="s">
        <v>1958</v>
      </c>
      <c r="G1338" s="180" t="s">
        <v>1959</v>
      </c>
      <c r="H1338" s="180" t="s">
        <v>1965</v>
      </c>
      <c r="I1338" s="181">
        <v>60</v>
      </c>
      <c r="J1338" s="181"/>
      <c r="K1338" s="717"/>
      <c r="L1338" s="717"/>
      <c r="M1338" s="717"/>
      <c r="N1338" s="720"/>
    </row>
    <row r="1339" spans="1:14" x14ac:dyDescent="0.25">
      <c r="A1339" t="s">
        <v>180</v>
      </c>
      <c r="B1339" s="11" t="s">
        <v>1952</v>
      </c>
      <c r="C1339" s="12"/>
      <c r="D1339" s="123">
        <v>610000004420</v>
      </c>
      <c r="E1339" s="123">
        <f>VLOOKUP(D1339,'[1]Task list &amp; Maintenace plan'!$B:$G,6,FALSE)</f>
        <v>100854</v>
      </c>
      <c r="F1339" s="124" t="s">
        <v>1958</v>
      </c>
      <c r="G1339" s="180" t="s">
        <v>1959</v>
      </c>
      <c r="H1339" s="180" t="s">
        <v>1966</v>
      </c>
      <c r="I1339" s="181">
        <v>60</v>
      </c>
      <c r="J1339" s="181"/>
      <c r="K1339" s="717"/>
      <c r="L1339" s="717"/>
      <c r="M1339" s="717"/>
      <c r="N1339" s="720"/>
    </row>
    <row r="1340" spans="1:14" x14ac:dyDescent="0.25">
      <c r="A1340" t="s">
        <v>180</v>
      </c>
      <c r="B1340" s="11" t="s">
        <v>1952</v>
      </c>
      <c r="C1340" s="12"/>
      <c r="D1340" s="123">
        <v>610000004420</v>
      </c>
      <c r="E1340" s="123">
        <f>VLOOKUP(D1340,'[1]Task list &amp; Maintenace plan'!$B:$G,6,FALSE)</f>
        <v>100854</v>
      </c>
      <c r="F1340" s="124" t="s">
        <v>1958</v>
      </c>
      <c r="G1340" s="180" t="s">
        <v>1959</v>
      </c>
      <c r="H1340" s="180" t="s">
        <v>1968</v>
      </c>
      <c r="I1340" s="181">
        <v>60</v>
      </c>
      <c r="J1340" s="181"/>
      <c r="K1340" s="717"/>
      <c r="L1340" s="717"/>
      <c r="M1340" s="717"/>
      <c r="N1340" s="720"/>
    </row>
    <row r="1341" spans="1:14" x14ac:dyDescent="0.25">
      <c r="A1341" t="s">
        <v>180</v>
      </c>
      <c r="B1341" s="11" t="s">
        <v>1952</v>
      </c>
      <c r="C1341" s="12"/>
      <c r="D1341" s="123">
        <v>610000004420</v>
      </c>
      <c r="E1341" s="123">
        <f>VLOOKUP(D1341,'[1]Task list &amp; Maintenace plan'!$B:$G,6,FALSE)</f>
        <v>100854</v>
      </c>
      <c r="F1341" s="124" t="s">
        <v>1958</v>
      </c>
      <c r="G1341" s="180" t="s">
        <v>1959</v>
      </c>
      <c r="H1341" s="180" t="s">
        <v>1969</v>
      </c>
      <c r="I1341" s="181">
        <v>60</v>
      </c>
      <c r="J1341" s="181"/>
      <c r="K1341" s="717"/>
      <c r="L1341" s="717"/>
      <c r="M1341" s="717"/>
      <c r="N1341" s="720"/>
    </row>
    <row r="1342" spans="1:14" x14ac:dyDescent="0.25">
      <c r="A1342" t="s">
        <v>180</v>
      </c>
      <c r="B1342" s="11" t="s">
        <v>1952</v>
      </c>
      <c r="C1342" s="12"/>
      <c r="D1342" s="104">
        <v>610000004420</v>
      </c>
      <c r="E1342" s="104">
        <f>VLOOKUP(D1342,'[1]Task list &amp; Maintenace plan'!$B:$G,6,FALSE)</f>
        <v>100854</v>
      </c>
      <c r="F1342" s="105" t="s">
        <v>1958</v>
      </c>
      <c r="G1342" s="226" t="s">
        <v>1959</v>
      </c>
      <c r="H1342" s="180" t="s">
        <v>1970</v>
      </c>
      <c r="I1342" s="181">
        <v>60</v>
      </c>
      <c r="J1342" s="181"/>
      <c r="K1342" s="717"/>
      <c r="L1342" s="717"/>
      <c r="M1342" s="717"/>
      <c r="N1342" s="720"/>
    </row>
    <row r="1343" spans="1:14" x14ac:dyDescent="0.25">
      <c r="A1343" t="s">
        <v>180</v>
      </c>
      <c r="B1343" s="11" t="s">
        <v>1952</v>
      </c>
      <c r="C1343" s="12"/>
      <c r="D1343" s="123">
        <v>610000004420</v>
      </c>
      <c r="E1343" s="123">
        <f>VLOOKUP(D1343,'[1]Task list &amp; Maintenace plan'!$B:$G,6,FALSE)</f>
        <v>100854</v>
      </c>
      <c r="F1343" s="124" t="s">
        <v>1958</v>
      </c>
      <c r="G1343" s="297" t="s">
        <v>1953</v>
      </c>
      <c r="H1343" s="180" t="s">
        <v>1971</v>
      </c>
      <c r="I1343" s="181">
        <v>60</v>
      </c>
      <c r="J1343" s="181"/>
      <c r="K1343" s="717"/>
      <c r="L1343" s="717"/>
      <c r="M1343" s="717"/>
      <c r="N1343" s="720"/>
    </row>
    <row r="1344" spans="1:14" x14ac:dyDescent="0.25">
      <c r="A1344" t="s">
        <v>180</v>
      </c>
      <c r="B1344" s="11" t="s">
        <v>1952</v>
      </c>
      <c r="C1344" s="12"/>
      <c r="D1344" s="123">
        <v>610000004420</v>
      </c>
      <c r="E1344" s="123">
        <f>VLOOKUP(D1344,'[1]Task list &amp; Maintenace plan'!$B:$G,6,FALSE)</f>
        <v>100854</v>
      </c>
      <c r="F1344" s="124" t="s">
        <v>1958</v>
      </c>
      <c r="G1344" s="180" t="s">
        <v>1953</v>
      </c>
      <c r="H1344" s="180" t="s">
        <v>1972</v>
      </c>
      <c r="I1344" s="181">
        <v>60</v>
      </c>
      <c r="J1344" s="181"/>
      <c r="K1344" s="717"/>
      <c r="L1344" s="717"/>
      <c r="M1344" s="717"/>
      <c r="N1344" s="720"/>
    </row>
    <row r="1345" spans="1:14" x14ac:dyDescent="0.25">
      <c r="A1345" t="s">
        <v>180</v>
      </c>
      <c r="B1345" s="11" t="s">
        <v>1952</v>
      </c>
      <c r="C1345" s="12"/>
      <c r="D1345" s="123">
        <v>610000004420</v>
      </c>
      <c r="E1345" s="123">
        <f>VLOOKUP(D1345,'[1]Task list &amp; Maintenace plan'!$B:$G,6,FALSE)</f>
        <v>100854</v>
      </c>
      <c r="F1345" s="124" t="s">
        <v>1958</v>
      </c>
      <c r="G1345" s="180" t="s">
        <v>1953</v>
      </c>
      <c r="H1345" s="180" t="s">
        <v>1973</v>
      </c>
      <c r="I1345" s="181">
        <v>60</v>
      </c>
      <c r="J1345" s="181"/>
      <c r="K1345" s="717"/>
      <c r="L1345" s="717"/>
      <c r="M1345" s="717"/>
      <c r="N1345" s="720"/>
    </row>
    <row r="1346" spans="1:14" x14ac:dyDescent="0.25">
      <c r="A1346" t="s">
        <v>180</v>
      </c>
      <c r="B1346" s="11" t="s">
        <v>1952</v>
      </c>
      <c r="C1346" s="12"/>
      <c r="D1346" s="123">
        <v>610000004420</v>
      </c>
      <c r="E1346" s="123">
        <f>VLOOKUP(D1346,'[1]Task list &amp; Maintenace plan'!$B:$G,6,FALSE)</f>
        <v>100854</v>
      </c>
      <c r="F1346" s="124" t="s">
        <v>1958</v>
      </c>
      <c r="G1346" s="180" t="s">
        <v>1953</v>
      </c>
      <c r="H1346" s="180" t="s">
        <v>1974</v>
      </c>
      <c r="I1346" s="181">
        <v>60</v>
      </c>
      <c r="J1346" s="181"/>
      <c r="K1346" s="717"/>
      <c r="L1346" s="717"/>
      <c r="M1346" s="717"/>
      <c r="N1346" s="720"/>
    </row>
    <row r="1347" spans="1:14" x14ac:dyDescent="0.25">
      <c r="A1347" t="s">
        <v>180</v>
      </c>
      <c r="B1347" s="11" t="s">
        <v>1952</v>
      </c>
      <c r="C1347" s="12"/>
      <c r="D1347" s="17">
        <v>610000004420</v>
      </c>
      <c r="E1347" s="17">
        <f>VLOOKUP(D1347,'[1]Task list &amp; Maintenace plan'!$B:$G,6,FALSE)</f>
        <v>100854</v>
      </c>
      <c r="F1347" s="18" t="s">
        <v>1958</v>
      </c>
      <c r="G1347" s="19" t="s">
        <v>1953</v>
      </c>
      <c r="H1347" s="19" t="s">
        <v>1975</v>
      </c>
      <c r="I1347" s="18">
        <v>60</v>
      </c>
      <c r="J1347" s="18"/>
      <c r="K1347" s="717"/>
      <c r="L1347" s="717"/>
      <c r="M1347" s="717"/>
      <c r="N1347" s="720"/>
    </row>
    <row r="1348" spans="1:14" x14ac:dyDescent="0.25">
      <c r="A1348" t="s">
        <v>180</v>
      </c>
      <c r="B1348" s="11" t="s">
        <v>1952</v>
      </c>
      <c r="C1348" s="12"/>
      <c r="D1348" s="17">
        <v>610000004420</v>
      </c>
      <c r="E1348" s="17">
        <f>VLOOKUP(D1348,'[1]Task list &amp; Maintenace plan'!$B:$G,6,FALSE)</f>
        <v>100854</v>
      </c>
      <c r="F1348" s="18" t="s">
        <v>1958</v>
      </c>
      <c r="G1348" s="19" t="s">
        <v>1957</v>
      </c>
      <c r="H1348" s="19" t="s">
        <v>1976</v>
      </c>
      <c r="I1348" s="18">
        <v>60</v>
      </c>
      <c r="J1348" s="18"/>
      <c r="K1348" s="717"/>
      <c r="L1348" s="717"/>
      <c r="M1348" s="717"/>
      <c r="N1348" s="720"/>
    </row>
    <row r="1349" spans="1:14" x14ac:dyDescent="0.25">
      <c r="A1349" t="s">
        <v>180</v>
      </c>
      <c r="B1349" s="11" t="s">
        <v>1952</v>
      </c>
      <c r="C1349" s="12"/>
      <c r="D1349" s="17">
        <v>610000004420</v>
      </c>
      <c r="E1349" s="17">
        <f>VLOOKUP(D1349,'[1]Task list &amp; Maintenace plan'!$B:$G,6,FALSE)</f>
        <v>100854</v>
      </c>
      <c r="F1349" s="18" t="s">
        <v>1958</v>
      </c>
      <c r="G1349" s="19" t="s">
        <v>1957</v>
      </c>
      <c r="H1349" s="19" t="s">
        <v>1977</v>
      </c>
      <c r="I1349" s="18">
        <v>60</v>
      </c>
      <c r="J1349" s="18"/>
      <c r="K1349" s="717"/>
      <c r="L1349" s="717"/>
      <c r="M1349" s="717"/>
      <c r="N1349" s="720"/>
    </row>
    <row r="1350" spans="1:14" x14ac:dyDescent="0.25">
      <c r="A1350" t="s">
        <v>180</v>
      </c>
      <c r="B1350" s="11" t="s">
        <v>1952</v>
      </c>
      <c r="C1350" s="12"/>
      <c r="D1350" s="17">
        <v>610000004420</v>
      </c>
      <c r="E1350" s="17">
        <f>VLOOKUP(D1350,'[1]Task list &amp; Maintenace plan'!$B:$G,6,FALSE)</f>
        <v>100854</v>
      </c>
      <c r="F1350" s="18" t="s">
        <v>1958</v>
      </c>
      <c r="G1350" s="19" t="s">
        <v>1955</v>
      </c>
      <c r="H1350" s="19" t="s">
        <v>1978</v>
      </c>
      <c r="I1350" s="18">
        <v>60</v>
      </c>
      <c r="J1350" s="18"/>
      <c r="K1350" s="717"/>
      <c r="L1350" s="717"/>
      <c r="M1350" s="717"/>
      <c r="N1350" s="720"/>
    </row>
    <row r="1351" spans="1:14" x14ac:dyDescent="0.25">
      <c r="A1351" t="s">
        <v>180</v>
      </c>
      <c r="B1351" s="11" t="s">
        <v>1952</v>
      </c>
      <c r="C1351" s="12"/>
      <c r="D1351" s="17">
        <v>610000004420</v>
      </c>
      <c r="E1351" s="17">
        <f>VLOOKUP(D1351,'[1]Task list &amp; Maintenace plan'!$B:$G,6,FALSE)</f>
        <v>100854</v>
      </c>
      <c r="F1351" s="18" t="s">
        <v>1958</v>
      </c>
      <c r="G1351" s="19" t="s">
        <v>1955</v>
      </c>
      <c r="H1351" s="19" t="s">
        <v>1979</v>
      </c>
      <c r="I1351" s="18">
        <v>60</v>
      </c>
      <c r="J1351" s="18"/>
      <c r="K1351" s="717"/>
      <c r="L1351" s="717"/>
      <c r="M1351" s="717"/>
      <c r="N1351" s="720"/>
    </row>
    <row r="1352" spans="1:14" x14ac:dyDescent="0.25">
      <c r="A1352" t="s">
        <v>180</v>
      </c>
      <c r="B1352" s="11" t="s">
        <v>1952</v>
      </c>
      <c r="C1352" s="12"/>
      <c r="D1352" s="17">
        <v>610000004420</v>
      </c>
      <c r="E1352" s="17">
        <f>VLOOKUP(D1352,'[1]Task list &amp; Maintenace plan'!$B:$G,6,FALSE)</f>
        <v>100854</v>
      </c>
      <c r="F1352" s="18" t="s">
        <v>1958</v>
      </c>
      <c r="G1352" s="19" t="s">
        <v>1955</v>
      </c>
      <c r="H1352" s="19" t="s">
        <v>1980</v>
      </c>
      <c r="I1352" s="18">
        <v>60</v>
      </c>
      <c r="J1352" s="18"/>
      <c r="K1352" s="717"/>
      <c r="L1352" s="717"/>
      <c r="M1352" s="717"/>
      <c r="N1352" s="720"/>
    </row>
    <row r="1353" spans="1:14" x14ac:dyDescent="0.25">
      <c r="A1353" t="s">
        <v>180</v>
      </c>
      <c r="B1353" s="11" t="s">
        <v>1952</v>
      </c>
      <c r="C1353" s="12"/>
      <c r="D1353" s="17">
        <v>610000004420</v>
      </c>
      <c r="E1353" s="17">
        <f>VLOOKUP(D1353,'[1]Task list &amp; Maintenace plan'!$B:$G,6,FALSE)</f>
        <v>100854</v>
      </c>
      <c r="F1353" s="18" t="s">
        <v>1958</v>
      </c>
      <c r="G1353" s="19" t="s">
        <v>1955</v>
      </c>
      <c r="H1353" s="19" t="s">
        <v>1981</v>
      </c>
      <c r="I1353" s="18">
        <v>60</v>
      </c>
      <c r="J1353" s="18"/>
      <c r="K1353" s="717"/>
      <c r="L1353" s="717"/>
      <c r="M1353" s="717"/>
      <c r="N1353" s="720"/>
    </row>
    <row r="1354" spans="1:14" x14ac:dyDescent="0.25">
      <c r="A1354" t="s">
        <v>180</v>
      </c>
      <c r="B1354" s="11" t="s">
        <v>1952</v>
      </c>
      <c r="C1354" s="12"/>
      <c r="D1354" s="17">
        <v>610000004420</v>
      </c>
      <c r="E1354" s="17">
        <f>VLOOKUP(D1354,'[1]Task list &amp; Maintenace plan'!$B:$G,6,FALSE)</f>
        <v>100854</v>
      </c>
      <c r="F1354" s="18" t="s">
        <v>1958</v>
      </c>
      <c r="G1354" s="19" t="s">
        <v>1955</v>
      </c>
      <c r="H1354" s="19" t="s">
        <v>1982</v>
      </c>
      <c r="I1354" s="18">
        <v>60</v>
      </c>
      <c r="J1354" s="18"/>
      <c r="K1354" s="717"/>
      <c r="L1354" s="717"/>
      <c r="M1354" s="717"/>
      <c r="N1354" s="720"/>
    </row>
    <row r="1355" spans="1:14" x14ac:dyDescent="0.25">
      <c r="A1355" t="s">
        <v>180</v>
      </c>
      <c r="B1355" s="11" t="s">
        <v>1952</v>
      </c>
      <c r="C1355" s="12"/>
      <c r="D1355" s="17">
        <v>610000004420</v>
      </c>
      <c r="E1355" s="17">
        <f>VLOOKUP(D1355,'[1]Task list &amp; Maintenace plan'!$B:$G,6,FALSE)</f>
        <v>100854</v>
      </c>
      <c r="F1355" s="18" t="s">
        <v>1958</v>
      </c>
      <c r="G1355" s="19" t="s">
        <v>1955</v>
      </c>
      <c r="H1355" s="19" t="s">
        <v>1983</v>
      </c>
      <c r="I1355" s="18">
        <v>60</v>
      </c>
      <c r="J1355" s="18"/>
      <c r="K1355" s="717"/>
      <c r="L1355" s="717"/>
      <c r="M1355" s="717"/>
      <c r="N1355" s="720"/>
    </row>
    <row r="1356" spans="1:14" x14ac:dyDescent="0.25">
      <c r="A1356" t="s">
        <v>180</v>
      </c>
      <c r="B1356" s="11" t="s">
        <v>1952</v>
      </c>
      <c r="C1356" s="12"/>
      <c r="D1356" s="22">
        <v>610000004420</v>
      </c>
      <c r="E1356" s="22">
        <f>VLOOKUP(D1356,'[1]Task list &amp; Maintenace plan'!$B:$G,6,FALSE)</f>
        <v>100854</v>
      </c>
      <c r="F1356" s="23" t="s">
        <v>1958</v>
      </c>
      <c r="G1356" s="24" t="s">
        <v>1955</v>
      </c>
      <c r="H1356" s="24" t="s">
        <v>1984</v>
      </c>
      <c r="I1356" s="23">
        <v>60</v>
      </c>
      <c r="J1356" s="23"/>
      <c r="K1356" s="718"/>
      <c r="L1356" s="718"/>
      <c r="M1356" s="718"/>
      <c r="N1356" s="721"/>
    </row>
    <row r="1357" spans="1:14" x14ac:dyDescent="0.25">
      <c r="A1357" t="s">
        <v>180</v>
      </c>
      <c r="B1357" s="11" t="s">
        <v>1952</v>
      </c>
      <c r="C1357" s="12"/>
      <c r="D1357" s="100">
        <v>610000004422</v>
      </c>
      <c r="E1357" s="100">
        <f>VLOOKUP(D1357,'[1]Task list &amp; Maintenace plan'!$B:$G,6,FALSE)</f>
        <v>100856</v>
      </c>
      <c r="F1357" s="101" t="s">
        <v>1985</v>
      </c>
      <c r="G1357" s="178" t="s">
        <v>1953</v>
      </c>
      <c r="H1357" s="178" t="s">
        <v>1986</v>
      </c>
      <c r="I1357" s="179">
        <v>90</v>
      </c>
      <c r="J1357" s="179">
        <v>1</v>
      </c>
      <c r="K1357" s="716">
        <v>1</v>
      </c>
      <c r="L1357" s="716">
        <v>240</v>
      </c>
      <c r="M1357" s="716">
        <f>L1357*K1357</f>
        <v>240</v>
      </c>
      <c r="N1357" s="719" t="s">
        <v>34</v>
      </c>
    </row>
    <row r="1358" spans="1:14" x14ac:dyDescent="0.25">
      <c r="A1358" t="s">
        <v>180</v>
      </c>
      <c r="B1358" s="11" t="s">
        <v>1952</v>
      </c>
      <c r="C1358" s="12"/>
      <c r="D1358" s="123">
        <v>610000004422</v>
      </c>
      <c r="E1358" s="123">
        <f>VLOOKUP(D1358,'[1]Task list &amp; Maintenace plan'!$B:$G,6,FALSE)</f>
        <v>100856</v>
      </c>
      <c r="F1358" s="124" t="s">
        <v>1985</v>
      </c>
      <c r="G1358" s="180" t="s">
        <v>1953</v>
      </c>
      <c r="H1358" s="180" t="s">
        <v>1987</v>
      </c>
      <c r="I1358" s="181">
        <v>90</v>
      </c>
      <c r="J1358" s="181">
        <v>1</v>
      </c>
      <c r="K1358" s="717"/>
      <c r="L1358" s="717"/>
      <c r="M1358" s="717"/>
      <c r="N1358" s="720"/>
    </row>
    <row r="1359" spans="1:14" x14ac:dyDescent="0.25">
      <c r="A1359" t="s">
        <v>180</v>
      </c>
      <c r="B1359" s="11" t="s">
        <v>1952</v>
      </c>
      <c r="C1359" s="12"/>
      <c r="D1359" s="123">
        <v>610000004422</v>
      </c>
      <c r="E1359" s="123">
        <f>VLOOKUP(D1359,'[1]Task list &amp; Maintenace plan'!$B:$G,6,FALSE)</f>
        <v>100856</v>
      </c>
      <c r="F1359" s="124" t="s">
        <v>1985</v>
      </c>
      <c r="G1359" s="180" t="s">
        <v>1953</v>
      </c>
      <c r="H1359" s="180" t="s">
        <v>1988</v>
      </c>
      <c r="I1359" s="181">
        <v>90</v>
      </c>
      <c r="J1359" s="181">
        <v>1</v>
      </c>
      <c r="K1359" s="717"/>
      <c r="L1359" s="717"/>
      <c r="M1359" s="717"/>
      <c r="N1359" s="720"/>
    </row>
    <row r="1360" spans="1:14" x14ac:dyDescent="0.25">
      <c r="A1360" t="s">
        <v>180</v>
      </c>
      <c r="B1360" s="11" t="s">
        <v>1952</v>
      </c>
      <c r="C1360" s="12"/>
      <c r="D1360" s="123">
        <v>610000004422</v>
      </c>
      <c r="E1360" s="123">
        <f>VLOOKUP(D1360,'[1]Task list &amp; Maintenace plan'!$B:$G,6,FALSE)</f>
        <v>100856</v>
      </c>
      <c r="F1360" s="124" t="s">
        <v>1985</v>
      </c>
      <c r="G1360" s="180" t="s">
        <v>1953</v>
      </c>
      <c r="H1360" s="180" t="s">
        <v>1989</v>
      </c>
      <c r="I1360" s="181">
        <v>90</v>
      </c>
      <c r="J1360" s="181">
        <v>1</v>
      </c>
      <c r="K1360" s="717"/>
      <c r="L1360" s="717"/>
      <c r="M1360" s="717"/>
      <c r="N1360" s="720"/>
    </row>
    <row r="1361" spans="1:14" x14ac:dyDescent="0.25">
      <c r="A1361" t="s">
        <v>180</v>
      </c>
      <c r="B1361" s="11" t="s">
        <v>1952</v>
      </c>
      <c r="C1361" s="12"/>
      <c r="D1361" s="123">
        <v>610000004422</v>
      </c>
      <c r="E1361" s="123">
        <f>VLOOKUP(D1361,'[1]Task list &amp; Maintenace plan'!$B:$G,6,FALSE)</f>
        <v>100856</v>
      </c>
      <c r="F1361" s="124" t="s">
        <v>1985</v>
      </c>
      <c r="G1361" s="180" t="s">
        <v>1953</v>
      </c>
      <c r="H1361" s="180" t="s">
        <v>1990</v>
      </c>
      <c r="I1361" s="181">
        <v>90</v>
      </c>
      <c r="J1361" s="181">
        <v>1</v>
      </c>
      <c r="K1361" s="717"/>
      <c r="L1361" s="717"/>
      <c r="M1361" s="717"/>
      <c r="N1361" s="720"/>
    </row>
    <row r="1362" spans="1:14" x14ac:dyDescent="0.25">
      <c r="A1362" t="s">
        <v>180</v>
      </c>
      <c r="B1362" s="11" t="s">
        <v>1952</v>
      </c>
      <c r="C1362" s="12"/>
      <c r="D1362" s="123">
        <v>610000004422</v>
      </c>
      <c r="E1362" s="123">
        <f>VLOOKUP(D1362,'[1]Task list &amp; Maintenace plan'!$B:$G,6,FALSE)</f>
        <v>100856</v>
      </c>
      <c r="F1362" s="124" t="s">
        <v>1985</v>
      </c>
      <c r="G1362" s="180" t="s">
        <v>1957</v>
      </c>
      <c r="H1362" s="180" t="s">
        <v>1991</v>
      </c>
      <c r="I1362" s="181">
        <v>90</v>
      </c>
      <c r="J1362" s="181">
        <v>1</v>
      </c>
      <c r="K1362" s="717"/>
      <c r="L1362" s="717"/>
      <c r="M1362" s="717"/>
      <c r="N1362" s="720"/>
    </row>
    <row r="1363" spans="1:14" x14ac:dyDescent="0.25">
      <c r="A1363" t="s">
        <v>180</v>
      </c>
      <c r="B1363" s="11" t="s">
        <v>1952</v>
      </c>
      <c r="C1363" s="12"/>
      <c r="D1363" s="123">
        <v>610000004422</v>
      </c>
      <c r="E1363" s="123">
        <f>VLOOKUP(D1363,'[1]Task list &amp; Maintenace plan'!$B:$G,6,FALSE)</f>
        <v>100856</v>
      </c>
      <c r="F1363" s="124" t="s">
        <v>1985</v>
      </c>
      <c r="G1363" s="180" t="s">
        <v>1957</v>
      </c>
      <c r="H1363" s="180" t="s">
        <v>1992</v>
      </c>
      <c r="I1363" s="181">
        <v>90</v>
      </c>
      <c r="J1363" s="181">
        <v>1</v>
      </c>
      <c r="K1363" s="717"/>
      <c r="L1363" s="717"/>
      <c r="M1363" s="717"/>
      <c r="N1363" s="720"/>
    </row>
    <row r="1364" spans="1:14" x14ac:dyDescent="0.25">
      <c r="A1364" t="s">
        <v>180</v>
      </c>
      <c r="B1364" s="11" t="s">
        <v>1952</v>
      </c>
      <c r="C1364" s="12"/>
      <c r="D1364" s="123">
        <v>610000004422</v>
      </c>
      <c r="E1364" s="123">
        <f>VLOOKUP(D1364,'[1]Task list &amp; Maintenace plan'!$B:$G,6,FALSE)</f>
        <v>100856</v>
      </c>
      <c r="F1364" s="124" t="s">
        <v>1985</v>
      </c>
      <c r="G1364" s="180" t="s">
        <v>1955</v>
      </c>
      <c r="H1364" s="180" t="s">
        <v>1993</v>
      </c>
      <c r="I1364" s="181">
        <v>90</v>
      </c>
      <c r="J1364" s="181">
        <v>1</v>
      </c>
      <c r="K1364" s="717"/>
      <c r="L1364" s="717"/>
      <c r="M1364" s="717"/>
      <c r="N1364" s="720"/>
    </row>
    <row r="1365" spans="1:14" x14ac:dyDescent="0.25">
      <c r="A1365" t="s">
        <v>180</v>
      </c>
      <c r="B1365" s="11" t="s">
        <v>1952</v>
      </c>
      <c r="C1365" s="12"/>
      <c r="D1365" s="123">
        <v>610000004422</v>
      </c>
      <c r="E1365" s="123">
        <f>VLOOKUP(D1365,'[1]Task list &amp; Maintenace plan'!$B:$G,6,FALSE)</f>
        <v>100856</v>
      </c>
      <c r="F1365" s="124" t="s">
        <v>1985</v>
      </c>
      <c r="G1365" s="180" t="s">
        <v>1955</v>
      </c>
      <c r="H1365" s="180" t="s">
        <v>1994</v>
      </c>
      <c r="I1365" s="181">
        <v>90</v>
      </c>
      <c r="J1365" s="181">
        <v>1</v>
      </c>
      <c r="K1365" s="717"/>
      <c r="L1365" s="717"/>
      <c r="M1365" s="717"/>
      <c r="N1365" s="720"/>
    </row>
    <row r="1366" spans="1:14" x14ac:dyDescent="0.25">
      <c r="A1366" t="s">
        <v>180</v>
      </c>
      <c r="B1366" s="11" t="s">
        <v>1952</v>
      </c>
      <c r="C1366" s="12"/>
      <c r="D1366" s="123">
        <v>610000004422</v>
      </c>
      <c r="E1366" s="123">
        <f>VLOOKUP(D1366,'[1]Task list &amp; Maintenace plan'!$B:$G,6,FALSE)</f>
        <v>100856</v>
      </c>
      <c r="F1366" s="124" t="s">
        <v>1985</v>
      </c>
      <c r="G1366" s="180" t="s">
        <v>1955</v>
      </c>
      <c r="H1366" s="180" t="s">
        <v>1995</v>
      </c>
      <c r="I1366" s="181">
        <v>90</v>
      </c>
      <c r="J1366" s="181">
        <v>1</v>
      </c>
      <c r="K1366" s="717"/>
      <c r="L1366" s="717"/>
      <c r="M1366" s="717"/>
      <c r="N1366" s="720"/>
    </row>
    <row r="1367" spans="1:14" x14ac:dyDescent="0.25">
      <c r="A1367" t="s">
        <v>180</v>
      </c>
      <c r="B1367" s="11" t="s">
        <v>1952</v>
      </c>
      <c r="C1367" s="12"/>
      <c r="D1367" s="123">
        <v>610000004422</v>
      </c>
      <c r="E1367" s="123">
        <f>VLOOKUP(D1367,'[1]Task list &amp; Maintenace plan'!$B:$G,6,FALSE)</f>
        <v>100856</v>
      </c>
      <c r="F1367" s="124" t="s">
        <v>1985</v>
      </c>
      <c r="G1367" s="180" t="s">
        <v>1955</v>
      </c>
      <c r="H1367" s="180" t="s">
        <v>1996</v>
      </c>
      <c r="I1367" s="181">
        <v>90</v>
      </c>
      <c r="J1367" s="181">
        <v>1</v>
      </c>
      <c r="K1367" s="717"/>
      <c r="L1367" s="717"/>
      <c r="M1367" s="717"/>
      <c r="N1367" s="720"/>
    </row>
    <row r="1368" spans="1:14" x14ac:dyDescent="0.25">
      <c r="A1368" t="s">
        <v>180</v>
      </c>
      <c r="B1368" s="11" t="s">
        <v>1952</v>
      </c>
      <c r="C1368" s="12"/>
      <c r="D1368" s="123">
        <v>610000004422</v>
      </c>
      <c r="E1368" s="123">
        <f>VLOOKUP(D1368,'[1]Task list &amp; Maintenace plan'!$B:$G,6,FALSE)</f>
        <v>100856</v>
      </c>
      <c r="F1368" s="124" t="s">
        <v>1985</v>
      </c>
      <c r="G1368" s="180" t="s">
        <v>1955</v>
      </c>
      <c r="H1368" s="180" t="s">
        <v>1997</v>
      </c>
      <c r="I1368" s="181">
        <v>90</v>
      </c>
      <c r="J1368" s="181">
        <v>1</v>
      </c>
      <c r="K1368" s="717"/>
      <c r="L1368" s="717"/>
      <c r="M1368" s="717"/>
      <c r="N1368" s="720"/>
    </row>
    <row r="1369" spans="1:14" x14ac:dyDescent="0.25">
      <c r="A1369" t="s">
        <v>180</v>
      </c>
      <c r="B1369" s="11" t="s">
        <v>1952</v>
      </c>
      <c r="C1369" s="12"/>
      <c r="D1369" s="123">
        <v>610000004422</v>
      </c>
      <c r="E1369" s="123">
        <f>VLOOKUP(D1369,'[1]Task list &amp; Maintenace plan'!$B:$G,6,FALSE)</f>
        <v>100856</v>
      </c>
      <c r="F1369" s="124" t="s">
        <v>1985</v>
      </c>
      <c r="G1369" s="180" t="s">
        <v>1955</v>
      </c>
      <c r="H1369" s="180" t="s">
        <v>1998</v>
      </c>
      <c r="I1369" s="181">
        <v>90</v>
      </c>
      <c r="J1369" s="181">
        <v>1</v>
      </c>
      <c r="K1369" s="717"/>
      <c r="L1369" s="717"/>
      <c r="M1369" s="717"/>
      <c r="N1369" s="720"/>
    </row>
    <row r="1370" spans="1:14" x14ac:dyDescent="0.25">
      <c r="A1370" t="s">
        <v>180</v>
      </c>
      <c r="B1370" s="11" t="s">
        <v>1952</v>
      </c>
      <c r="C1370" s="12"/>
      <c r="D1370" s="123">
        <v>610000004422</v>
      </c>
      <c r="E1370" s="123">
        <f>VLOOKUP(D1370,'[1]Task list &amp; Maintenace plan'!$B:$G,6,FALSE)</f>
        <v>100856</v>
      </c>
      <c r="F1370" s="124" t="s">
        <v>1985</v>
      </c>
      <c r="G1370" s="180" t="s">
        <v>1955</v>
      </c>
      <c r="H1370" s="180" t="s">
        <v>1999</v>
      </c>
      <c r="I1370" s="181">
        <v>90</v>
      </c>
      <c r="J1370" s="181">
        <v>1</v>
      </c>
      <c r="K1370" s="717"/>
      <c r="L1370" s="717"/>
      <c r="M1370" s="717"/>
      <c r="N1370" s="720"/>
    </row>
    <row r="1371" spans="1:14" x14ac:dyDescent="0.25">
      <c r="A1371" t="s">
        <v>180</v>
      </c>
      <c r="B1371" s="11" t="s">
        <v>1952</v>
      </c>
      <c r="C1371" s="12"/>
      <c r="D1371" s="123">
        <v>610000004422</v>
      </c>
      <c r="E1371" s="123">
        <f>VLOOKUP(D1371,'[1]Task list &amp; Maintenace plan'!$B:$G,6,FALSE)</f>
        <v>100856</v>
      </c>
      <c r="F1371" s="124" t="s">
        <v>1985</v>
      </c>
      <c r="G1371" s="180" t="s">
        <v>1959</v>
      </c>
      <c r="H1371" s="180" t="s">
        <v>2000</v>
      </c>
      <c r="I1371" s="181">
        <v>90</v>
      </c>
      <c r="J1371" s="181">
        <v>1</v>
      </c>
      <c r="K1371" s="717"/>
      <c r="L1371" s="717"/>
      <c r="M1371" s="717"/>
      <c r="N1371" s="720"/>
    </row>
    <row r="1372" spans="1:14" x14ac:dyDescent="0.25">
      <c r="A1372" t="s">
        <v>180</v>
      </c>
      <c r="B1372" s="11" t="s">
        <v>1952</v>
      </c>
      <c r="C1372" s="12"/>
      <c r="D1372" s="123">
        <v>610000004422</v>
      </c>
      <c r="E1372" s="123">
        <f>VLOOKUP(D1372,'[1]Task list &amp; Maintenace plan'!$B:$G,6,FALSE)</f>
        <v>100856</v>
      </c>
      <c r="F1372" s="124" t="s">
        <v>1985</v>
      </c>
      <c r="G1372" s="180" t="s">
        <v>1959</v>
      </c>
      <c r="H1372" s="180" t="s">
        <v>2001</v>
      </c>
      <c r="I1372" s="181">
        <v>90</v>
      </c>
      <c r="J1372" s="181">
        <v>1</v>
      </c>
      <c r="K1372" s="717"/>
      <c r="L1372" s="717"/>
      <c r="M1372" s="717"/>
      <c r="N1372" s="720"/>
    </row>
    <row r="1373" spans="1:14" x14ac:dyDescent="0.25">
      <c r="A1373" t="s">
        <v>180</v>
      </c>
      <c r="B1373" s="11" t="s">
        <v>1952</v>
      </c>
      <c r="C1373" s="12"/>
      <c r="D1373" s="123">
        <v>610000004422</v>
      </c>
      <c r="E1373" s="123">
        <f>VLOOKUP(D1373,'[1]Task list &amp; Maintenace plan'!$B:$G,6,FALSE)</f>
        <v>100856</v>
      </c>
      <c r="F1373" s="124" t="s">
        <v>1985</v>
      </c>
      <c r="G1373" s="180" t="s">
        <v>1959</v>
      </c>
      <c r="H1373" s="180" t="s">
        <v>2002</v>
      </c>
      <c r="I1373" s="181">
        <v>90</v>
      </c>
      <c r="J1373" s="181">
        <v>1</v>
      </c>
      <c r="K1373" s="717"/>
      <c r="L1373" s="717"/>
      <c r="M1373" s="717"/>
      <c r="N1373" s="720"/>
    </row>
    <row r="1374" spans="1:14" x14ac:dyDescent="0.25">
      <c r="A1374" t="s">
        <v>180</v>
      </c>
      <c r="B1374" s="11" t="s">
        <v>1952</v>
      </c>
      <c r="C1374" s="12"/>
      <c r="D1374" s="123">
        <v>610000004422</v>
      </c>
      <c r="E1374" s="123">
        <f>VLOOKUP(D1374,'[1]Task list &amp; Maintenace plan'!$B:$G,6,FALSE)</f>
        <v>100856</v>
      </c>
      <c r="F1374" s="124" t="s">
        <v>1985</v>
      </c>
      <c r="G1374" s="180" t="s">
        <v>1959</v>
      </c>
      <c r="H1374" s="180" t="s">
        <v>2003</v>
      </c>
      <c r="I1374" s="181">
        <v>90</v>
      </c>
      <c r="J1374" s="181">
        <v>1</v>
      </c>
      <c r="K1374" s="717"/>
      <c r="L1374" s="717"/>
      <c r="M1374" s="717"/>
      <c r="N1374" s="720"/>
    </row>
    <row r="1375" spans="1:14" x14ac:dyDescent="0.25">
      <c r="A1375" t="s">
        <v>180</v>
      </c>
      <c r="B1375" s="11" t="s">
        <v>1952</v>
      </c>
      <c r="C1375" s="12"/>
      <c r="D1375" s="17">
        <v>610000004422</v>
      </c>
      <c r="E1375" s="17">
        <f>VLOOKUP(D1375,'[1]Task list &amp; Maintenace plan'!$B:$G,6,FALSE)</f>
        <v>100856</v>
      </c>
      <c r="F1375" s="18" t="s">
        <v>1985</v>
      </c>
      <c r="G1375" s="19" t="s">
        <v>1959</v>
      </c>
      <c r="H1375" s="19" t="s">
        <v>2004</v>
      </c>
      <c r="I1375" s="18">
        <v>90</v>
      </c>
      <c r="J1375" s="18">
        <v>1</v>
      </c>
      <c r="K1375" s="717"/>
      <c r="L1375" s="717"/>
      <c r="M1375" s="717"/>
      <c r="N1375" s="720"/>
    </row>
    <row r="1376" spans="1:14" x14ac:dyDescent="0.25">
      <c r="A1376" t="s">
        <v>180</v>
      </c>
      <c r="B1376" s="11" t="s">
        <v>1952</v>
      </c>
      <c r="C1376" s="12"/>
      <c r="D1376" s="17">
        <v>610000004422</v>
      </c>
      <c r="E1376" s="17">
        <f>VLOOKUP(D1376,'[1]Task list &amp; Maintenace plan'!$B:$G,6,FALSE)</f>
        <v>100856</v>
      </c>
      <c r="F1376" s="18" t="s">
        <v>1985</v>
      </c>
      <c r="G1376" s="19" t="s">
        <v>1959</v>
      </c>
      <c r="H1376" s="19" t="s">
        <v>2005</v>
      </c>
      <c r="I1376" s="18">
        <v>90</v>
      </c>
      <c r="J1376" s="18">
        <v>1</v>
      </c>
      <c r="K1376" s="717"/>
      <c r="L1376" s="717"/>
      <c r="M1376" s="717"/>
      <c r="N1376" s="720"/>
    </row>
    <row r="1377" spans="1:14" x14ac:dyDescent="0.25">
      <c r="A1377" t="s">
        <v>180</v>
      </c>
      <c r="B1377" s="11" t="s">
        <v>1952</v>
      </c>
      <c r="C1377" s="12"/>
      <c r="D1377" s="17">
        <v>610000004422</v>
      </c>
      <c r="E1377" s="17">
        <f>VLOOKUP(D1377,'[1]Task list &amp; Maintenace plan'!$B:$G,6,FALSE)</f>
        <v>100856</v>
      </c>
      <c r="F1377" s="18" t="s">
        <v>1985</v>
      </c>
      <c r="G1377" s="19" t="s">
        <v>1959</v>
      </c>
      <c r="H1377" s="19" t="s">
        <v>2006</v>
      </c>
      <c r="I1377" s="18">
        <v>90</v>
      </c>
      <c r="J1377" s="18">
        <v>1</v>
      </c>
      <c r="K1377" s="717"/>
      <c r="L1377" s="717"/>
      <c r="M1377" s="717"/>
      <c r="N1377" s="720"/>
    </row>
    <row r="1378" spans="1:14" x14ac:dyDescent="0.25">
      <c r="A1378" t="s">
        <v>180</v>
      </c>
      <c r="B1378" s="11" t="s">
        <v>1952</v>
      </c>
      <c r="C1378" s="12"/>
      <c r="D1378" s="22">
        <v>610000004422</v>
      </c>
      <c r="E1378" s="22">
        <f>VLOOKUP(D1378,'[1]Task list &amp; Maintenace plan'!$B:$G,6,FALSE)</f>
        <v>100856</v>
      </c>
      <c r="F1378" s="23" t="s">
        <v>1985</v>
      </c>
      <c r="G1378" s="24" t="s">
        <v>1959</v>
      </c>
      <c r="H1378" s="24" t="s">
        <v>2007</v>
      </c>
      <c r="I1378" s="23">
        <v>90</v>
      </c>
      <c r="J1378" s="23">
        <v>1</v>
      </c>
      <c r="K1378" s="718"/>
      <c r="L1378" s="718"/>
      <c r="M1378" s="718"/>
      <c r="N1378" s="721"/>
    </row>
    <row r="1379" spans="1:14" x14ac:dyDescent="0.25">
      <c r="A1379" t="s">
        <v>180</v>
      </c>
      <c r="B1379" s="11" t="s">
        <v>1952</v>
      </c>
      <c r="C1379" s="12"/>
      <c r="D1379" s="6">
        <v>358988</v>
      </c>
      <c r="E1379" s="6">
        <v>2779</v>
      </c>
      <c r="F1379" s="7" t="s">
        <v>2008</v>
      </c>
      <c r="G1379" s="8" t="s">
        <v>1962</v>
      </c>
      <c r="H1379" s="8" t="s">
        <v>2009</v>
      </c>
      <c r="I1379" s="7">
        <v>90</v>
      </c>
      <c r="J1379" s="7">
        <v>1</v>
      </c>
      <c r="K1379" s="316"/>
      <c r="L1379" s="316"/>
      <c r="M1379" s="316"/>
      <c r="N1379" s="317"/>
    </row>
    <row r="1380" spans="1:14" x14ac:dyDescent="0.25">
      <c r="A1380" t="s">
        <v>180</v>
      </c>
      <c r="B1380" s="11" t="s">
        <v>1952</v>
      </c>
      <c r="C1380" s="12"/>
      <c r="D1380" s="13">
        <v>610000004424</v>
      </c>
      <c r="E1380" s="13">
        <f>VLOOKUP(D1380,'[1]Task list &amp; Maintenace plan'!$B:$G,6,FALSE)</f>
        <v>100858</v>
      </c>
      <c r="F1380" s="14" t="s">
        <v>2010</v>
      </c>
      <c r="G1380" s="15" t="s">
        <v>1953</v>
      </c>
      <c r="H1380" s="15" t="s">
        <v>2011</v>
      </c>
      <c r="I1380" s="14">
        <v>60</v>
      </c>
      <c r="J1380" s="14">
        <v>1</v>
      </c>
      <c r="K1380" s="687">
        <v>30</v>
      </c>
      <c r="L1380" s="687">
        <v>1</v>
      </c>
      <c r="M1380" s="687">
        <f>L1380*K1380</f>
        <v>30</v>
      </c>
      <c r="N1380" s="689" t="s">
        <v>20</v>
      </c>
    </row>
    <row r="1381" spans="1:14" x14ac:dyDescent="0.25">
      <c r="A1381" t="s">
        <v>180</v>
      </c>
      <c r="B1381" s="11" t="s">
        <v>1952</v>
      </c>
      <c r="C1381" s="12"/>
      <c r="D1381" s="17">
        <v>610000004424</v>
      </c>
      <c r="E1381" s="17">
        <f>VLOOKUP(D1381,'[1]Task list &amp; Maintenace plan'!$B:$G,6,FALSE)</f>
        <v>100858</v>
      </c>
      <c r="F1381" s="18" t="s">
        <v>2010</v>
      </c>
      <c r="G1381" s="19" t="s">
        <v>1953</v>
      </c>
      <c r="H1381" s="19" t="s">
        <v>2012</v>
      </c>
      <c r="I1381" s="18">
        <v>60</v>
      </c>
      <c r="J1381" s="18">
        <v>1</v>
      </c>
      <c r="K1381" s="687"/>
      <c r="L1381" s="687"/>
      <c r="M1381" s="687"/>
      <c r="N1381" s="690"/>
    </row>
    <row r="1382" spans="1:14" x14ac:dyDescent="0.25">
      <c r="A1382" t="s">
        <v>180</v>
      </c>
      <c r="B1382" s="11" t="s">
        <v>1952</v>
      </c>
      <c r="C1382" s="12"/>
      <c r="D1382" s="17">
        <v>610000004424</v>
      </c>
      <c r="E1382" s="17">
        <f>VLOOKUP(D1382,'[1]Task list &amp; Maintenace plan'!$B:$G,6,FALSE)</f>
        <v>100858</v>
      </c>
      <c r="F1382" s="18" t="s">
        <v>2010</v>
      </c>
      <c r="G1382" s="19" t="s">
        <v>1953</v>
      </c>
      <c r="H1382" s="19" t="s">
        <v>2013</v>
      </c>
      <c r="I1382" s="18">
        <v>60</v>
      </c>
      <c r="J1382" s="18">
        <v>1</v>
      </c>
      <c r="K1382" s="687"/>
      <c r="L1382" s="687"/>
      <c r="M1382" s="687"/>
      <c r="N1382" s="690"/>
    </row>
    <row r="1383" spans="1:14" x14ac:dyDescent="0.25">
      <c r="A1383" t="s">
        <v>180</v>
      </c>
      <c r="B1383" s="11" t="s">
        <v>1952</v>
      </c>
      <c r="C1383" s="12"/>
      <c r="D1383" s="100">
        <v>610000004424</v>
      </c>
      <c r="E1383" s="100">
        <f>VLOOKUP(D1383,'[1]Task list &amp; Maintenace plan'!$B:$G,6,FALSE)</f>
        <v>100858</v>
      </c>
      <c r="F1383" s="101" t="s">
        <v>2010</v>
      </c>
      <c r="G1383" s="296" t="s">
        <v>1957</v>
      </c>
      <c r="H1383" s="178" t="s">
        <v>2014</v>
      </c>
      <c r="I1383" s="179">
        <v>60</v>
      </c>
      <c r="J1383" s="179">
        <v>1</v>
      </c>
      <c r="K1383" s="687"/>
      <c r="L1383" s="687"/>
      <c r="M1383" s="687"/>
      <c r="N1383" s="690"/>
    </row>
    <row r="1384" spans="1:14" x14ac:dyDescent="0.25">
      <c r="A1384" t="s">
        <v>180</v>
      </c>
      <c r="B1384" s="11" t="s">
        <v>1952</v>
      </c>
      <c r="C1384" s="12"/>
      <c r="D1384" s="123">
        <v>610000004424</v>
      </c>
      <c r="E1384" s="123">
        <f>VLOOKUP(D1384,'[1]Task list &amp; Maintenace plan'!$B:$G,6,FALSE)</f>
        <v>100858</v>
      </c>
      <c r="F1384" s="124" t="s">
        <v>2010</v>
      </c>
      <c r="G1384" s="297" t="s">
        <v>1957</v>
      </c>
      <c r="H1384" s="180" t="s">
        <v>2015</v>
      </c>
      <c r="I1384" s="181">
        <v>60</v>
      </c>
      <c r="J1384" s="181">
        <v>1</v>
      </c>
      <c r="K1384" s="687"/>
      <c r="L1384" s="687"/>
      <c r="M1384" s="687"/>
      <c r="N1384" s="690"/>
    </row>
    <row r="1385" spans="1:14" x14ac:dyDescent="0.25">
      <c r="A1385" t="s">
        <v>180</v>
      </c>
      <c r="B1385" s="11" t="s">
        <v>1952</v>
      </c>
      <c r="C1385" s="12"/>
      <c r="D1385" s="123">
        <v>610000004424</v>
      </c>
      <c r="E1385" s="123">
        <f>VLOOKUP(D1385,'[1]Task list &amp; Maintenace plan'!$B:$G,6,FALSE)</f>
        <v>100858</v>
      </c>
      <c r="F1385" s="124" t="s">
        <v>2010</v>
      </c>
      <c r="G1385" s="297" t="s">
        <v>1957</v>
      </c>
      <c r="H1385" s="180" t="s">
        <v>2016</v>
      </c>
      <c r="I1385" s="181">
        <v>60</v>
      </c>
      <c r="J1385" s="181">
        <v>1</v>
      </c>
      <c r="K1385" s="687"/>
      <c r="L1385" s="687"/>
      <c r="M1385" s="687"/>
      <c r="N1385" s="690"/>
    </row>
    <row r="1386" spans="1:14" x14ac:dyDescent="0.25">
      <c r="A1386" t="s">
        <v>180</v>
      </c>
      <c r="B1386" s="11" t="s">
        <v>1952</v>
      </c>
      <c r="C1386" s="12"/>
      <c r="D1386" s="123">
        <v>610000004424</v>
      </c>
      <c r="E1386" s="123">
        <f>VLOOKUP(D1386,'[1]Task list &amp; Maintenace plan'!$B:$G,6,FALSE)</f>
        <v>100858</v>
      </c>
      <c r="F1386" s="124" t="s">
        <v>2010</v>
      </c>
      <c r="G1386" s="297" t="s">
        <v>1957</v>
      </c>
      <c r="H1386" s="180" t="s">
        <v>2017</v>
      </c>
      <c r="I1386" s="181">
        <v>60</v>
      </c>
      <c r="J1386" s="181">
        <v>1</v>
      </c>
      <c r="K1386" s="687"/>
      <c r="L1386" s="687"/>
      <c r="M1386" s="687"/>
      <c r="N1386" s="690"/>
    </row>
    <row r="1387" spans="1:14" x14ac:dyDescent="0.25">
      <c r="A1387" t="s">
        <v>180</v>
      </c>
      <c r="B1387" s="11" t="s">
        <v>1952</v>
      </c>
      <c r="C1387" s="12"/>
      <c r="D1387" s="123">
        <v>610000004424</v>
      </c>
      <c r="E1387" s="123">
        <f>VLOOKUP(D1387,'[1]Task list &amp; Maintenace plan'!$B:$G,6,FALSE)</f>
        <v>100858</v>
      </c>
      <c r="F1387" s="124" t="s">
        <v>2010</v>
      </c>
      <c r="G1387" s="297" t="s">
        <v>1955</v>
      </c>
      <c r="H1387" s="180" t="s">
        <v>2018</v>
      </c>
      <c r="I1387" s="181">
        <v>60</v>
      </c>
      <c r="J1387" s="181">
        <v>1</v>
      </c>
      <c r="K1387" s="687"/>
      <c r="L1387" s="687"/>
      <c r="M1387" s="687"/>
      <c r="N1387" s="690"/>
    </row>
    <row r="1388" spans="1:14" x14ac:dyDescent="0.25">
      <c r="A1388" t="s">
        <v>180</v>
      </c>
      <c r="B1388" s="11" t="s">
        <v>1952</v>
      </c>
      <c r="C1388" s="12"/>
      <c r="D1388" s="123">
        <v>610000004424</v>
      </c>
      <c r="E1388" s="123">
        <f>VLOOKUP(D1388,'[1]Task list &amp; Maintenace plan'!$B:$G,6,FALSE)</f>
        <v>100858</v>
      </c>
      <c r="F1388" s="124" t="s">
        <v>2010</v>
      </c>
      <c r="G1388" s="180" t="s">
        <v>1955</v>
      </c>
      <c r="H1388" s="180" t="s">
        <v>2019</v>
      </c>
      <c r="I1388" s="181">
        <v>60</v>
      </c>
      <c r="J1388" s="181">
        <v>1</v>
      </c>
      <c r="K1388" s="687"/>
      <c r="L1388" s="687"/>
      <c r="M1388" s="687"/>
      <c r="N1388" s="690"/>
    </row>
    <row r="1389" spans="1:14" x14ac:dyDescent="0.25">
      <c r="A1389" t="s">
        <v>180</v>
      </c>
      <c r="B1389" s="11" t="s">
        <v>1952</v>
      </c>
      <c r="C1389" s="12"/>
      <c r="D1389" s="123">
        <v>610000004424</v>
      </c>
      <c r="E1389" s="123">
        <f>VLOOKUP(D1389,'[1]Task list &amp; Maintenace plan'!$B:$G,6,FALSE)</f>
        <v>100858</v>
      </c>
      <c r="F1389" s="124" t="s">
        <v>2010</v>
      </c>
      <c r="G1389" s="180" t="s">
        <v>1955</v>
      </c>
      <c r="H1389" s="180" t="s">
        <v>2020</v>
      </c>
      <c r="I1389" s="181">
        <v>60</v>
      </c>
      <c r="J1389" s="181">
        <v>1</v>
      </c>
      <c r="K1389" s="687"/>
      <c r="L1389" s="687"/>
      <c r="M1389" s="687"/>
      <c r="N1389" s="690"/>
    </row>
    <row r="1390" spans="1:14" x14ac:dyDescent="0.25">
      <c r="A1390" t="s">
        <v>180</v>
      </c>
      <c r="B1390" s="11" t="s">
        <v>1952</v>
      </c>
      <c r="C1390" s="12"/>
      <c r="D1390" s="123">
        <v>610000004424</v>
      </c>
      <c r="E1390" s="123">
        <f>VLOOKUP(D1390,'[1]Task list &amp; Maintenace plan'!$B:$G,6,FALSE)</f>
        <v>100858</v>
      </c>
      <c r="F1390" s="124" t="s">
        <v>2010</v>
      </c>
      <c r="G1390" s="180" t="s">
        <v>1955</v>
      </c>
      <c r="H1390" s="180" t="s">
        <v>2021</v>
      </c>
      <c r="I1390" s="181">
        <v>60</v>
      </c>
      <c r="J1390" s="181">
        <v>1</v>
      </c>
      <c r="K1390" s="687"/>
      <c r="L1390" s="687"/>
      <c r="M1390" s="687"/>
      <c r="N1390" s="690"/>
    </row>
    <row r="1391" spans="1:14" x14ac:dyDescent="0.25">
      <c r="A1391" t="s">
        <v>180</v>
      </c>
      <c r="B1391" s="11" t="s">
        <v>1952</v>
      </c>
      <c r="C1391" s="12"/>
      <c r="D1391" s="123">
        <v>610000004424</v>
      </c>
      <c r="E1391" s="123">
        <f>VLOOKUP(D1391,'[1]Task list &amp; Maintenace plan'!$B:$G,6,FALSE)</f>
        <v>100858</v>
      </c>
      <c r="F1391" s="124" t="s">
        <v>2010</v>
      </c>
      <c r="G1391" s="180" t="s">
        <v>1955</v>
      </c>
      <c r="H1391" s="180" t="s">
        <v>2022</v>
      </c>
      <c r="I1391" s="181">
        <v>60</v>
      </c>
      <c r="J1391" s="181">
        <v>1</v>
      </c>
      <c r="K1391" s="687"/>
      <c r="L1391" s="687"/>
      <c r="M1391" s="687"/>
      <c r="N1391" s="690"/>
    </row>
    <row r="1392" spans="1:14" x14ac:dyDescent="0.25">
      <c r="A1392" t="s">
        <v>180</v>
      </c>
      <c r="B1392" s="11" t="s">
        <v>1952</v>
      </c>
      <c r="C1392" s="12"/>
      <c r="D1392" s="123">
        <v>610000004424</v>
      </c>
      <c r="E1392" s="123">
        <f>VLOOKUP(D1392,'[1]Task list &amp; Maintenace plan'!$B:$G,6,FALSE)</f>
        <v>100858</v>
      </c>
      <c r="F1392" s="124" t="s">
        <v>2010</v>
      </c>
      <c r="G1392" s="180" t="s">
        <v>1955</v>
      </c>
      <c r="H1392" s="180" t="s">
        <v>2023</v>
      </c>
      <c r="I1392" s="181">
        <v>60</v>
      </c>
      <c r="J1392" s="181">
        <v>1</v>
      </c>
      <c r="K1392" s="687"/>
      <c r="L1392" s="687"/>
      <c r="M1392" s="687"/>
      <c r="N1392" s="690"/>
    </row>
    <row r="1393" spans="1:14" x14ac:dyDescent="0.25">
      <c r="A1393" t="s">
        <v>180</v>
      </c>
      <c r="B1393" s="11" t="s">
        <v>1952</v>
      </c>
      <c r="C1393" s="12"/>
      <c r="D1393" s="123">
        <v>610000004424</v>
      </c>
      <c r="E1393" s="123">
        <f>VLOOKUP(D1393,'[1]Task list &amp; Maintenace plan'!$B:$G,6,FALSE)</f>
        <v>100858</v>
      </c>
      <c r="F1393" s="124" t="s">
        <v>2010</v>
      </c>
      <c r="G1393" s="180" t="s">
        <v>1955</v>
      </c>
      <c r="H1393" s="180" t="s">
        <v>2024</v>
      </c>
      <c r="I1393" s="181">
        <v>60</v>
      </c>
      <c r="J1393" s="181">
        <v>1</v>
      </c>
      <c r="K1393" s="687"/>
      <c r="L1393" s="687"/>
      <c r="M1393" s="687"/>
      <c r="N1393" s="690"/>
    </row>
    <row r="1394" spans="1:14" x14ac:dyDescent="0.25">
      <c r="A1394" t="s">
        <v>180</v>
      </c>
      <c r="B1394" s="11" t="s">
        <v>1952</v>
      </c>
      <c r="C1394" s="12"/>
      <c r="D1394" s="140">
        <v>610000004424</v>
      </c>
      <c r="E1394" s="140">
        <f>VLOOKUP(D1394,'[1]Task list &amp; Maintenace plan'!$B:$G,6,FALSE)</f>
        <v>100858</v>
      </c>
      <c r="F1394" s="141" t="s">
        <v>2010</v>
      </c>
      <c r="G1394" s="293" t="s">
        <v>1959</v>
      </c>
      <c r="H1394" s="178" t="s">
        <v>2025</v>
      </c>
      <c r="I1394" s="179">
        <v>60</v>
      </c>
      <c r="J1394" s="179">
        <v>1</v>
      </c>
      <c r="K1394" s="687"/>
      <c r="L1394" s="687"/>
      <c r="M1394" s="687"/>
      <c r="N1394" s="690"/>
    </row>
    <row r="1395" spans="1:14" x14ac:dyDescent="0.25">
      <c r="A1395" t="s">
        <v>180</v>
      </c>
      <c r="B1395" s="11" t="s">
        <v>1952</v>
      </c>
      <c r="C1395" s="12"/>
      <c r="D1395" s="123">
        <v>610000004424</v>
      </c>
      <c r="E1395" s="123">
        <f>VLOOKUP(D1395,'[1]Task list &amp; Maintenace plan'!$B:$G,6,FALSE)</f>
        <v>100858</v>
      </c>
      <c r="F1395" s="124" t="s">
        <v>2010</v>
      </c>
      <c r="G1395" s="180" t="s">
        <v>1959</v>
      </c>
      <c r="H1395" s="180" t="s">
        <v>2026</v>
      </c>
      <c r="I1395" s="181">
        <v>60</v>
      </c>
      <c r="J1395" s="181">
        <v>1</v>
      </c>
      <c r="K1395" s="687"/>
      <c r="L1395" s="687"/>
      <c r="M1395" s="687"/>
      <c r="N1395" s="690"/>
    </row>
    <row r="1396" spans="1:14" x14ac:dyDescent="0.25">
      <c r="A1396" t="s">
        <v>180</v>
      </c>
      <c r="B1396" s="11" t="s">
        <v>1952</v>
      </c>
      <c r="C1396" s="12"/>
      <c r="D1396" s="123">
        <v>610000004424</v>
      </c>
      <c r="E1396" s="123">
        <f>VLOOKUP(D1396,'[1]Task list &amp; Maintenace plan'!$B:$G,6,FALSE)</f>
        <v>100858</v>
      </c>
      <c r="F1396" s="124" t="s">
        <v>2010</v>
      </c>
      <c r="G1396" s="180" t="s">
        <v>1959</v>
      </c>
      <c r="H1396" s="180" t="s">
        <v>2027</v>
      </c>
      <c r="I1396" s="181">
        <v>60</v>
      </c>
      <c r="J1396" s="181">
        <v>1</v>
      </c>
      <c r="K1396" s="687"/>
      <c r="L1396" s="687"/>
      <c r="M1396" s="687"/>
      <c r="N1396" s="690"/>
    </row>
    <row r="1397" spans="1:14" x14ac:dyDescent="0.25">
      <c r="A1397" t="s">
        <v>180</v>
      </c>
      <c r="B1397" s="11" t="s">
        <v>1952</v>
      </c>
      <c r="C1397" s="12"/>
      <c r="D1397" s="123">
        <v>610000004424</v>
      </c>
      <c r="E1397" s="123">
        <f>VLOOKUP(D1397,'[1]Task list &amp; Maintenace plan'!$B:$G,6,FALSE)</f>
        <v>100858</v>
      </c>
      <c r="F1397" s="124" t="s">
        <v>2010</v>
      </c>
      <c r="G1397" s="180" t="s">
        <v>1959</v>
      </c>
      <c r="H1397" s="180" t="s">
        <v>2028</v>
      </c>
      <c r="I1397" s="181">
        <v>60</v>
      </c>
      <c r="J1397" s="181">
        <v>1</v>
      </c>
      <c r="K1397" s="687"/>
      <c r="L1397" s="687"/>
      <c r="M1397" s="687"/>
      <c r="N1397" s="690"/>
    </row>
    <row r="1398" spans="1:14" x14ac:dyDescent="0.25">
      <c r="A1398" t="s">
        <v>180</v>
      </c>
      <c r="B1398" s="11" t="s">
        <v>1952</v>
      </c>
      <c r="C1398" s="12"/>
      <c r="D1398" s="123">
        <v>610000004424</v>
      </c>
      <c r="E1398" s="123">
        <f>VLOOKUP(D1398,'[1]Task list &amp; Maintenace plan'!$B:$G,6,FALSE)</f>
        <v>100858</v>
      </c>
      <c r="F1398" s="124" t="s">
        <v>2010</v>
      </c>
      <c r="G1398" s="180" t="s">
        <v>1959</v>
      </c>
      <c r="H1398" s="180" t="s">
        <v>2029</v>
      </c>
      <c r="I1398" s="181">
        <v>60</v>
      </c>
      <c r="J1398" s="181">
        <v>1</v>
      </c>
      <c r="K1398" s="687"/>
      <c r="L1398" s="687"/>
      <c r="M1398" s="687"/>
      <c r="N1398" s="690"/>
    </row>
    <row r="1399" spans="1:14" x14ac:dyDescent="0.25">
      <c r="A1399" t="s">
        <v>180</v>
      </c>
      <c r="B1399" s="11" t="s">
        <v>1952</v>
      </c>
      <c r="C1399" s="12"/>
      <c r="D1399" s="123">
        <v>610000004424</v>
      </c>
      <c r="E1399" s="123">
        <f>VLOOKUP(D1399,'[1]Task list &amp; Maintenace plan'!$B:$G,6,FALSE)</f>
        <v>100858</v>
      </c>
      <c r="F1399" s="124" t="s">
        <v>2010</v>
      </c>
      <c r="G1399" s="180" t="s">
        <v>1959</v>
      </c>
      <c r="H1399" s="180" t="s">
        <v>2030</v>
      </c>
      <c r="I1399" s="181">
        <v>60</v>
      </c>
      <c r="J1399" s="181">
        <v>1</v>
      </c>
      <c r="K1399" s="687"/>
      <c r="L1399" s="687"/>
      <c r="M1399" s="687"/>
      <c r="N1399" s="690"/>
    </row>
    <row r="1400" spans="1:14" x14ac:dyDescent="0.25">
      <c r="A1400" t="s">
        <v>180</v>
      </c>
      <c r="B1400" s="11" t="s">
        <v>1952</v>
      </c>
      <c r="C1400" s="12"/>
      <c r="D1400" s="123">
        <v>610000004424</v>
      </c>
      <c r="E1400" s="123">
        <f>VLOOKUP(D1400,'[1]Task list &amp; Maintenace plan'!$B:$G,6,FALSE)</f>
        <v>100858</v>
      </c>
      <c r="F1400" s="124" t="s">
        <v>2010</v>
      </c>
      <c r="G1400" s="180" t="s">
        <v>1959</v>
      </c>
      <c r="H1400" s="180" t="s">
        <v>2031</v>
      </c>
      <c r="I1400" s="181">
        <v>60</v>
      </c>
      <c r="J1400" s="181">
        <v>1</v>
      </c>
      <c r="K1400" s="687"/>
      <c r="L1400" s="687"/>
      <c r="M1400" s="687"/>
      <c r="N1400" s="690"/>
    </row>
    <row r="1401" spans="1:14" x14ac:dyDescent="0.25">
      <c r="A1401" t="s">
        <v>180</v>
      </c>
      <c r="B1401" s="11" t="s">
        <v>1952</v>
      </c>
      <c r="C1401" s="12"/>
      <c r="D1401" s="123">
        <v>610000004424</v>
      </c>
      <c r="E1401" s="123">
        <f>VLOOKUP(D1401,'[1]Task list &amp; Maintenace plan'!$B:$G,6,FALSE)</f>
        <v>100858</v>
      </c>
      <c r="F1401" s="124" t="s">
        <v>2010</v>
      </c>
      <c r="G1401" s="180" t="s">
        <v>1959</v>
      </c>
      <c r="H1401" s="180" t="s">
        <v>2032</v>
      </c>
      <c r="I1401" s="181">
        <v>60</v>
      </c>
      <c r="J1401" s="181">
        <v>1</v>
      </c>
      <c r="K1401" s="687"/>
      <c r="L1401" s="687"/>
      <c r="M1401" s="687"/>
      <c r="N1401" s="690"/>
    </row>
    <row r="1402" spans="1:14" ht="15.75" thickBot="1" x14ac:dyDescent="0.3">
      <c r="A1402" t="s">
        <v>180</v>
      </c>
      <c r="B1402" s="11" t="s">
        <v>1952</v>
      </c>
      <c r="C1402" s="27"/>
      <c r="D1402" s="147">
        <v>610000004424</v>
      </c>
      <c r="E1402" s="147">
        <f>VLOOKUP(D1402,'[1]Task list &amp; Maintenace plan'!$B:$G,6,FALSE)</f>
        <v>100858</v>
      </c>
      <c r="F1402" s="148" t="s">
        <v>2010</v>
      </c>
      <c r="G1402" s="189" t="s">
        <v>1959</v>
      </c>
      <c r="H1402" s="189" t="s">
        <v>2033</v>
      </c>
      <c r="I1402" s="190">
        <v>60</v>
      </c>
      <c r="J1402" s="190">
        <v>1</v>
      </c>
      <c r="K1402" s="692"/>
      <c r="L1402" s="692"/>
      <c r="M1402" s="692"/>
      <c r="N1402" s="693"/>
    </row>
    <row r="1403" spans="1:14" x14ac:dyDescent="0.25">
      <c r="A1403" t="s">
        <v>180</v>
      </c>
      <c r="B1403" s="11" t="s">
        <v>1952</v>
      </c>
      <c r="C1403" s="12"/>
      <c r="D1403" s="125"/>
      <c r="E1403" s="125" t="e">
        <f>VLOOKUP(D1403,'[1]Task list &amp; Maintenace plan'!$B:$G,6,FALSE)</f>
        <v>#N/A</v>
      </c>
      <c r="F1403" s="129" t="s">
        <v>2034</v>
      </c>
      <c r="G1403" s="290" t="s">
        <v>1840</v>
      </c>
      <c r="H1403" s="290" t="s">
        <v>2035</v>
      </c>
      <c r="I1403" s="129">
        <v>180</v>
      </c>
      <c r="J1403" s="129"/>
      <c r="K1403" s="129"/>
      <c r="L1403" s="129"/>
      <c r="M1403" s="129"/>
      <c r="N1403" s="130"/>
    </row>
    <row r="1404" spans="1:14" ht="15.75" thickBot="1" x14ac:dyDescent="0.3">
      <c r="A1404" t="s">
        <v>180</v>
      </c>
      <c r="B1404" s="11" t="s">
        <v>1952</v>
      </c>
      <c r="C1404" s="27"/>
      <c r="D1404" s="318"/>
      <c r="E1404" s="318" t="e">
        <f>VLOOKUP(D1404,'[1]Task list &amp; Maintenace plan'!$B:$G,6,FALSE)</f>
        <v>#N/A</v>
      </c>
      <c r="F1404" s="319" t="s">
        <v>2034</v>
      </c>
      <c r="G1404" s="320" t="s">
        <v>1840</v>
      </c>
      <c r="H1404" s="320" t="s">
        <v>2036</v>
      </c>
      <c r="I1404" s="319">
        <v>180</v>
      </c>
      <c r="J1404" s="319"/>
      <c r="K1404" s="319"/>
      <c r="L1404" s="319"/>
      <c r="M1404" s="319"/>
      <c r="N1404" s="321"/>
    </row>
    <row r="1405" spans="1:14" x14ac:dyDescent="0.25">
      <c r="A1405" t="s">
        <v>180</v>
      </c>
      <c r="B1405" s="11" t="s">
        <v>2037</v>
      </c>
      <c r="C1405" s="12"/>
      <c r="D1405" s="117">
        <v>610000004427</v>
      </c>
      <c r="E1405" s="117">
        <f>VLOOKUP(D1405,'[1]Task list &amp; Maintenace plan'!$B:$G,6,FALSE)</f>
        <v>100861</v>
      </c>
      <c r="F1405" s="118" t="s">
        <v>2039</v>
      </c>
      <c r="G1405" s="220" t="s">
        <v>2040</v>
      </c>
      <c r="H1405" s="220" t="s">
        <v>2041</v>
      </c>
      <c r="I1405" s="221">
        <v>60</v>
      </c>
      <c r="J1405" s="221">
        <v>1</v>
      </c>
      <c r="K1405" s="722">
        <v>60</v>
      </c>
      <c r="L1405" s="722">
        <v>1</v>
      </c>
      <c r="M1405" s="722">
        <f>L1405*K1405</f>
        <v>60</v>
      </c>
      <c r="N1405" s="723" t="s">
        <v>20</v>
      </c>
    </row>
    <row r="1406" spans="1:14" x14ac:dyDescent="0.25">
      <c r="A1406" t="s">
        <v>180</v>
      </c>
      <c r="B1406" s="11" t="s">
        <v>2037</v>
      </c>
      <c r="C1406" s="12"/>
      <c r="D1406" s="123">
        <v>610000004427</v>
      </c>
      <c r="E1406" s="123">
        <f>VLOOKUP(D1406,'[1]Task list &amp; Maintenace plan'!$B:$G,6,FALSE)</f>
        <v>100861</v>
      </c>
      <c r="F1406" s="124" t="s">
        <v>2039</v>
      </c>
      <c r="G1406" s="180" t="s">
        <v>2043</v>
      </c>
      <c r="H1406" s="180" t="s">
        <v>2044</v>
      </c>
      <c r="I1406" s="181">
        <v>60</v>
      </c>
      <c r="J1406" s="181">
        <v>1</v>
      </c>
      <c r="K1406" s="717"/>
      <c r="L1406" s="717"/>
      <c r="M1406" s="717"/>
      <c r="N1406" s="720"/>
    </row>
    <row r="1407" spans="1:14" x14ac:dyDescent="0.25">
      <c r="A1407" t="s">
        <v>180</v>
      </c>
      <c r="B1407" s="11" t="s">
        <v>2037</v>
      </c>
      <c r="C1407" s="12"/>
      <c r="D1407" s="123">
        <v>610000004427</v>
      </c>
      <c r="E1407" s="123">
        <f>VLOOKUP(D1407,'[1]Task list &amp; Maintenace plan'!$B:$G,6,FALSE)</f>
        <v>100861</v>
      </c>
      <c r="F1407" s="124" t="s">
        <v>2039</v>
      </c>
      <c r="G1407" s="180" t="s">
        <v>2045</v>
      </c>
      <c r="H1407" s="180" t="s">
        <v>2046</v>
      </c>
      <c r="I1407" s="181">
        <v>60</v>
      </c>
      <c r="J1407" s="181">
        <v>1</v>
      </c>
      <c r="K1407" s="717"/>
      <c r="L1407" s="717"/>
      <c r="M1407" s="717"/>
      <c r="N1407" s="720"/>
    </row>
    <row r="1408" spans="1:14" x14ac:dyDescent="0.25">
      <c r="A1408" t="s">
        <v>180</v>
      </c>
      <c r="B1408" s="11" t="s">
        <v>2037</v>
      </c>
      <c r="C1408" s="12"/>
      <c r="D1408" s="123">
        <v>610000004427</v>
      </c>
      <c r="E1408" s="123">
        <f>VLOOKUP(D1408,'[1]Task list &amp; Maintenace plan'!$B:$G,6,FALSE)</f>
        <v>100861</v>
      </c>
      <c r="F1408" s="124" t="s">
        <v>2039</v>
      </c>
      <c r="G1408" s="180" t="s">
        <v>2038</v>
      </c>
      <c r="H1408" s="180" t="s">
        <v>2047</v>
      </c>
      <c r="I1408" s="181">
        <v>60</v>
      </c>
      <c r="J1408" s="181">
        <v>1</v>
      </c>
      <c r="K1408" s="717"/>
      <c r="L1408" s="717"/>
      <c r="M1408" s="717"/>
      <c r="N1408" s="720"/>
    </row>
    <row r="1409" spans="1:14" x14ac:dyDescent="0.25">
      <c r="A1409" t="s">
        <v>180</v>
      </c>
      <c r="B1409" s="11" t="s">
        <v>2037</v>
      </c>
      <c r="C1409" s="12"/>
      <c r="D1409" s="17">
        <v>610000004427</v>
      </c>
      <c r="E1409" s="17">
        <f>VLOOKUP(D1409,'[1]Task list &amp; Maintenace plan'!$B:$G,6,FALSE)</f>
        <v>100861</v>
      </c>
      <c r="F1409" s="18" t="s">
        <v>2039</v>
      </c>
      <c r="G1409" s="19" t="s">
        <v>2038</v>
      </c>
      <c r="H1409" s="19" t="s">
        <v>2048</v>
      </c>
      <c r="I1409" s="18">
        <v>60</v>
      </c>
      <c r="J1409" s="18">
        <v>1</v>
      </c>
      <c r="K1409" s="717"/>
      <c r="L1409" s="717"/>
      <c r="M1409" s="717"/>
      <c r="N1409" s="720"/>
    </row>
    <row r="1410" spans="1:14" x14ac:dyDescent="0.25">
      <c r="A1410" t="s">
        <v>180</v>
      </c>
      <c r="B1410" s="11" t="s">
        <v>2037</v>
      </c>
      <c r="C1410" s="12"/>
      <c r="D1410" s="17">
        <v>610000004427</v>
      </c>
      <c r="E1410" s="17">
        <f>VLOOKUP(D1410,'[1]Task list &amp; Maintenace plan'!$B:$G,6,FALSE)</f>
        <v>100861</v>
      </c>
      <c r="F1410" s="18" t="s">
        <v>2039</v>
      </c>
      <c r="G1410" s="19" t="s">
        <v>2042</v>
      </c>
      <c r="H1410" s="19" t="s">
        <v>2049</v>
      </c>
      <c r="I1410" s="18">
        <v>60</v>
      </c>
      <c r="J1410" s="18">
        <v>1</v>
      </c>
      <c r="K1410" s="717"/>
      <c r="L1410" s="717"/>
      <c r="M1410" s="717"/>
      <c r="N1410" s="720"/>
    </row>
    <row r="1411" spans="1:14" x14ac:dyDescent="0.25">
      <c r="A1411" t="s">
        <v>180</v>
      </c>
      <c r="B1411" s="11" t="s">
        <v>2037</v>
      </c>
      <c r="C1411" s="12"/>
      <c r="D1411" s="123">
        <v>610000004427</v>
      </c>
      <c r="E1411" s="123">
        <f>VLOOKUP(D1411,'[1]Task list &amp; Maintenace plan'!$B:$G,6,FALSE)</f>
        <v>100861</v>
      </c>
      <c r="F1411" s="124" t="s">
        <v>2039</v>
      </c>
      <c r="G1411" s="297" t="s">
        <v>2043</v>
      </c>
      <c r="H1411" s="180" t="s">
        <v>2050</v>
      </c>
      <c r="I1411" s="181">
        <v>60</v>
      </c>
      <c r="J1411" s="181">
        <v>1</v>
      </c>
      <c r="K1411" s="717"/>
      <c r="L1411" s="717"/>
      <c r="M1411" s="717"/>
      <c r="N1411" s="720"/>
    </row>
    <row r="1412" spans="1:14" x14ac:dyDescent="0.25">
      <c r="A1412" t="s">
        <v>180</v>
      </c>
      <c r="B1412" s="11" t="s">
        <v>2037</v>
      </c>
      <c r="C1412" s="12"/>
      <c r="D1412" s="103">
        <v>610000004427</v>
      </c>
      <c r="E1412" s="103">
        <f>VLOOKUP(D1412,'[1]Task list &amp; Maintenace plan'!$B:$G,6,FALSE)</f>
        <v>100861</v>
      </c>
      <c r="F1412" s="85" t="s">
        <v>2039</v>
      </c>
      <c r="G1412" s="306" t="s">
        <v>2045</v>
      </c>
      <c r="H1412" s="182" t="s">
        <v>2051</v>
      </c>
      <c r="I1412" s="183">
        <v>60</v>
      </c>
      <c r="J1412" s="183">
        <v>1</v>
      </c>
      <c r="K1412" s="718"/>
      <c r="L1412" s="718"/>
      <c r="M1412" s="718"/>
      <c r="N1412" s="721"/>
    </row>
    <row r="1413" spans="1:14" x14ac:dyDescent="0.25">
      <c r="A1413" t="s">
        <v>180</v>
      </c>
      <c r="B1413" s="11" t="s">
        <v>2037</v>
      </c>
      <c r="C1413" s="12"/>
      <c r="D1413" s="100">
        <v>610000004429</v>
      </c>
      <c r="E1413" s="100">
        <f>VLOOKUP(D1413,'[1]Task list &amp; Maintenace plan'!$B:$G,6,FALSE)</f>
        <v>100863</v>
      </c>
      <c r="F1413" s="101" t="s">
        <v>2052</v>
      </c>
      <c r="G1413" s="178" t="s">
        <v>2038</v>
      </c>
      <c r="H1413" s="178" t="s">
        <v>2053</v>
      </c>
      <c r="I1413" s="179">
        <v>90</v>
      </c>
      <c r="J1413" s="179">
        <v>1</v>
      </c>
      <c r="K1413" s="716">
        <v>60</v>
      </c>
      <c r="L1413" s="716">
        <v>1</v>
      </c>
      <c r="M1413" s="716">
        <f>L1413*K1413</f>
        <v>60</v>
      </c>
      <c r="N1413" s="719" t="s">
        <v>34</v>
      </c>
    </row>
    <row r="1414" spans="1:14" x14ac:dyDescent="0.25">
      <c r="A1414" t="s">
        <v>180</v>
      </c>
      <c r="B1414" s="11" t="s">
        <v>2037</v>
      </c>
      <c r="C1414" s="177"/>
      <c r="D1414" s="123">
        <v>610000004429</v>
      </c>
      <c r="E1414" s="123">
        <f>VLOOKUP(D1414,'[1]Task list &amp; Maintenace plan'!$B:$G,6,FALSE)</f>
        <v>100863</v>
      </c>
      <c r="F1414" s="124" t="s">
        <v>2052</v>
      </c>
      <c r="G1414" s="180" t="s">
        <v>2042</v>
      </c>
      <c r="H1414" s="180" t="s">
        <v>2054</v>
      </c>
      <c r="I1414" s="181">
        <v>90</v>
      </c>
      <c r="J1414" s="181">
        <v>1</v>
      </c>
      <c r="K1414" s="717"/>
      <c r="L1414" s="717"/>
      <c r="M1414" s="717"/>
      <c r="N1414" s="720"/>
    </row>
    <row r="1415" spans="1:14" x14ac:dyDescent="0.25">
      <c r="A1415" t="s">
        <v>180</v>
      </c>
      <c r="B1415" s="11" t="s">
        <v>2037</v>
      </c>
      <c r="C1415" s="12"/>
      <c r="D1415" s="123">
        <v>610000004429</v>
      </c>
      <c r="E1415" s="123">
        <f>VLOOKUP(D1415,'[1]Task list &amp; Maintenace plan'!$B:$G,6,FALSE)</f>
        <v>100863</v>
      </c>
      <c r="F1415" s="124" t="s">
        <v>2052</v>
      </c>
      <c r="G1415" s="180" t="s">
        <v>2043</v>
      </c>
      <c r="H1415" s="180" t="s">
        <v>2055</v>
      </c>
      <c r="I1415" s="181">
        <v>90</v>
      </c>
      <c r="J1415" s="181">
        <v>1</v>
      </c>
      <c r="K1415" s="717"/>
      <c r="L1415" s="717"/>
      <c r="M1415" s="717"/>
      <c r="N1415" s="720"/>
    </row>
    <row r="1416" spans="1:14" ht="15.75" thickBot="1" x14ac:dyDescent="0.3">
      <c r="A1416" t="s">
        <v>180</v>
      </c>
      <c r="B1416" s="11" t="s">
        <v>2037</v>
      </c>
      <c r="C1416" s="322"/>
      <c r="D1416" s="28">
        <v>610000004429</v>
      </c>
      <c r="E1416" s="28">
        <f>VLOOKUP(D1416,'[1]Task list &amp; Maintenace plan'!$B:$G,6,FALSE)</f>
        <v>100863</v>
      </c>
      <c r="F1416" s="29" t="s">
        <v>2052</v>
      </c>
      <c r="G1416" s="30" t="s">
        <v>2045</v>
      </c>
      <c r="H1416" s="30" t="s">
        <v>2056</v>
      </c>
      <c r="I1416" s="29">
        <v>90</v>
      </c>
      <c r="J1416" s="29">
        <v>1</v>
      </c>
      <c r="K1416" s="727"/>
      <c r="L1416" s="727"/>
      <c r="M1416" s="727"/>
      <c r="N1416" s="728"/>
    </row>
    <row r="1417" spans="1:14" ht="15.75" thickBot="1" x14ac:dyDescent="0.3">
      <c r="A1417" t="s">
        <v>180</v>
      </c>
      <c r="B1417" s="11" t="s">
        <v>2037</v>
      </c>
      <c r="C1417" s="27"/>
      <c r="D1417" s="323"/>
      <c r="E1417" s="323" t="e">
        <f>VLOOKUP(D1417,'[1]Task list &amp; Maintenace plan'!$B:$G,6,FALSE)</f>
        <v>#N/A</v>
      </c>
      <c r="F1417" s="310" t="s">
        <v>2057</v>
      </c>
      <c r="G1417" s="324" t="s">
        <v>1840</v>
      </c>
      <c r="H1417" s="324" t="s">
        <v>2058</v>
      </c>
      <c r="I1417" s="310">
        <v>180</v>
      </c>
      <c r="J1417" s="310"/>
      <c r="K1417" s="310"/>
      <c r="L1417" s="310"/>
      <c r="M1417" s="310"/>
      <c r="N1417" s="311"/>
    </row>
    <row r="1418" spans="1:14" x14ac:dyDescent="0.25">
      <c r="A1418" t="s">
        <v>180</v>
      </c>
      <c r="B1418" s="11" t="s">
        <v>2059</v>
      </c>
      <c r="C1418" s="12"/>
      <c r="D1418" s="13">
        <v>610000004432</v>
      </c>
      <c r="E1418" s="13">
        <f>VLOOKUP(D1418,'[1]Task list &amp; Maintenace plan'!$B:$G,6,FALSE)</f>
        <v>100866</v>
      </c>
      <c r="F1418" s="14" t="s">
        <v>2060</v>
      </c>
      <c r="G1418" s="15" t="s">
        <v>2061</v>
      </c>
      <c r="H1418" s="15" t="s">
        <v>2062</v>
      </c>
      <c r="I1418" s="14">
        <v>15</v>
      </c>
      <c r="J1418" s="14"/>
      <c r="K1418" s="694">
        <v>30</v>
      </c>
      <c r="L1418" s="694">
        <v>1</v>
      </c>
      <c r="M1418" s="694">
        <f>L1418*K1418</f>
        <v>30</v>
      </c>
      <c r="N1418" s="695" t="s">
        <v>34</v>
      </c>
    </row>
    <row r="1419" spans="1:14" x14ac:dyDescent="0.25">
      <c r="A1419" t="s">
        <v>180</v>
      </c>
      <c r="B1419" s="11" t="s">
        <v>2059</v>
      </c>
      <c r="C1419" s="12"/>
      <c r="D1419" s="17">
        <v>610000004432</v>
      </c>
      <c r="E1419" s="17">
        <f>VLOOKUP(D1419,'[1]Task list &amp; Maintenace plan'!$B:$G,6,FALSE)</f>
        <v>100866</v>
      </c>
      <c r="F1419" s="18" t="s">
        <v>2060</v>
      </c>
      <c r="G1419" s="19" t="s">
        <v>2061</v>
      </c>
      <c r="H1419" s="19" t="s">
        <v>2064</v>
      </c>
      <c r="I1419" s="18">
        <v>15</v>
      </c>
      <c r="J1419" s="18"/>
      <c r="K1419" s="687"/>
      <c r="L1419" s="687"/>
      <c r="M1419" s="687"/>
      <c r="N1419" s="690"/>
    </row>
    <row r="1420" spans="1:14" x14ac:dyDescent="0.25">
      <c r="A1420" t="s">
        <v>180</v>
      </c>
      <c r="B1420" s="11" t="s">
        <v>2059</v>
      </c>
      <c r="C1420" s="12"/>
      <c r="D1420" s="17">
        <v>610000004432</v>
      </c>
      <c r="E1420" s="17">
        <f>VLOOKUP(D1420,'[1]Task list &amp; Maintenace plan'!$B:$G,6,FALSE)</f>
        <v>100866</v>
      </c>
      <c r="F1420" s="18" t="s">
        <v>2060</v>
      </c>
      <c r="G1420" s="19" t="s">
        <v>2065</v>
      </c>
      <c r="H1420" s="19" t="s">
        <v>2066</v>
      </c>
      <c r="I1420" s="18">
        <v>15</v>
      </c>
      <c r="J1420" s="18"/>
      <c r="K1420" s="687"/>
      <c r="L1420" s="687"/>
      <c r="M1420" s="687"/>
      <c r="N1420" s="690"/>
    </row>
    <row r="1421" spans="1:14" x14ac:dyDescent="0.25">
      <c r="A1421" t="s">
        <v>180</v>
      </c>
      <c r="B1421" s="11" t="s">
        <v>2059</v>
      </c>
      <c r="C1421" s="12"/>
      <c r="D1421" s="22">
        <v>610000004432</v>
      </c>
      <c r="E1421" s="22">
        <f>VLOOKUP(D1421,'[1]Task list &amp; Maintenace plan'!$B:$G,6,FALSE)</f>
        <v>100866</v>
      </c>
      <c r="F1421" s="23" t="s">
        <v>2060</v>
      </c>
      <c r="G1421" s="24" t="s">
        <v>2065</v>
      </c>
      <c r="H1421" s="24" t="s">
        <v>2068</v>
      </c>
      <c r="I1421" s="23">
        <v>15</v>
      </c>
      <c r="J1421" s="23"/>
      <c r="K1421" s="688"/>
      <c r="L1421" s="688"/>
      <c r="M1421" s="688"/>
      <c r="N1421" s="691"/>
    </row>
    <row r="1422" spans="1:14" x14ac:dyDescent="0.25">
      <c r="A1422" t="s">
        <v>180</v>
      </c>
      <c r="B1422" s="11" t="s">
        <v>2059</v>
      </c>
      <c r="C1422" s="12"/>
      <c r="D1422" s="117">
        <v>610000004433</v>
      </c>
      <c r="E1422" s="117">
        <f>VLOOKUP(D1422,'[1]Task list &amp; Maintenace plan'!$B:$G,6,FALSE)</f>
        <v>100867</v>
      </c>
      <c r="F1422" s="118" t="s">
        <v>2069</v>
      </c>
      <c r="G1422" s="220" t="s">
        <v>2061</v>
      </c>
      <c r="H1422" s="220" t="s">
        <v>2070</v>
      </c>
      <c r="I1422" s="221">
        <v>30</v>
      </c>
      <c r="J1422" s="221">
        <v>1</v>
      </c>
      <c r="K1422" s="716">
        <v>120</v>
      </c>
      <c r="L1422" s="716">
        <v>1</v>
      </c>
      <c r="M1422" s="716">
        <f>L1422*K1422</f>
        <v>120</v>
      </c>
      <c r="N1422" s="719" t="s">
        <v>34</v>
      </c>
    </row>
    <row r="1423" spans="1:14" x14ac:dyDescent="0.25">
      <c r="A1423" t="s">
        <v>180</v>
      </c>
      <c r="B1423" s="11" t="s">
        <v>2059</v>
      </c>
      <c r="C1423" s="12"/>
      <c r="D1423" s="123">
        <v>610000004433</v>
      </c>
      <c r="E1423" s="123">
        <f>VLOOKUP(D1423,'[1]Task list &amp; Maintenace plan'!$B:$G,6,FALSE)</f>
        <v>100867</v>
      </c>
      <c r="F1423" s="124" t="s">
        <v>2069</v>
      </c>
      <c r="G1423" s="180" t="s">
        <v>2061</v>
      </c>
      <c r="H1423" s="180" t="s">
        <v>2071</v>
      </c>
      <c r="I1423" s="181">
        <v>30</v>
      </c>
      <c r="J1423" s="181">
        <v>1</v>
      </c>
      <c r="K1423" s="717"/>
      <c r="L1423" s="717"/>
      <c r="M1423" s="717"/>
      <c r="N1423" s="720"/>
    </row>
    <row r="1424" spans="1:14" x14ac:dyDescent="0.25">
      <c r="A1424" t="s">
        <v>180</v>
      </c>
      <c r="B1424" s="11" t="s">
        <v>2059</v>
      </c>
      <c r="C1424" s="12"/>
      <c r="D1424" s="123">
        <v>610000004433</v>
      </c>
      <c r="E1424" s="123">
        <f>VLOOKUP(D1424,'[1]Task list &amp; Maintenace plan'!$B:$G,6,FALSE)</f>
        <v>100867</v>
      </c>
      <c r="F1424" s="124" t="s">
        <v>2069</v>
      </c>
      <c r="G1424" s="180" t="s">
        <v>2061</v>
      </c>
      <c r="H1424" s="180" t="s">
        <v>2072</v>
      </c>
      <c r="I1424" s="181">
        <v>30</v>
      </c>
      <c r="J1424" s="181">
        <v>1</v>
      </c>
      <c r="K1424" s="717"/>
      <c r="L1424" s="717"/>
      <c r="M1424" s="717"/>
      <c r="N1424" s="720"/>
    </row>
    <row r="1425" spans="1:14" x14ac:dyDescent="0.25">
      <c r="A1425" t="s">
        <v>180</v>
      </c>
      <c r="B1425" s="11" t="s">
        <v>2059</v>
      </c>
      <c r="C1425" s="12"/>
      <c r="D1425" s="123">
        <v>610000004433</v>
      </c>
      <c r="E1425" s="123">
        <f>VLOOKUP(D1425,'[1]Task list &amp; Maintenace plan'!$B:$G,6,FALSE)</f>
        <v>100867</v>
      </c>
      <c r="F1425" s="124" t="s">
        <v>2069</v>
      </c>
      <c r="G1425" s="180" t="s">
        <v>2065</v>
      </c>
      <c r="H1425" s="180" t="s">
        <v>2073</v>
      </c>
      <c r="I1425" s="181">
        <v>30</v>
      </c>
      <c r="J1425" s="181">
        <v>1</v>
      </c>
      <c r="K1425" s="717"/>
      <c r="L1425" s="717"/>
      <c r="M1425" s="717"/>
      <c r="N1425" s="720"/>
    </row>
    <row r="1426" spans="1:14" x14ac:dyDescent="0.25">
      <c r="A1426" t="s">
        <v>180</v>
      </c>
      <c r="B1426" s="11" t="s">
        <v>2059</v>
      </c>
      <c r="C1426" s="12"/>
      <c r="D1426" s="123">
        <v>610000004433</v>
      </c>
      <c r="E1426" s="123">
        <f>VLOOKUP(D1426,'[1]Task list &amp; Maintenace plan'!$B:$G,6,FALSE)</f>
        <v>100867</v>
      </c>
      <c r="F1426" s="124" t="s">
        <v>2069</v>
      </c>
      <c r="G1426" s="180" t="s">
        <v>2065</v>
      </c>
      <c r="H1426" s="180" t="s">
        <v>2074</v>
      </c>
      <c r="I1426" s="181">
        <v>30</v>
      </c>
      <c r="J1426" s="181">
        <v>1</v>
      </c>
      <c r="K1426" s="717"/>
      <c r="L1426" s="717"/>
      <c r="M1426" s="717"/>
      <c r="N1426" s="720"/>
    </row>
    <row r="1427" spans="1:14" x14ac:dyDescent="0.25">
      <c r="A1427" t="s">
        <v>180</v>
      </c>
      <c r="B1427" s="11" t="s">
        <v>2059</v>
      </c>
      <c r="C1427" s="12"/>
      <c r="D1427" s="103">
        <v>610000004433</v>
      </c>
      <c r="E1427" s="103">
        <f>VLOOKUP(D1427,'[1]Task list &amp; Maintenace plan'!$B:$G,6,FALSE)</f>
        <v>100867</v>
      </c>
      <c r="F1427" s="85" t="s">
        <v>2069</v>
      </c>
      <c r="G1427" s="182" t="s">
        <v>2065</v>
      </c>
      <c r="H1427" s="182" t="s">
        <v>2075</v>
      </c>
      <c r="I1427" s="183">
        <v>30</v>
      </c>
      <c r="J1427" s="183">
        <v>1</v>
      </c>
      <c r="K1427" s="718"/>
      <c r="L1427" s="718"/>
      <c r="M1427" s="718"/>
      <c r="N1427" s="721"/>
    </row>
    <row r="1428" spans="1:14" x14ac:dyDescent="0.25">
      <c r="A1428" t="s">
        <v>180</v>
      </c>
      <c r="B1428" s="11" t="s">
        <v>2059</v>
      </c>
      <c r="C1428" s="12"/>
      <c r="D1428" s="100">
        <v>610000004434</v>
      </c>
      <c r="E1428" s="100">
        <f>VLOOKUP(D1428,'[1]Task list &amp; Maintenace plan'!$B:$G,6,FALSE)</f>
        <v>100868</v>
      </c>
      <c r="F1428" s="101" t="s">
        <v>2077</v>
      </c>
      <c r="G1428" s="178" t="s">
        <v>2061</v>
      </c>
      <c r="H1428" s="178" t="s">
        <v>2078</v>
      </c>
      <c r="I1428" s="179">
        <v>30</v>
      </c>
      <c r="J1428" s="179">
        <v>1</v>
      </c>
      <c r="K1428" s="716">
        <v>90</v>
      </c>
      <c r="L1428" s="716">
        <v>1</v>
      </c>
      <c r="M1428" s="716">
        <f>L1428*K1428</f>
        <v>90</v>
      </c>
      <c r="N1428" s="719" t="s">
        <v>20</v>
      </c>
    </row>
    <row r="1429" spans="1:14" x14ac:dyDescent="0.25">
      <c r="A1429" t="s">
        <v>180</v>
      </c>
      <c r="B1429" s="11" t="s">
        <v>2059</v>
      </c>
      <c r="C1429" s="12"/>
      <c r="D1429" s="123">
        <v>610000004434</v>
      </c>
      <c r="E1429" s="123">
        <f>VLOOKUP(D1429,'[1]Task list &amp; Maintenace plan'!$B:$G,6,FALSE)</f>
        <v>100868</v>
      </c>
      <c r="F1429" s="124" t="s">
        <v>2077</v>
      </c>
      <c r="G1429" s="180" t="s">
        <v>2061</v>
      </c>
      <c r="H1429" s="108" t="s">
        <v>2080</v>
      </c>
      <c r="I1429" s="181">
        <v>30</v>
      </c>
      <c r="J1429" s="181"/>
      <c r="K1429" s="717"/>
      <c r="L1429" s="717"/>
      <c r="M1429" s="717"/>
      <c r="N1429" s="720"/>
    </row>
    <row r="1430" spans="1:14" x14ac:dyDescent="0.25">
      <c r="A1430" t="s">
        <v>180</v>
      </c>
      <c r="B1430" s="11" t="s">
        <v>2059</v>
      </c>
      <c r="C1430" s="325"/>
      <c r="D1430" s="123">
        <v>610000004434</v>
      </c>
      <c r="E1430" s="123">
        <f>VLOOKUP(D1430,'[1]Task list &amp; Maintenace plan'!$B:$G,6,FALSE)</f>
        <v>100868</v>
      </c>
      <c r="F1430" s="124" t="s">
        <v>2077</v>
      </c>
      <c r="G1430" s="180" t="s">
        <v>2065</v>
      </c>
      <c r="H1430" s="180" t="s">
        <v>2081</v>
      </c>
      <c r="I1430" s="181">
        <v>30</v>
      </c>
      <c r="J1430" s="181">
        <v>1</v>
      </c>
      <c r="K1430" s="717"/>
      <c r="L1430" s="717"/>
      <c r="M1430" s="717"/>
      <c r="N1430" s="720"/>
    </row>
    <row r="1431" spans="1:14" x14ac:dyDescent="0.25">
      <c r="A1431" t="s">
        <v>180</v>
      </c>
      <c r="B1431" s="11" t="s">
        <v>2059</v>
      </c>
      <c r="C1431" s="325"/>
      <c r="D1431" s="103">
        <v>610000004434</v>
      </c>
      <c r="E1431" s="103">
        <f>VLOOKUP(D1431,'[1]Task list &amp; Maintenace plan'!$B:$G,6,FALSE)</f>
        <v>100868</v>
      </c>
      <c r="F1431" s="85" t="s">
        <v>2077</v>
      </c>
      <c r="G1431" s="182" t="s">
        <v>2065</v>
      </c>
      <c r="H1431" s="111" t="s">
        <v>2082</v>
      </c>
      <c r="I1431" s="183">
        <v>30</v>
      </c>
      <c r="J1431" s="183"/>
      <c r="K1431" s="718"/>
      <c r="L1431" s="718"/>
      <c r="M1431" s="718"/>
      <c r="N1431" s="721"/>
    </row>
    <row r="1432" spans="1:14" x14ac:dyDescent="0.25">
      <c r="A1432" t="s">
        <v>180</v>
      </c>
      <c r="B1432" s="11" t="s">
        <v>2059</v>
      </c>
      <c r="C1432" s="325"/>
      <c r="D1432" s="284"/>
      <c r="E1432" s="284" t="e">
        <f>VLOOKUP(D1432,'[1]Task list &amp; Maintenace plan'!$B:$G,6,FALSE)</f>
        <v>#N/A</v>
      </c>
      <c r="F1432" s="285" t="s">
        <v>2083</v>
      </c>
      <c r="G1432" s="76" t="s">
        <v>2061</v>
      </c>
      <c r="H1432" s="76" t="s">
        <v>2084</v>
      </c>
      <c r="I1432" s="285">
        <v>180</v>
      </c>
      <c r="J1432" s="285"/>
      <c r="K1432" s="285"/>
      <c r="L1432" s="285"/>
      <c r="M1432" s="285"/>
      <c r="N1432" s="286"/>
    </row>
    <row r="1433" spans="1:14" x14ac:dyDescent="0.25">
      <c r="A1433" t="s">
        <v>180</v>
      </c>
      <c r="B1433" s="11" t="s">
        <v>2059</v>
      </c>
      <c r="C1433" s="325"/>
      <c r="D1433" s="222"/>
      <c r="E1433" s="222" t="e">
        <f>VLOOKUP(D1433,'[1]Task list &amp; Maintenace plan'!$B:$G,6,FALSE)</f>
        <v>#N/A</v>
      </c>
      <c r="F1433" s="165" t="s">
        <v>2083</v>
      </c>
      <c r="G1433" s="223" t="s">
        <v>2065</v>
      </c>
      <c r="H1433" s="223" t="s">
        <v>2085</v>
      </c>
      <c r="I1433" s="165">
        <v>180</v>
      </c>
      <c r="J1433" s="165"/>
      <c r="K1433" s="165"/>
      <c r="L1433" s="165"/>
      <c r="M1433" s="165"/>
      <c r="N1433" s="166"/>
    </row>
    <row r="1434" spans="1:14" x14ac:dyDescent="0.25">
      <c r="A1434" t="s">
        <v>180</v>
      </c>
      <c r="B1434" s="11" t="s">
        <v>2059</v>
      </c>
      <c r="C1434" s="325"/>
      <c r="D1434" s="100">
        <v>342283</v>
      </c>
      <c r="E1434" s="100">
        <f>VLOOKUP(D1434,'[1]Task list &amp; Maintenace plan'!$B:$G,6,FALSE)</f>
        <v>468</v>
      </c>
      <c r="F1434" s="101" t="s">
        <v>2087</v>
      </c>
      <c r="G1434" s="178" t="s">
        <v>2063</v>
      </c>
      <c r="H1434" s="178" t="s">
        <v>2088</v>
      </c>
      <c r="I1434" s="179">
        <v>365</v>
      </c>
      <c r="J1434" s="179">
        <v>1</v>
      </c>
      <c r="K1434" s="716">
        <v>60</v>
      </c>
      <c r="L1434" s="716">
        <v>1</v>
      </c>
      <c r="M1434" s="716">
        <f>L1434*K1434</f>
        <v>60</v>
      </c>
      <c r="N1434" s="719" t="s">
        <v>117</v>
      </c>
    </row>
    <row r="1435" spans="1:14" x14ac:dyDescent="0.25">
      <c r="A1435" t="s">
        <v>180</v>
      </c>
      <c r="B1435" s="11" t="s">
        <v>2059</v>
      </c>
      <c r="C1435" s="325"/>
      <c r="D1435" s="104">
        <v>342283</v>
      </c>
      <c r="E1435" s="104">
        <f>VLOOKUP(D1435,'[1]Task list &amp; Maintenace plan'!$B:$G,6,FALSE)</f>
        <v>468</v>
      </c>
      <c r="F1435" s="105" t="s">
        <v>2087</v>
      </c>
      <c r="G1435" s="226" t="s">
        <v>2067</v>
      </c>
      <c r="H1435" s="226" t="s">
        <v>2088</v>
      </c>
      <c r="I1435" s="227">
        <v>365</v>
      </c>
      <c r="J1435" s="227">
        <v>1</v>
      </c>
      <c r="K1435" s="718"/>
      <c r="L1435" s="718"/>
      <c r="M1435" s="718"/>
      <c r="N1435" s="721"/>
    </row>
    <row r="1436" spans="1:14" x14ac:dyDescent="0.25">
      <c r="A1436" t="s">
        <v>180</v>
      </c>
      <c r="B1436" s="11" t="s">
        <v>2059</v>
      </c>
      <c r="C1436" s="325"/>
      <c r="D1436" s="117">
        <v>351909</v>
      </c>
      <c r="E1436" s="117">
        <f>VLOOKUP(D1436,'[1]Task list &amp; Maintenace plan'!$B:$G,6,FALSE)</f>
        <v>1429</v>
      </c>
      <c r="F1436" s="118" t="s">
        <v>2089</v>
      </c>
      <c r="G1436" s="220" t="s">
        <v>2061</v>
      </c>
      <c r="H1436" s="220" t="s">
        <v>2090</v>
      </c>
      <c r="I1436" s="221">
        <v>365</v>
      </c>
      <c r="J1436" s="221">
        <v>1</v>
      </c>
      <c r="K1436" s="716">
        <v>240</v>
      </c>
      <c r="L1436" s="716">
        <v>1</v>
      </c>
      <c r="M1436" s="716">
        <f>L1436*K1436</f>
        <v>240</v>
      </c>
      <c r="N1436" s="719" t="s">
        <v>452</v>
      </c>
    </row>
    <row r="1437" spans="1:14" x14ac:dyDescent="0.25">
      <c r="A1437" t="s">
        <v>180</v>
      </c>
      <c r="B1437" s="11" t="s">
        <v>2059</v>
      </c>
      <c r="C1437" s="325"/>
      <c r="D1437" s="103">
        <v>351909</v>
      </c>
      <c r="E1437" s="103">
        <f>VLOOKUP(D1437,'[1]Task list &amp; Maintenace plan'!$B:$G,6,FALSE)</f>
        <v>1429</v>
      </c>
      <c r="F1437" s="85" t="s">
        <v>2089</v>
      </c>
      <c r="G1437" s="182" t="s">
        <v>2065</v>
      </c>
      <c r="H1437" s="220" t="s">
        <v>2090</v>
      </c>
      <c r="I1437" s="183">
        <v>365</v>
      </c>
      <c r="J1437" s="183">
        <v>1</v>
      </c>
      <c r="K1437" s="718"/>
      <c r="L1437" s="718"/>
      <c r="M1437" s="718"/>
      <c r="N1437" s="721"/>
    </row>
    <row r="1438" spans="1:14" x14ac:dyDescent="0.25">
      <c r="A1438" t="s">
        <v>180</v>
      </c>
      <c r="B1438" s="11" t="s">
        <v>2059</v>
      </c>
      <c r="C1438" s="12"/>
      <c r="D1438" s="6">
        <v>342396</v>
      </c>
      <c r="E1438" s="6">
        <f>VLOOKUP(D1438,'[1]Task list &amp; Maintenace plan'!$B:$G,6,FALSE)</f>
        <v>513</v>
      </c>
      <c r="F1438" s="7" t="s">
        <v>2091</v>
      </c>
      <c r="G1438" s="8" t="s">
        <v>2086</v>
      </c>
      <c r="H1438" s="8" t="s">
        <v>2092</v>
      </c>
      <c r="I1438" s="7" t="s">
        <v>2093</v>
      </c>
      <c r="J1438" s="7"/>
      <c r="K1438" s="7">
        <v>15</v>
      </c>
      <c r="L1438" s="7">
        <v>1</v>
      </c>
      <c r="M1438" s="7">
        <f>L1438*K1438</f>
        <v>15</v>
      </c>
      <c r="N1438" s="10" t="s">
        <v>20</v>
      </c>
    </row>
    <row r="1439" spans="1:14" x14ac:dyDescent="0.25">
      <c r="A1439" t="s">
        <v>180</v>
      </c>
      <c r="B1439" s="50" t="s">
        <v>2094</v>
      </c>
      <c r="C1439" s="51"/>
      <c r="D1439" s="326">
        <v>610000004575</v>
      </c>
      <c r="E1439" s="326">
        <f>VLOOKUP(D1439,'[1]Task list &amp; Maintenace plan'!$B:$G,6,FALSE)</f>
        <v>101009</v>
      </c>
      <c r="F1439" s="327" t="s">
        <v>2096</v>
      </c>
      <c r="G1439" s="328" t="s">
        <v>2095</v>
      </c>
      <c r="H1439" s="328" t="s">
        <v>2097</v>
      </c>
      <c r="I1439" s="327">
        <v>15</v>
      </c>
      <c r="J1439" s="327"/>
      <c r="K1439" s="327"/>
      <c r="L1439" s="327"/>
      <c r="M1439" s="327"/>
    </row>
    <row r="1440" spans="1:14" x14ac:dyDescent="0.25">
      <c r="A1440" t="s">
        <v>180</v>
      </c>
      <c r="B1440" s="50" t="s">
        <v>2094</v>
      </c>
      <c r="C1440" s="51"/>
      <c r="D1440" s="326">
        <v>610000004575</v>
      </c>
      <c r="E1440" s="326">
        <f>VLOOKUP(D1440,'[1]Task list &amp; Maintenace plan'!$B:$G,6,FALSE)</f>
        <v>101009</v>
      </c>
      <c r="F1440" s="327" t="s">
        <v>2096</v>
      </c>
      <c r="G1440" s="328" t="s">
        <v>2095</v>
      </c>
      <c r="H1440" s="328" t="s">
        <v>2099</v>
      </c>
      <c r="I1440" s="327">
        <v>15</v>
      </c>
      <c r="J1440" s="327"/>
      <c r="K1440" s="327"/>
      <c r="L1440" s="327"/>
      <c r="M1440" s="327"/>
    </row>
    <row r="1441" spans="1:13" x14ac:dyDescent="0.25">
      <c r="A1441" t="s">
        <v>180</v>
      </c>
      <c r="B1441" s="50" t="s">
        <v>2094</v>
      </c>
      <c r="C1441" s="51"/>
      <c r="D1441" s="326">
        <v>610000004575</v>
      </c>
      <c r="E1441" s="326">
        <f>VLOOKUP(D1441,'[1]Task list &amp; Maintenace plan'!$B:$G,6,FALSE)</f>
        <v>101009</v>
      </c>
      <c r="F1441" s="327" t="s">
        <v>2096</v>
      </c>
      <c r="G1441" s="328" t="s">
        <v>2098</v>
      </c>
      <c r="H1441" s="328" t="s">
        <v>2101</v>
      </c>
      <c r="I1441" s="327">
        <v>15</v>
      </c>
      <c r="J1441" s="327"/>
      <c r="K1441" s="327"/>
      <c r="L1441" s="327"/>
      <c r="M1441" s="327"/>
    </row>
    <row r="1442" spans="1:13" x14ac:dyDescent="0.25">
      <c r="A1442" t="s">
        <v>180</v>
      </c>
      <c r="B1442" s="50" t="s">
        <v>2094</v>
      </c>
      <c r="C1442" s="51"/>
      <c r="D1442" s="326">
        <v>610000004575</v>
      </c>
      <c r="E1442" s="326">
        <f>VLOOKUP(D1442,'[1]Task list &amp; Maintenace plan'!$B:$G,6,FALSE)</f>
        <v>101009</v>
      </c>
      <c r="F1442" s="327" t="s">
        <v>2096</v>
      </c>
      <c r="G1442" s="328" t="s">
        <v>2100</v>
      </c>
      <c r="H1442" s="328" t="s">
        <v>2103</v>
      </c>
      <c r="I1442" s="327">
        <v>15</v>
      </c>
      <c r="J1442" s="327"/>
      <c r="K1442" s="327"/>
      <c r="L1442" s="327"/>
      <c r="M1442" s="327"/>
    </row>
    <row r="1443" spans="1:13" x14ac:dyDescent="0.25">
      <c r="A1443" t="s">
        <v>180</v>
      </c>
      <c r="B1443" s="50" t="s">
        <v>2094</v>
      </c>
      <c r="C1443" s="51"/>
      <c r="D1443" s="329">
        <v>610000004575</v>
      </c>
      <c r="E1443" s="329">
        <f>VLOOKUP(D1443,'[1]Task list &amp; Maintenace plan'!$B:$G,6,FALSE)</f>
        <v>101009</v>
      </c>
      <c r="F1443" s="330" t="s">
        <v>2096</v>
      </c>
      <c r="G1443" s="331" t="s">
        <v>2104</v>
      </c>
      <c r="H1443" s="332" t="s">
        <v>2105</v>
      </c>
      <c r="I1443" s="333">
        <v>15</v>
      </c>
      <c r="J1443" s="333"/>
      <c r="K1443" s="333"/>
      <c r="L1443" s="333"/>
      <c r="M1443" s="333"/>
    </row>
    <row r="1444" spans="1:13" x14ac:dyDescent="0.25">
      <c r="A1444" t="s">
        <v>180</v>
      </c>
      <c r="B1444" s="50" t="s">
        <v>2094</v>
      </c>
      <c r="C1444" s="51"/>
      <c r="D1444" s="334">
        <v>610000004576</v>
      </c>
      <c r="E1444" s="334">
        <f>VLOOKUP(D1444,'[1]Task list &amp; Maintenace plan'!$B:$G,6,FALSE)</f>
        <v>101010</v>
      </c>
      <c r="F1444" s="335" t="s">
        <v>2106</v>
      </c>
      <c r="G1444" s="336" t="s">
        <v>2095</v>
      </c>
      <c r="H1444" s="336" t="s">
        <v>2107</v>
      </c>
      <c r="I1444" s="335">
        <v>30</v>
      </c>
      <c r="J1444" s="335"/>
      <c r="K1444" s="335"/>
      <c r="L1444" s="335"/>
      <c r="M1444" s="335"/>
    </row>
    <row r="1445" spans="1:13" x14ac:dyDescent="0.25">
      <c r="A1445" t="s">
        <v>180</v>
      </c>
      <c r="B1445" s="50" t="s">
        <v>2094</v>
      </c>
      <c r="C1445" s="51"/>
      <c r="D1445" s="326">
        <v>610000004576</v>
      </c>
      <c r="E1445" s="326">
        <f>VLOOKUP(D1445,'[1]Task list &amp; Maintenace plan'!$B:$G,6,FALSE)</f>
        <v>101010</v>
      </c>
      <c r="F1445" s="327" t="s">
        <v>2106</v>
      </c>
      <c r="G1445" s="328" t="s">
        <v>2095</v>
      </c>
      <c r="H1445" s="328" t="s">
        <v>2109</v>
      </c>
      <c r="I1445" s="327">
        <v>30</v>
      </c>
      <c r="J1445" s="327"/>
      <c r="K1445" s="327"/>
      <c r="L1445" s="327"/>
      <c r="M1445" s="327"/>
    </row>
    <row r="1446" spans="1:13" x14ac:dyDescent="0.25">
      <c r="A1446" t="s">
        <v>180</v>
      </c>
      <c r="B1446" s="50" t="s">
        <v>2094</v>
      </c>
      <c r="C1446" s="51"/>
      <c r="D1446" s="326">
        <v>610000004576</v>
      </c>
      <c r="E1446" s="326">
        <f>VLOOKUP(D1446,'[1]Task list &amp; Maintenace plan'!$B:$G,6,FALSE)</f>
        <v>101010</v>
      </c>
      <c r="F1446" s="327" t="s">
        <v>2106</v>
      </c>
      <c r="G1446" s="328" t="s">
        <v>2098</v>
      </c>
      <c r="H1446" s="328" t="s">
        <v>2110</v>
      </c>
      <c r="I1446" s="327">
        <v>30</v>
      </c>
      <c r="J1446" s="327"/>
      <c r="K1446" s="327"/>
      <c r="L1446" s="327"/>
      <c r="M1446" s="327"/>
    </row>
    <row r="1447" spans="1:13" x14ac:dyDescent="0.25">
      <c r="A1447" t="s">
        <v>180</v>
      </c>
      <c r="B1447" s="50" t="s">
        <v>2094</v>
      </c>
      <c r="C1447" s="51"/>
      <c r="D1447" s="326">
        <v>610000004576</v>
      </c>
      <c r="E1447" s="326">
        <f>VLOOKUP(D1447,'[1]Task list &amp; Maintenace plan'!$B:$G,6,FALSE)</f>
        <v>101010</v>
      </c>
      <c r="F1447" s="327" t="s">
        <v>2106</v>
      </c>
      <c r="G1447" s="328" t="s">
        <v>2100</v>
      </c>
      <c r="H1447" s="328" t="s">
        <v>2111</v>
      </c>
      <c r="I1447" s="327">
        <v>30</v>
      </c>
      <c r="J1447" s="327"/>
      <c r="K1447" s="327"/>
      <c r="L1447" s="327"/>
      <c r="M1447" s="327"/>
    </row>
    <row r="1448" spans="1:13" x14ac:dyDescent="0.25">
      <c r="A1448" t="s">
        <v>180</v>
      </c>
      <c r="B1448" s="50" t="s">
        <v>2094</v>
      </c>
      <c r="C1448" s="51"/>
      <c r="D1448" s="337">
        <v>610000004576</v>
      </c>
      <c r="E1448" s="337">
        <f>VLOOKUP(D1448,'[1]Task list &amp; Maintenace plan'!$B:$G,6,FALSE)</f>
        <v>101010</v>
      </c>
      <c r="F1448" s="338" t="s">
        <v>2106</v>
      </c>
      <c r="G1448" s="339" t="s">
        <v>2104</v>
      </c>
      <c r="H1448" s="339" t="s">
        <v>2112</v>
      </c>
      <c r="I1448" s="338">
        <v>30</v>
      </c>
      <c r="J1448" s="338"/>
      <c r="K1448" s="338"/>
      <c r="L1448" s="338"/>
      <c r="M1448" s="338"/>
    </row>
    <row r="1449" spans="1:13" x14ac:dyDescent="0.25">
      <c r="A1449" t="s">
        <v>180</v>
      </c>
      <c r="B1449" s="50" t="s">
        <v>2094</v>
      </c>
      <c r="C1449" s="51"/>
      <c r="D1449" s="340">
        <v>610000004577</v>
      </c>
      <c r="E1449" s="340">
        <f>VLOOKUP(D1449,'[1]Task list &amp; Maintenace plan'!$B:$G,6,FALSE)</f>
        <v>101011</v>
      </c>
      <c r="F1449" s="341" t="s">
        <v>2113</v>
      </c>
      <c r="G1449" s="342" t="s">
        <v>2095</v>
      </c>
      <c r="H1449" s="342" t="s">
        <v>2114</v>
      </c>
      <c r="I1449" s="341">
        <v>60</v>
      </c>
      <c r="J1449" s="341">
        <v>1</v>
      </c>
      <c r="K1449" s="341"/>
      <c r="L1449" s="341"/>
      <c r="M1449" s="341"/>
    </row>
    <row r="1450" spans="1:13" x14ac:dyDescent="0.25">
      <c r="A1450" t="s">
        <v>180</v>
      </c>
      <c r="B1450" s="50" t="s">
        <v>2094</v>
      </c>
      <c r="C1450" s="51"/>
      <c r="D1450" s="340">
        <v>610000004577</v>
      </c>
      <c r="E1450" s="340">
        <f>VLOOKUP(D1450,'[1]Task list &amp; Maintenace plan'!$B:$G,6,FALSE)</f>
        <v>101011</v>
      </c>
      <c r="F1450" s="341" t="s">
        <v>2113</v>
      </c>
      <c r="G1450" s="328" t="s">
        <v>2095</v>
      </c>
      <c r="H1450" s="328" t="s">
        <v>2115</v>
      </c>
      <c r="I1450" s="327">
        <v>60</v>
      </c>
      <c r="J1450" s="327">
        <v>1</v>
      </c>
      <c r="K1450" s="327"/>
      <c r="L1450" s="327"/>
      <c r="M1450" s="327"/>
    </row>
    <row r="1451" spans="1:13" x14ac:dyDescent="0.25">
      <c r="A1451" t="s">
        <v>180</v>
      </c>
      <c r="B1451" s="50" t="s">
        <v>2094</v>
      </c>
      <c r="C1451" s="51"/>
      <c r="D1451" s="340">
        <v>610000004577</v>
      </c>
      <c r="E1451" s="340">
        <f>VLOOKUP(D1451,'[1]Task list &amp; Maintenace plan'!$B:$G,6,FALSE)</f>
        <v>101011</v>
      </c>
      <c r="F1451" s="341" t="s">
        <v>2113</v>
      </c>
      <c r="G1451" s="328" t="s">
        <v>2098</v>
      </c>
      <c r="H1451" s="328" t="s">
        <v>2116</v>
      </c>
      <c r="I1451" s="327">
        <v>60</v>
      </c>
      <c r="J1451" s="327">
        <v>1</v>
      </c>
      <c r="K1451" s="327"/>
      <c r="L1451" s="327"/>
      <c r="M1451" s="327"/>
    </row>
    <row r="1452" spans="1:13" x14ac:dyDescent="0.25">
      <c r="A1452" t="s">
        <v>180</v>
      </c>
      <c r="B1452" s="50" t="s">
        <v>2094</v>
      </c>
      <c r="C1452" s="51"/>
      <c r="D1452" s="340">
        <v>610000004577</v>
      </c>
      <c r="E1452" s="340">
        <f>VLOOKUP(D1452,'[1]Task list &amp; Maintenace plan'!$B:$G,6,FALSE)</f>
        <v>101011</v>
      </c>
      <c r="F1452" s="341" t="s">
        <v>2113</v>
      </c>
      <c r="G1452" s="328" t="s">
        <v>2100</v>
      </c>
      <c r="H1452" s="328" t="s">
        <v>2117</v>
      </c>
      <c r="I1452" s="327">
        <v>60</v>
      </c>
      <c r="J1452" s="327">
        <v>1</v>
      </c>
      <c r="K1452" s="327"/>
      <c r="L1452" s="327"/>
      <c r="M1452" s="327"/>
    </row>
    <row r="1453" spans="1:13" x14ac:dyDescent="0.25">
      <c r="A1453" t="s">
        <v>180</v>
      </c>
      <c r="B1453" s="50" t="s">
        <v>2094</v>
      </c>
      <c r="C1453" s="51"/>
      <c r="D1453" s="337">
        <v>610000004577</v>
      </c>
      <c r="E1453" s="337">
        <f>VLOOKUP(D1453,'[1]Task list &amp; Maintenace plan'!$B:$G,6,FALSE)</f>
        <v>101011</v>
      </c>
      <c r="F1453" s="338" t="s">
        <v>2113</v>
      </c>
      <c r="G1453" s="339" t="s">
        <v>2104</v>
      </c>
      <c r="H1453" s="339" t="s">
        <v>2118</v>
      </c>
      <c r="I1453" s="338">
        <v>60</v>
      </c>
      <c r="J1453" s="338">
        <v>1</v>
      </c>
      <c r="K1453" s="338"/>
      <c r="L1453" s="338"/>
      <c r="M1453" s="338"/>
    </row>
    <row r="1454" spans="1:13" x14ac:dyDescent="0.25">
      <c r="A1454" t="s">
        <v>180</v>
      </c>
      <c r="B1454" s="50" t="s">
        <v>2094</v>
      </c>
      <c r="C1454" s="51"/>
      <c r="D1454" s="340">
        <v>610000004578</v>
      </c>
      <c r="E1454" s="340">
        <f>VLOOKUP(D1454,'[1]Task list &amp; Maintenace plan'!$B:$G,6,FALSE)</f>
        <v>101012</v>
      </c>
      <c r="F1454" s="341" t="s">
        <v>2119</v>
      </c>
      <c r="G1454" s="342" t="s">
        <v>2095</v>
      </c>
      <c r="H1454" s="342" t="s">
        <v>2120</v>
      </c>
      <c r="I1454" s="341">
        <v>90</v>
      </c>
      <c r="J1454" s="341"/>
      <c r="K1454" s="341"/>
      <c r="L1454" s="341"/>
      <c r="M1454" s="341"/>
    </row>
    <row r="1455" spans="1:13" x14ac:dyDescent="0.25">
      <c r="A1455" t="s">
        <v>180</v>
      </c>
      <c r="B1455" s="50" t="s">
        <v>2094</v>
      </c>
      <c r="C1455" s="51"/>
      <c r="D1455" s="340">
        <v>610000004578</v>
      </c>
      <c r="E1455" s="340">
        <f>VLOOKUP(D1455,'[1]Task list &amp; Maintenace plan'!$B:$G,6,FALSE)</f>
        <v>101012</v>
      </c>
      <c r="F1455" s="341" t="s">
        <v>2119</v>
      </c>
      <c r="G1455" s="328" t="s">
        <v>2095</v>
      </c>
      <c r="H1455" s="328" t="s">
        <v>2121</v>
      </c>
      <c r="I1455" s="327">
        <v>90</v>
      </c>
      <c r="J1455" s="327"/>
      <c r="K1455" s="327"/>
      <c r="L1455" s="327"/>
      <c r="M1455" s="327"/>
    </row>
    <row r="1456" spans="1:13" x14ac:dyDescent="0.25">
      <c r="A1456" t="s">
        <v>180</v>
      </c>
      <c r="B1456" s="50" t="s">
        <v>2094</v>
      </c>
      <c r="C1456" s="51"/>
      <c r="D1456" s="340">
        <v>610000004578</v>
      </c>
      <c r="E1456" s="340">
        <f>VLOOKUP(D1456,'[1]Task list &amp; Maintenace plan'!$B:$G,6,FALSE)</f>
        <v>101012</v>
      </c>
      <c r="F1456" s="341" t="s">
        <v>2119</v>
      </c>
      <c r="G1456" s="328" t="s">
        <v>2098</v>
      </c>
      <c r="H1456" s="328" t="s">
        <v>2122</v>
      </c>
      <c r="I1456" s="327">
        <v>90</v>
      </c>
      <c r="J1456" s="327"/>
      <c r="K1456" s="327"/>
      <c r="L1456" s="327"/>
      <c r="M1456" s="327"/>
    </row>
    <row r="1457" spans="1:13" x14ac:dyDescent="0.25">
      <c r="A1457" t="s">
        <v>180</v>
      </c>
      <c r="B1457" s="50" t="s">
        <v>2094</v>
      </c>
      <c r="C1457" s="51"/>
      <c r="D1457" s="340">
        <v>610000004578</v>
      </c>
      <c r="E1457" s="329">
        <f>VLOOKUP(D1457,'[1]Task list &amp; Maintenace plan'!$B:$G,6,FALSE)</f>
        <v>101012</v>
      </c>
      <c r="F1457" s="330" t="s">
        <v>2119</v>
      </c>
      <c r="G1457" s="332" t="s">
        <v>2100</v>
      </c>
      <c r="H1457" s="332" t="s">
        <v>2123</v>
      </c>
      <c r="I1457" s="333">
        <v>90</v>
      </c>
      <c r="J1457" s="333"/>
      <c r="K1457" s="333"/>
      <c r="L1457" s="333"/>
      <c r="M1457" s="333"/>
    </row>
    <row r="1458" spans="1:13" x14ac:dyDescent="0.25">
      <c r="A1458" t="s">
        <v>180</v>
      </c>
      <c r="B1458" s="50" t="s">
        <v>2094</v>
      </c>
      <c r="C1458" s="51"/>
      <c r="D1458" s="337">
        <v>610000004578</v>
      </c>
      <c r="E1458" s="337">
        <f>VLOOKUP(D1458,'[1]Task list &amp; Maintenace plan'!$B:$G,6,FALSE)</f>
        <v>101012</v>
      </c>
      <c r="F1458" s="338" t="s">
        <v>2119</v>
      </c>
      <c r="G1458" s="339" t="s">
        <v>2104</v>
      </c>
      <c r="H1458" s="339" t="s">
        <v>2124</v>
      </c>
      <c r="I1458" s="338">
        <v>90</v>
      </c>
      <c r="J1458" s="338"/>
      <c r="K1458" s="338"/>
      <c r="L1458" s="338"/>
      <c r="M1458" s="338"/>
    </row>
    <row r="1459" spans="1:13" x14ac:dyDescent="0.25">
      <c r="A1459" t="s">
        <v>180</v>
      </c>
      <c r="B1459" s="50" t="s">
        <v>2094</v>
      </c>
      <c r="C1459" s="51"/>
      <c r="D1459" s="343">
        <v>342103</v>
      </c>
      <c r="E1459" s="343">
        <f>VLOOKUP(D1459,'[1]Task list &amp; Maintenace plan'!$B:$G,6,FALSE)</f>
        <v>433</v>
      </c>
      <c r="F1459" s="344" t="s">
        <v>2125</v>
      </c>
      <c r="G1459" s="345" t="s">
        <v>2098</v>
      </c>
      <c r="H1459" s="345" t="s">
        <v>1756</v>
      </c>
      <c r="I1459" s="344">
        <v>90</v>
      </c>
      <c r="J1459" s="344"/>
      <c r="K1459" s="344"/>
      <c r="L1459" s="344"/>
      <c r="M1459" s="344"/>
    </row>
    <row r="1460" spans="1:13" x14ac:dyDescent="0.25">
      <c r="A1460" t="s">
        <v>180</v>
      </c>
      <c r="B1460" s="50" t="s">
        <v>2094</v>
      </c>
      <c r="C1460" s="51"/>
      <c r="D1460" s="346">
        <v>342103</v>
      </c>
      <c r="E1460" s="346">
        <f>VLOOKUP(D1460,'[1]Task list &amp; Maintenace plan'!$B:$G,6,FALSE)</f>
        <v>433</v>
      </c>
      <c r="F1460" s="347" t="s">
        <v>2125</v>
      </c>
      <c r="G1460" s="348" t="s">
        <v>2108</v>
      </c>
      <c r="H1460" s="348" t="s">
        <v>2126</v>
      </c>
      <c r="I1460" s="347">
        <v>90</v>
      </c>
      <c r="J1460" s="347"/>
      <c r="K1460" s="347"/>
      <c r="L1460" s="347"/>
      <c r="M1460" s="347"/>
    </row>
    <row r="1461" spans="1:13" x14ac:dyDescent="0.25">
      <c r="A1461" t="s">
        <v>180</v>
      </c>
      <c r="B1461" s="50" t="s">
        <v>2094</v>
      </c>
      <c r="C1461" s="51"/>
      <c r="D1461" s="349">
        <v>342103</v>
      </c>
      <c r="E1461" s="349">
        <f>VLOOKUP(D1461,'[1]Task list &amp; Maintenace plan'!$B:$G,6,FALSE)</f>
        <v>433</v>
      </c>
      <c r="F1461" s="350" t="s">
        <v>2125</v>
      </c>
      <c r="G1461" s="351" t="s">
        <v>2102</v>
      </c>
      <c r="H1461" s="351" t="s">
        <v>551</v>
      </c>
      <c r="I1461" s="350">
        <v>90</v>
      </c>
      <c r="J1461" s="350"/>
      <c r="K1461" s="350"/>
      <c r="L1461" s="350"/>
      <c r="M1461" s="350"/>
    </row>
    <row r="1462" spans="1:13" x14ac:dyDescent="0.25">
      <c r="A1462" t="s">
        <v>180</v>
      </c>
      <c r="B1462" s="50" t="s">
        <v>2094</v>
      </c>
      <c r="C1462" s="51"/>
      <c r="D1462" s="352">
        <v>352899</v>
      </c>
      <c r="E1462" s="352">
        <f>VLOOKUP(D1462,'[1]Task list &amp; Maintenace plan'!$B:$G,6,FALSE)</f>
        <v>1456</v>
      </c>
      <c r="F1462" s="353" t="s">
        <v>2127</v>
      </c>
      <c r="G1462" s="61" t="s">
        <v>2102</v>
      </c>
      <c r="H1462" s="61" t="s">
        <v>2128</v>
      </c>
      <c r="I1462" s="353">
        <v>180</v>
      </c>
      <c r="J1462" s="353">
        <v>1</v>
      </c>
      <c r="K1462" s="353"/>
      <c r="L1462" s="353"/>
      <c r="M1462" s="353"/>
    </row>
    <row r="1463" spans="1:13" x14ac:dyDescent="0.25">
      <c r="A1463" t="s">
        <v>180</v>
      </c>
      <c r="B1463" s="50" t="s">
        <v>2094</v>
      </c>
      <c r="C1463" s="51"/>
      <c r="D1463" s="354">
        <v>357639</v>
      </c>
      <c r="E1463" s="354">
        <f>VLOOKUP(D1463,'[1]Task list &amp; Maintenace plan'!$B:$G,6,FALSE)</f>
        <v>2053</v>
      </c>
      <c r="F1463" s="355" t="s">
        <v>2129</v>
      </c>
      <c r="G1463" s="356" t="s">
        <v>2130</v>
      </c>
      <c r="H1463" s="356" t="s">
        <v>120</v>
      </c>
      <c r="I1463" s="355">
        <v>180</v>
      </c>
      <c r="J1463" s="355">
        <v>1</v>
      </c>
      <c r="K1463" s="355"/>
      <c r="L1463" s="355"/>
      <c r="M1463" s="355"/>
    </row>
    <row r="1464" spans="1:13" ht="15.75" thickBot="1" x14ac:dyDescent="0.3">
      <c r="A1464" t="s">
        <v>180</v>
      </c>
      <c r="B1464" s="50" t="s">
        <v>2094</v>
      </c>
      <c r="C1464" s="214"/>
      <c r="D1464" s="357">
        <v>357731</v>
      </c>
      <c r="E1464" s="357">
        <f>VLOOKUP(D1464,'[1]Task list &amp; Maintenace plan'!$B:$G,6,FALSE)</f>
        <v>2085</v>
      </c>
      <c r="F1464" s="358" t="s">
        <v>2131</v>
      </c>
      <c r="G1464" s="359" t="s">
        <v>2102</v>
      </c>
      <c r="H1464" s="359" t="s">
        <v>2132</v>
      </c>
      <c r="I1464" s="358">
        <v>365</v>
      </c>
      <c r="J1464" s="358">
        <v>1</v>
      </c>
      <c r="K1464" s="358"/>
      <c r="L1464" s="358"/>
      <c r="M1464" s="358"/>
    </row>
    <row r="1465" spans="1:13" x14ac:dyDescent="0.25">
      <c r="A1465" t="s">
        <v>180</v>
      </c>
      <c r="B1465" s="50" t="s">
        <v>2133</v>
      </c>
      <c r="C1465" s="51"/>
      <c r="D1465" s="340">
        <v>610000004579</v>
      </c>
      <c r="E1465" s="340">
        <f>VLOOKUP(D1465,'[1]Task list &amp; Maintenace plan'!$B:$G,6,FALSE)</f>
        <v>101013</v>
      </c>
      <c r="F1465" s="341" t="s">
        <v>2135</v>
      </c>
      <c r="G1465" s="342" t="s">
        <v>2134</v>
      </c>
      <c r="H1465" s="342" t="s">
        <v>2136</v>
      </c>
      <c r="I1465" s="341">
        <v>15</v>
      </c>
      <c r="J1465" s="341"/>
      <c r="K1465" s="341"/>
      <c r="L1465" s="341"/>
      <c r="M1465" s="341"/>
    </row>
    <row r="1466" spans="1:13" x14ac:dyDescent="0.25">
      <c r="A1466" t="s">
        <v>180</v>
      </c>
      <c r="B1466" s="50" t="s">
        <v>2133</v>
      </c>
      <c r="C1466" s="51"/>
      <c r="D1466" s="326">
        <v>610000004579</v>
      </c>
      <c r="E1466" s="326">
        <f>VLOOKUP(D1466,'[1]Task list &amp; Maintenace plan'!$B:$G,6,FALSE)</f>
        <v>101013</v>
      </c>
      <c r="F1466" s="327" t="s">
        <v>2135</v>
      </c>
      <c r="G1466" s="328" t="s">
        <v>2137</v>
      </c>
      <c r="H1466" s="328" t="s">
        <v>2138</v>
      </c>
      <c r="I1466" s="327">
        <v>15</v>
      </c>
      <c r="J1466" s="327"/>
      <c r="K1466" s="327"/>
      <c r="L1466" s="327"/>
      <c r="M1466" s="327"/>
    </row>
    <row r="1467" spans="1:13" x14ac:dyDescent="0.25">
      <c r="A1467" t="s">
        <v>180</v>
      </c>
      <c r="B1467" s="50" t="s">
        <v>2133</v>
      </c>
      <c r="C1467" s="51"/>
      <c r="D1467" s="326">
        <v>610000004579</v>
      </c>
      <c r="E1467" s="326">
        <f>VLOOKUP(D1467,'[1]Task list &amp; Maintenace plan'!$B:$G,6,FALSE)</f>
        <v>101013</v>
      </c>
      <c r="F1467" s="327" t="s">
        <v>2135</v>
      </c>
      <c r="G1467" s="328" t="s">
        <v>562</v>
      </c>
      <c r="H1467" s="328" t="s">
        <v>2139</v>
      </c>
      <c r="I1467" s="327">
        <v>15</v>
      </c>
      <c r="J1467" s="327"/>
      <c r="K1467" s="327"/>
      <c r="L1467" s="327"/>
      <c r="M1467" s="327"/>
    </row>
    <row r="1468" spans="1:13" x14ac:dyDescent="0.25">
      <c r="A1468" t="s">
        <v>180</v>
      </c>
      <c r="B1468" s="50" t="s">
        <v>2133</v>
      </c>
      <c r="C1468" s="51"/>
      <c r="D1468" s="337">
        <v>610000004579</v>
      </c>
      <c r="E1468" s="337">
        <f>VLOOKUP(D1468,'[1]Task list &amp; Maintenace plan'!$B:$G,6,FALSE)</f>
        <v>101013</v>
      </c>
      <c r="F1468" s="338" t="s">
        <v>2135</v>
      </c>
      <c r="G1468" s="339" t="s">
        <v>2140</v>
      </c>
      <c r="H1468" s="339" t="s">
        <v>2141</v>
      </c>
      <c r="I1468" s="338">
        <v>15</v>
      </c>
      <c r="J1468" s="338"/>
      <c r="K1468" s="338"/>
      <c r="L1468" s="338"/>
      <c r="M1468" s="338"/>
    </row>
    <row r="1469" spans="1:13" x14ac:dyDescent="0.25">
      <c r="A1469" t="s">
        <v>180</v>
      </c>
      <c r="B1469" s="50" t="s">
        <v>2133</v>
      </c>
      <c r="C1469" s="51"/>
      <c r="D1469" s="340">
        <v>610000004580</v>
      </c>
      <c r="E1469" s="340">
        <f>VLOOKUP(D1469,'[1]Task list &amp; Maintenace plan'!$B:$G,6,FALSE)</f>
        <v>101014</v>
      </c>
      <c r="F1469" s="341" t="s">
        <v>2142</v>
      </c>
      <c r="G1469" s="342" t="s">
        <v>2134</v>
      </c>
      <c r="H1469" s="342" t="s">
        <v>2143</v>
      </c>
      <c r="I1469" s="341">
        <v>30</v>
      </c>
      <c r="J1469" s="341"/>
      <c r="K1469" s="341"/>
      <c r="L1469" s="341"/>
      <c r="M1469" s="341"/>
    </row>
    <row r="1470" spans="1:13" x14ac:dyDescent="0.25">
      <c r="A1470" t="s">
        <v>180</v>
      </c>
      <c r="B1470" s="50" t="s">
        <v>2133</v>
      </c>
      <c r="C1470" s="51"/>
      <c r="D1470" s="326">
        <v>610000004580</v>
      </c>
      <c r="E1470" s="326">
        <f>VLOOKUP(D1470,'[1]Task list &amp; Maintenace plan'!$B:$G,6,FALSE)</f>
        <v>101014</v>
      </c>
      <c r="F1470" s="327" t="s">
        <v>2142</v>
      </c>
      <c r="G1470" s="328" t="s">
        <v>2137</v>
      </c>
      <c r="H1470" s="328" t="s">
        <v>2144</v>
      </c>
      <c r="I1470" s="327">
        <v>30</v>
      </c>
      <c r="J1470" s="327"/>
      <c r="K1470" s="327"/>
      <c r="L1470" s="327"/>
      <c r="M1470" s="327"/>
    </row>
    <row r="1471" spans="1:13" x14ac:dyDescent="0.25">
      <c r="A1471" t="s">
        <v>180</v>
      </c>
      <c r="B1471" s="50" t="s">
        <v>2133</v>
      </c>
      <c r="C1471" s="51"/>
      <c r="D1471" s="326">
        <v>610000004580</v>
      </c>
      <c r="E1471" s="326">
        <f>VLOOKUP(D1471,'[1]Task list &amp; Maintenace plan'!$B:$G,6,FALSE)</f>
        <v>101014</v>
      </c>
      <c r="F1471" s="327" t="s">
        <v>2142</v>
      </c>
      <c r="G1471" s="328" t="s">
        <v>562</v>
      </c>
      <c r="H1471" s="328" t="s">
        <v>563</v>
      </c>
      <c r="I1471" s="327">
        <v>30</v>
      </c>
      <c r="J1471" s="327"/>
      <c r="K1471" s="327"/>
      <c r="L1471" s="327"/>
      <c r="M1471" s="327"/>
    </row>
    <row r="1472" spans="1:13" x14ac:dyDescent="0.25">
      <c r="A1472" t="s">
        <v>180</v>
      </c>
      <c r="B1472" s="50" t="s">
        <v>2133</v>
      </c>
      <c r="C1472" s="51"/>
      <c r="D1472" s="337">
        <v>610000004580</v>
      </c>
      <c r="E1472" s="337">
        <f>VLOOKUP(D1472,'[1]Task list &amp; Maintenace plan'!$B:$G,6,FALSE)</f>
        <v>101014</v>
      </c>
      <c r="F1472" s="338" t="s">
        <v>2142</v>
      </c>
      <c r="G1472" s="339" t="s">
        <v>2140</v>
      </c>
      <c r="H1472" s="339" t="s">
        <v>2145</v>
      </c>
      <c r="I1472" s="338">
        <v>30</v>
      </c>
      <c r="J1472" s="338"/>
      <c r="K1472" s="338"/>
      <c r="L1472" s="338"/>
      <c r="M1472" s="338"/>
    </row>
    <row r="1473" spans="1:13" x14ac:dyDescent="0.25">
      <c r="A1473" t="s">
        <v>180</v>
      </c>
      <c r="B1473" s="50" t="s">
        <v>2133</v>
      </c>
      <c r="C1473" s="51"/>
      <c r="D1473" s="340">
        <v>610000004581</v>
      </c>
      <c r="E1473" s="340">
        <f>VLOOKUP(D1473,'[1]Task list &amp; Maintenace plan'!$B:$G,6,FALSE)</f>
        <v>101015</v>
      </c>
      <c r="F1473" s="341" t="s">
        <v>2146</v>
      </c>
      <c r="G1473" s="342" t="s">
        <v>2134</v>
      </c>
      <c r="H1473" s="342" t="s">
        <v>2147</v>
      </c>
      <c r="I1473" s="341">
        <v>60</v>
      </c>
      <c r="J1473" s="341">
        <v>1</v>
      </c>
      <c r="K1473" s="341"/>
      <c r="L1473" s="341"/>
      <c r="M1473" s="341"/>
    </row>
    <row r="1474" spans="1:13" x14ac:dyDescent="0.25">
      <c r="A1474" t="s">
        <v>180</v>
      </c>
      <c r="B1474" s="50" t="s">
        <v>2133</v>
      </c>
      <c r="C1474" s="51"/>
      <c r="D1474" s="326">
        <v>610000004581</v>
      </c>
      <c r="E1474" s="326">
        <f>VLOOKUP(D1474,'[1]Task list &amp; Maintenace plan'!$B:$G,6,FALSE)</f>
        <v>101015</v>
      </c>
      <c r="F1474" s="327" t="s">
        <v>2146</v>
      </c>
      <c r="G1474" s="328" t="s">
        <v>2137</v>
      </c>
      <c r="H1474" s="328" t="s">
        <v>2148</v>
      </c>
      <c r="I1474" s="327">
        <v>60</v>
      </c>
      <c r="J1474" s="327">
        <v>1</v>
      </c>
      <c r="K1474" s="327"/>
      <c r="L1474" s="327"/>
      <c r="M1474" s="327"/>
    </row>
    <row r="1475" spans="1:13" x14ac:dyDescent="0.25">
      <c r="A1475" t="s">
        <v>180</v>
      </c>
      <c r="B1475" s="50" t="s">
        <v>2133</v>
      </c>
      <c r="C1475" s="51"/>
      <c r="D1475" s="326">
        <v>610000004581</v>
      </c>
      <c r="E1475" s="326">
        <f>VLOOKUP(D1475,'[1]Task list &amp; Maintenace plan'!$B:$G,6,FALSE)</f>
        <v>101015</v>
      </c>
      <c r="F1475" s="327" t="s">
        <v>2146</v>
      </c>
      <c r="G1475" s="328" t="s">
        <v>562</v>
      </c>
      <c r="H1475" s="328" t="s">
        <v>574</v>
      </c>
      <c r="I1475" s="327">
        <v>60</v>
      </c>
      <c r="J1475" s="327">
        <v>1</v>
      </c>
      <c r="K1475" s="327"/>
      <c r="L1475" s="327"/>
      <c r="M1475" s="327"/>
    </row>
    <row r="1476" spans="1:13" x14ac:dyDescent="0.25">
      <c r="A1476" t="s">
        <v>180</v>
      </c>
      <c r="B1476" s="50" t="s">
        <v>2133</v>
      </c>
      <c r="C1476" s="51"/>
      <c r="D1476" s="337">
        <v>610000004581</v>
      </c>
      <c r="E1476" s="337">
        <f>VLOOKUP(D1476,'[1]Task list &amp; Maintenace plan'!$B:$G,6,FALSE)</f>
        <v>101015</v>
      </c>
      <c r="F1476" s="338" t="s">
        <v>2146</v>
      </c>
      <c r="G1476" s="339" t="s">
        <v>2140</v>
      </c>
      <c r="H1476" s="339" t="s">
        <v>2149</v>
      </c>
      <c r="I1476" s="338">
        <v>60</v>
      </c>
      <c r="J1476" s="338">
        <v>1</v>
      </c>
      <c r="K1476" s="338"/>
      <c r="L1476" s="338"/>
      <c r="M1476" s="338"/>
    </row>
    <row r="1477" spans="1:13" x14ac:dyDescent="0.25">
      <c r="A1477" t="s">
        <v>180</v>
      </c>
      <c r="B1477" s="50" t="s">
        <v>2133</v>
      </c>
      <c r="C1477" s="51"/>
      <c r="D1477" s="340">
        <v>610000004582</v>
      </c>
      <c r="E1477" s="340">
        <f>VLOOKUP(D1477,'[1]Task list &amp; Maintenace plan'!$B:$G,6,FALSE)</f>
        <v>101016</v>
      </c>
      <c r="F1477" s="341" t="s">
        <v>2150</v>
      </c>
      <c r="G1477" s="342" t="s">
        <v>2134</v>
      </c>
      <c r="H1477" s="342" t="s">
        <v>2151</v>
      </c>
      <c r="I1477" s="341">
        <v>90</v>
      </c>
      <c r="J1477" s="341"/>
      <c r="K1477" s="341"/>
      <c r="L1477" s="341"/>
      <c r="M1477" s="341"/>
    </row>
    <row r="1478" spans="1:13" x14ac:dyDescent="0.25">
      <c r="A1478" t="s">
        <v>180</v>
      </c>
      <c r="B1478" s="50" t="s">
        <v>2133</v>
      </c>
      <c r="C1478" s="51"/>
      <c r="D1478" s="326">
        <v>610000004582</v>
      </c>
      <c r="E1478" s="326">
        <f>VLOOKUP(D1478,'[1]Task list &amp; Maintenace plan'!$B:$G,6,FALSE)</f>
        <v>101016</v>
      </c>
      <c r="F1478" s="327" t="s">
        <v>2150</v>
      </c>
      <c r="G1478" s="328" t="s">
        <v>2137</v>
      </c>
      <c r="H1478" s="328" t="s">
        <v>2152</v>
      </c>
      <c r="I1478" s="327">
        <v>90</v>
      </c>
      <c r="J1478" s="327"/>
      <c r="K1478" s="327"/>
      <c r="L1478" s="327"/>
      <c r="M1478" s="327"/>
    </row>
    <row r="1479" spans="1:13" x14ac:dyDescent="0.25">
      <c r="A1479" t="s">
        <v>180</v>
      </c>
      <c r="B1479" s="50" t="s">
        <v>2133</v>
      </c>
      <c r="C1479" s="51"/>
      <c r="D1479" s="326">
        <v>610000004582</v>
      </c>
      <c r="E1479" s="326">
        <f>VLOOKUP(D1479,'[1]Task list &amp; Maintenace plan'!$B:$G,6,FALSE)</f>
        <v>101016</v>
      </c>
      <c r="F1479" s="327" t="s">
        <v>2150</v>
      </c>
      <c r="G1479" s="328" t="s">
        <v>562</v>
      </c>
      <c r="H1479" s="328" t="s">
        <v>568</v>
      </c>
      <c r="I1479" s="327">
        <v>90</v>
      </c>
      <c r="J1479" s="327"/>
      <c r="K1479" s="327"/>
      <c r="L1479" s="327"/>
      <c r="M1479" s="327"/>
    </row>
    <row r="1480" spans="1:13" x14ac:dyDescent="0.25">
      <c r="A1480" t="s">
        <v>180</v>
      </c>
      <c r="B1480" s="50" t="s">
        <v>2133</v>
      </c>
      <c r="C1480" s="51"/>
      <c r="D1480" s="326">
        <v>610000004582</v>
      </c>
      <c r="E1480" s="326">
        <f>VLOOKUP(D1480,'[1]Task list &amp; Maintenace plan'!$B:$G,6,FALSE)</f>
        <v>101016</v>
      </c>
      <c r="F1480" s="327" t="s">
        <v>2150</v>
      </c>
      <c r="G1480" s="328" t="s">
        <v>2140</v>
      </c>
      <c r="H1480" s="328" t="s">
        <v>2153</v>
      </c>
      <c r="I1480" s="327">
        <v>90</v>
      </c>
      <c r="J1480" s="327"/>
      <c r="K1480" s="327"/>
      <c r="L1480" s="327"/>
      <c r="M1480" s="327"/>
    </row>
    <row r="1481" spans="1:13" x14ac:dyDescent="0.25">
      <c r="A1481" t="s">
        <v>180</v>
      </c>
      <c r="B1481" s="50" t="s">
        <v>2133</v>
      </c>
      <c r="C1481" s="51"/>
      <c r="D1481" s="360">
        <v>357721</v>
      </c>
      <c r="E1481" s="360">
        <f>VLOOKUP(D1481,'[1]Task list &amp; Maintenace plan'!$B:$G,6,FALSE)</f>
        <v>2083</v>
      </c>
      <c r="F1481" s="361" t="s">
        <v>2154</v>
      </c>
      <c r="G1481" s="362" t="s">
        <v>2155</v>
      </c>
      <c r="H1481" s="362" t="s">
        <v>2156</v>
      </c>
      <c r="I1481" s="361">
        <v>365</v>
      </c>
      <c r="J1481" s="361"/>
      <c r="K1481" s="361"/>
      <c r="L1481" s="361"/>
      <c r="M1481" s="361"/>
    </row>
    <row r="1482" spans="1:13" ht="15.75" thickBot="1" x14ac:dyDescent="0.3">
      <c r="A1482" t="s">
        <v>180</v>
      </c>
      <c r="B1482" s="50" t="s">
        <v>2133</v>
      </c>
      <c r="C1482" s="214"/>
      <c r="D1482" s="363">
        <v>357721</v>
      </c>
      <c r="E1482" s="363">
        <f>VLOOKUP(D1482,'[1]Task list &amp; Maintenace plan'!$B:$G,6,FALSE)</f>
        <v>2083</v>
      </c>
      <c r="F1482" s="364" t="s">
        <v>2154</v>
      </c>
      <c r="G1482" s="365" t="s">
        <v>2104</v>
      </c>
      <c r="H1482" s="365" t="s">
        <v>2157</v>
      </c>
      <c r="I1482" s="364">
        <v>365</v>
      </c>
      <c r="J1482" s="364"/>
      <c r="K1482" s="364"/>
      <c r="L1482" s="364"/>
      <c r="M1482" s="364"/>
    </row>
    <row r="1483" spans="1:13" x14ac:dyDescent="0.25">
      <c r="A1483" t="s">
        <v>180</v>
      </c>
      <c r="B1483" s="50" t="s">
        <v>2158</v>
      </c>
      <c r="C1483" s="51"/>
      <c r="D1483" s="340">
        <v>610000004583</v>
      </c>
      <c r="E1483" s="340">
        <f>VLOOKUP(D1483,'[1]Task list &amp; Maintenace plan'!$B:$G,6,FALSE)</f>
        <v>101017</v>
      </c>
      <c r="F1483" s="341" t="s">
        <v>2160</v>
      </c>
      <c r="G1483" s="342" t="s">
        <v>2159</v>
      </c>
      <c r="H1483" s="342" t="s">
        <v>2161</v>
      </c>
      <c r="I1483" s="341">
        <v>15</v>
      </c>
      <c r="J1483" s="341"/>
      <c r="K1483" s="341"/>
      <c r="L1483" s="341"/>
      <c r="M1483" s="341"/>
    </row>
    <row r="1484" spans="1:13" x14ac:dyDescent="0.25">
      <c r="A1484" t="s">
        <v>180</v>
      </c>
      <c r="B1484" s="50" t="s">
        <v>2158</v>
      </c>
      <c r="C1484" s="51"/>
      <c r="D1484" s="337">
        <v>610000004583</v>
      </c>
      <c r="E1484" s="337">
        <f>VLOOKUP(D1484,'[1]Task list &amp; Maintenace plan'!$B:$G,6,FALSE)</f>
        <v>101017</v>
      </c>
      <c r="F1484" s="338" t="s">
        <v>2160</v>
      </c>
      <c r="G1484" s="339" t="s">
        <v>2162</v>
      </c>
      <c r="H1484" s="339" t="s">
        <v>2163</v>
      </c>
      <c r="I1484" s="338">
        <v>15</v>
      </c>
      <c r="J1484" s="338"/>
      <c r="K1484" s="338"/>
      <c r="L1484" s="338"/>
      <c r="M1484" s="338"/>
    </row>
    <row r="1485" spans="1:13" x14ac:dyDescent="0.25">
      <c r="A1485" t="s">
        <v>180</v>
      </c>
      <c r="B1485" s="50" t="s">
        <v>2158</v>
      </c>
      <c r="C1485" s="51"/>
      <c r="D1485" s="326">
        <v>610000004584</v>
      </c>
      <c r="E1485" s="326">
        <f>VLOOKUP(D1485,'[1]Task list &amp; Maintenace plan'!$B:$G,6,FALSE)</f>
        <v>101018</v>
      </c>
      <c r="F1485" s="327" t="s">
        <v>2164</v>
      </c>
      <c r="G1485" s="328" t="s">
        <v>2159</v>
      </c>
      <c r="H1485" s="328" t="s">
        <v>2165</v>
      </c>
      <c r="I1485" s="327">
        <v>30</v>
      </c>
      <c r="J1485" s="327"/>
      <c r="K1485" s="327"/>
      <c r="L1485" s="327"/>
      <c r="M1485" s="327"/>
    </row>
    <row r="1486" spans="1:13" x14ac:dyDescent="0.25">
      <c r="A1486" t="s">
        <v>180</v>
      </c>
      <c r="B1486" s="50" t="s">
        <v>2158</v>
      </c>
      <c r="C1486" s="51"/>
      <c r="D1486" s="337">
        <v>610000004584</v>
      </c>
      <c r="E1486" s="337">
        <f>VLOOKUP(D1486,'[1]Task list &amp; Maintenace plan'!$B:$G,6,FALSE)</f>
        <v>101018</v>
      </c>
      <c r="F1486" s="338" t="s">
        <v>2164</v>
      </c>
      <c r="G1486" s="339" t="s">
        <v>2162</v>
      </c>
      <c r="H1486" s="339" t="s">
        <v>2166</v>
      </c>
      <c r="I1486" s="338">
        <v>30</v>
      </c>
      <c r="J1486" s="338"/>
      <c r="K1486" s="338"/>
      <c r="L1486" s="338"/>
      <c r="M1486" s="338"/>
    </row>
    <row r="1487" spans="1:13" x14ac:dyDescent="0.25">
      <c r="A1487" t="s">
        <v>180</v>
      </c>
      <c r="B1487" s="50" t="s">
        <v>2158</v>
      </c>
      <c r="C1487" s="51"/>
      <c r="D1487" s="326">
        <v>610000004585</v>
      </c>
      <c r="E1487" s="326">
        <f>VLOOKUP(D1487,'[1]Task list &amp; Maintenace plan'!$B:$G,6,FALSE)</f>
        <v>101019</v>
      </c>
      <c r="F1487" s="327" t="s">
        <v>2167</v>
      </c>
      <c r="G1487" s="328" t="s">
        <v>2159</v>
      </c>
      <c r="H1487" s="328" t="s">
        <v>2168</v>
      </c>
      <c r="I1487" s="327">
        <v>60</v>
      </c>
      <c r="J1487" s="327">
        <v>1</v>
      </c>
      <c r="K1487" s="327"/>
      <c r="L1487" s="327"/>
      <c r="M1487" s="327"/>
    </row>
    <row r="1488" spans="1:13" x14ac:dyDescent="0.25">
      <c r="A1488" t="s">
        <v>180</v>
      </c>
      <c r="B1488" s="50" t="s">
        <v>2158</v>
      </c>
      <c r="C1488" s="51"/>
      <c r="D1488" s="337">
        <v>610000004585</v>
      </c>
      <c r="E1488" s="337">
        <f>VLOOKUP(D1488,'[1]Task list &amp; Maintenace plan'!$B:$G,6,FALSE)</f>
        <v>101019</v>
      </c>
      <c r="F1488" s="338" t="s">
        <v>2167</v>
      </c>
      <c r="G1488" s="339" t="s">
        <v>2162</v>
      </c>
      <c r="H1488" s="339" t="s">
        <v>2169</v>
      </c>
      <c r="I1488" s="338">
        <v>60</v>
      </c>
      <c r="J1488" s="338">
        <v>1</v>
      </c>
      <c r="K1488" s="338"/>
      <c r="L1488" s="338"/>
      <c r="M1488" s="338"/>
    </row>
    <row r="1489" spans="1:13" x14ac:dyDescent="0.25">
      <c r="A1489" t="s">
        <v>180</v>
      </c>
      <c r="B1489" s="50" t="s">
        <v>2158</v>
      </c>
      <c r="C1489" s="51"/>
      <c r="D1489" s="326">
        <v>610000004586</v>
      </c>
      <c r="E1489" s="326">
        <f>VLOOKUP(D1489,'[1]Task list &amp; Maintenace plan'!$B:$G,6,FALSE)</f>
        <v>101020</v>
      </c>
      <c r="F1489" s="327" t="s">
        <v>2170</v>
      </c>
      <c r="G1489" s="328" t="s">
        <v>2159</v>
      </c>
      <c r="H1489" s="328" t="s">
        <v>2171</v>
      </c>
      <c r="I1489" s="327">
        <v>90</v>
      </c>
      <c r="J1489" s="327"/>
      <c r="K1489" s="327"/>
      <c r="L1489" s="327"/>
      <c r="M1489" s="327"/>
    </row>
    <row r="1490" spans="1:13" ht="15.75" thickBot="1" x14ac:dyDescent="0.3">
      <c r="A1490" t="s">
        <v>180</v>
      </c>
      <c r="B1490" s="50" t="s">
        <v>2158</v>
      </c>
      <c r="C1490" s="214"/>
      <c r="D1490" s="366">
        <v>610000004586</v>
      </c>
      <c r="E1490" s="366">
        <f>VLOOKUP(D1490,'[1]Task list &amp; Maintenace plan'!$B:$G,6,FALSE)</f>
        <v>101020</v>
      </c>
      <c r="F1490" s="367" t="s">
        <v>2170</v>
      </c>
      <c r="G1490" s="368" t="s">
        <v>2162</v>
      </c>
      <c r="H1490" s="368" t="s">
        <v>2172</v>
      </c>
      <c r="I1490" s="367">
        <v>90</v>
      </c>
      <c r="J1490" s="367"/>
      <c r="K1490" s="367"/>
      <c r="L1490" s="367"/>
      <c r="M1490" s="367"/>
    </row>
    <row r="1491" spans="1:13" x14ac:dyDescent="0.25">
      <c r="A1491" t="s">
        <v>180</v>
      </c>
      <c r="B1491" s="50" t="s">
        <v>2173</v>
      </c>
      <c r="C1491" s="51"/>
      <c r="D1491" s="340">
        <v>610000004587</v>
      </c>
      <c r="E1491" s="340">
        <f>VLOOKUP(D1491,'[1]Task list &amp; Maintenace plan'!$B:$G,6,FALSE)</f>
        <v>101021</v>
      </c>
      <c r="F1491" s="341" t="s">
        <v>2175</v>
      </c>
      <c r="G1491" s="342" t="s">
        <v>2174</v>
      </c>
      <c r="H1491" s="342" t="s">
        <v>2176</v>
      </c>
      <c r="I1491" s="341">
        <v>15</v>
      </c>
      <c r="J1491" s="341"/>
      <c r="K1491" s="341"/>
      <c r="L1491" s="341"/>
      <c r="M1491" s="341"/>
    </row>
    <row r="1492" spans="1:13" x14ac:dyDescent="0.25">
      <c r="A1492" t="s">
        <v>180</v>
      </c>
      <c r="B1492" s="50" t="s">
        <v>2173</v>
      </c>
      <c r="C1492" s="51"/>
      <c r="D1492" s="326">
        <v>610000004587</v>
      </c>
      <c r="E1492" s="326">
        <f>VLOOKUP(D1492,'[1]Task list &amp; Maintenace plan'!$B:$G,6,FALSE)</f>
        <v>101021</v>
      </c>
      <c r="F1492" s="327" t="s">
        <v>2175</v>
      </c>
      <c r="G1492" s="328" t="s">
        <v>2177</v>
      </c>
      <c r="H1492" s="328" t="s">
        <v>2178</v>
      </c>
      <c r="I1492" s="327">
        <v>15</v>
      </c>
      <c r="J1492" s="327"/>
      <c r="K1492" s="327"/>
      <c r="L1492" s="327"/>
      <c r="M1492" s="327"/>
    </row>
    <row r="1493" spans="1:13" x14ac:dyDescent="0.25">
      <c r="A1493" t="s">
        <v>180</v>
      </c>
      <c r="B1493" s="50" t="s">
        <v>2173</v>
      </c>
      <c r="C1493" s="51"/>
      <c r="D1493" s="326">
        <v>610000004587</v>
      </c>
      <c r="E1493" s="326">
        <f>VLOOKUP(D1493,'[1]Task list &amp; Maintenace plan'!$B:$G,6,FALSE)</f>
        <v>101021</v>
      </c>
      <c r="F1493" s="327" t="s">
        <v>2175</v>
      </c>
      <c r="G1493" s="328" t="s">
        <v>2179</v>
      </c>
      <c r="H1493" s="328" t="s">
        <v>2180</v>
      </c>
      <c r="I1493" s="327">
        <v>15</v>
      </c>
      <c r="J1493" s="327"/>
      <c r="K1493" s="327"/>
      <c r="L1493" s="327"/>
      <c r="M1493" s="327"/>
    </row>
    <row r="1494" spans="1:13" x14ac:dyDescent="0.25">
      <c r="A1494" t="s">
        <v>180</v>
      </c>
      <c r="B1494" s="50" t="s">
        <v>2173</v>
      </c>
      <c r="C1494" s="51"/>
      <c r="D1494" s="326">
        <v>610000004587</v>
      </c>
      <c r="E1494" s="326">
        <f>VLOOKUP(D1494,'[1]Task list &amp; Maintenace plan'!$B:$G,6,FALSE)</f>
        <v>101021</v>
      </c>
      <c r="F1494" s="327" t="s">
        <v>2175</v>
      </c>
      <c r="G1494" s="328" t="s">
        <v>2181</v>
      </c>
      <c r="H1494" s="328" t="s">
        <v>2182</v>
      </c>
      <c r="I1494" s="327">
        <v>15</v>
      </c>
      <c r="J1494" s="327"/>
      <c r="K1494" s="327"/>
      <c r="L1494" s="327"/>
      <c r="M1494" s="327"/>
    </row>
    <row r="1495" spans="1:13" x14ac:dyDescent="0.25">
      <c r="A1495" t="s">
        <v>180</v>
      </c>
      <c r="B1495" s="50" t="s">
        <v>2173</v>
      </c>
      <c r="C1495" s="51"/>
      <c r="D1495" s="326">
        <v>610000004587</v>
      </c>
      <c r="E1495" s="326">
        <f>VLOOKUP(D1495,'[1]Task list &amp; Maintenace plan'!$B:$G,6,FALSE)</f>
        <v>101021</v>
      </c>
      <c r="F1495" s="327" t="s">
        <v>2175</v>
      </c>
      <c r="G1495" s="328" t="s">
        <v>2183</v>
      </c>
      <c r="H1495" s="328" t="s">
        <v>2184</v>
      </c>
      <c r="I1495" s="327">
        <v>15</v>
      </c>
      <c r="J1495" s="327"/>
      <c r="K1495" s="327"/>
      <c r="L1495" s="327"/>
      <c r="M1495" s="327"/>
    </row>
    <row r="1496" spans="1:13" x14ac:dyDescent="0.25">
      <c r="A1496" t="s">
        <v>180</v>
      </c>
      <c r="B1496" s="50" t="s">
        <v>2173</v>
      </c>
      <c r="C1496" s="51"/>
      <c r="D1496" s="326">
        <v>610000004587</v>
      </c>
      <c r="E1496" s="326">
        <f>VLOOKUP(D1496,'[1]Task list &amp; Maintenace plan'!$B:$G,6,FALSE)</f>
        <v>101021</v>
      </c>
      <c r="F1496" s="327" t="s">
        <v>2175</v>
      </c>
      <c r="G1496" s="328" t="s">
        <v>2185</v>
      </c>
      <c r="H1496" s="328" t="s">
        <v>2186</v>
      </c>
      <c r="I1496" s="327">
        <v>15</v>
      </c>
      <c r="J1496" s="327"/>
      <c r="K1496" s="327"/>
      <c r="L1496" s="327"/>
      <c r="M1496" s="327"/>
    </row>
    <row r="1497" spans="1:13" x14ac:dyDescent="0.25">
      <c r="A1497" t="s">
        <v>180</v>
      </c>
      <c r="B1497" s="50" t="s">
        <v>2173</v>
      </c>
      <c r="C1497" s="51"/>
      <c r="D1497" s="326">
        <v>610000004587</v>
      </c>
      <c r="E1497" s="326">
        <f>VLOOKUP(D1497,'[1]Task list &amp; Maintenace plan'!$B:$G,6,FALSE)</f>
        <v>101021</v>
      </c>
      <c r="F1497" s="327" t="s">
        <v>2175</v>
      </c>
      <c r="G1497" s="328" t="s">
        <v>2187</v>
      </c>
      <c r="H1497" s="328" t="s">
        <v>2188</v>
      </c>
      <c r="I1497" s="327">
        <v>15</v>
      </c>
      <c r="J1497" s="327"/>
      <c r="K1497" s="327"/>
      <c r="L1497" s="327"/>
      <c r="M1497" s="327"/>
    </row>
    <row r="1498" spans="1:13" x14ac:dyDescent="0.25">
      <c r="A1498" t="s">
        <v>180</v>
      </c>
      <c r="B1498" s="50" t="s">
        <v>2173</v>
      </c>
      <c r="C1498" s="51"/>
      <c r="D1498" s="326">
        <v>610000004587</v>
      </c>
      <c r="E1498" s="326">
        <f>VLOOKUP(D1498,'[1]Task list &amp; Maintenace plan'!$B:$G,6,FALSE)</f>
        <v>101021</v>
      </c>
      <c r="F1498" s="327" t="s">
        <v>2175</v>
      </c>
      <c r="G1498" s="328" t="s">
        <v>2189</v>
      </c>
      <c r="H1498" s="328" t="s">
        <v>2190</v>
      </c>
      <c r="I1498" s="327">
        <v>15</v>
      </c>
      <c r="J1498" s="327"/>
      <c r="K1498" s="327"/>
      <c r="L1498" s="327"/>
      <c r="M1498" s="327"/>
    </row>
    <row r="1499" spans="1:13" x14ac:dyDescent="0.25">
      <c r="A1499" t="s">
        <v>180</v>
      </c>
      <c r="B1499" s="50" t="s">
        <v>2173</v>
      </c>
      <c r="C1499" s="51"/>
      <c r="D1499" s="326">
        <v>610000004587</v>
      </c>
      <c r="E1499" s="326">
        <f>VLOOKUP(D1499,'[1]Task list &amp; Maintenace plan'!$B:$G,6,FALSE)</f>
        <v>101021</v>
      </c>
      <c r="F1499" s="327" t="s">
        <v>2175</v>
      </c>
      <c r="G1499" s="328" t="s">
        <v>2191</v>
      </c>
      <c r="H1499" s="328" t="s">
        <v>2192</v>
      </c>
      <c r="I1499" s="327">
        <v>15</v>
      </c>
      <c r="J1499" s="327"/>
      <c r="K1499" s="327"/>
      <c r="L1499" s="327"/>
      <c r="M1499" s="327"/>
    </row>
    <row r="1500" spans="1:13" x14ac:dyDescent="0.25">
      <c r="A1500" t="s">
        <v>180</v>
      </c>
      <c r="B1500" s="50" t="s">
        <v>2173</v>
      </c>
      <c r="C1500" s="51"/>
      <c r="D1500" s="326">
        <v>610000004587</v>
      </c>
      <c r="E1500" s="326">
        <f>VLOOKUP(D1500,'[1]Task list &amp; Maintenace plan'!$B:$G,6,FALSE)</f>
        <v>101021</v>
      </c>
      <c r="F1500" s="327" t="s">
        <v>2175</v>
      </c>
      <c r="G1500" s="328" t="s">
        <v>2193</v>
      </c>
      <c r="H1500" s="328" t="s">
        <v>2194</v>
      </c>
      <c r="I1500" s="327">
        <v>15</v>
      </c>
      <c r="J1500" s="327"/>
      <c r="K1500" s="327"/>
      <c r="L1500" s="327"/>
      <c r="M1500" s="327"/>
    </row>
    <row r="1501" spans="1:13" x14ac:dyDescent="0.25">
      <c r="A1501" t="s">
        <v>180</v>
      </c>
      <c r="B1501" s="50" t="s">
        <v>2173</v>
      </c>
      <c r="C1501" s="51"/>
      <c r="D1501" s="337">
        <v>610000004587</v>
      </c>
      <c r="E1501" s="337">
        <f>VLOOKUP(D1501,'[1]Task list &amp; Maintenace plan'!$B:$G,6,FALSE)</f>
        <v>101021</v>
      </c>
      <c r="F1501" s="338" t="s">
        <v>2175</v>
      </c>
      <c r="G1501" s="339" t="s">
        <v>2195</v>
      </c>
      <c r="H1501" s="339" t="s">
        <v>2196</v>
      </c>
      <c r="I1501" s="338">
        <v>15</v>
      </c>
      <c r="J1501" s="338"/>
      <c r="K1501" s="338"/>
      <c r="L1501" s="338"/>
      <c r="M1501" s="338"/>
    </row>
    <row r="1502" spans="1:13" x14ac:dyDescent="0.25">
      <c r="A1502" t="s">
        <v>180</v>
      </c>
      <c r="B1502" s="50" t="s">
        <v>2173</v>
      </c>
      <c r="C1502" s="51"/>
      <c r="D1502" s="369">
        <v>610000004588</v>
      </c>
      <c r="E1502" s="369">
        <f>VLOOKUP(D1502,'[1]Task list &amp; Maintenace plan'!$B:$G,6,FALSE)</f>
        <v>101022</v>
      </c>
      <c r="F1502" s="370" t="s">
        <v>2197</v>
      </c>
      <c r="G1502" s="371" t="s">
        <v>101</v>
      </c>
      <c r="H1502" s="371" t="s">
        <v>225</v>
      </c>
      <c r="I1502" s="370">
        <v>30</v>
      </c>
      <c r="J1502" s="370"/>
      <c r="K1502" s="370"/>
      <c r="L1502" s="370"/>
      <c r="M1502" s="370"/>
    </row>
    <row r="1503" spans="1:13" x14ac:dyDescent="0.25">
      <c r="A1503" t="s">
        <v>180</v>
      </c>
      <c r="B1503" s="50" t="s">
        <v>2173</v>
      </c>
      <c r="C1503" s="51"/>
      <c r="D1503" s="340">
        <v>610000004589</v>
      </c>
      <c r="E1503" s="340">
        <f>VLOOKUP(D1503,'[1]Task list &amp; Maintenace plan'!$B:$G,6,FALSE)</f>
        <v>101023</v>
      </c>
      <c r="F1503" s="341" t="s">
        <v>2198</v>
      </c>
      <c r="G1503" s="342" t="s">
        <v>2174</v>
      </c>
      <c r="H1503" s="342" t="s">
        <v>2199</v>
      </c>
      <c r="I1503" s="341">
        <v>30</v>
      </c>
      <c r="J1503" s="341"/>
      <c r="K1503" s="341"/>
      <c r="L1503" s="341"/>
      <c r="M1503" s="341"/>
    </row>
    <row r="1504" spans="1:13" x14ac:dyDescent="0.25">
      <c r="A1504" t="s">
        <v>180</v>
      </c>
      <c r="B1504" s="50" t="s">
        <v>2173</v>
      </c>
      <c r="C1504" s="51"/>
      <c r="D1504" s="326">
        <v>610000004589</v>
      </c>
      <c r="E1504" s="326">
        <f>VLOOKUP(D1504,'[1]Task list &amp; Maintenace plan'!$B:$G,6,FALSE)</f>
        <v>101023</v>
      </c>
      <c r="F1504" s="327" t="s">
        <v>2198</v>
      </c>
      <c r="G1504" s="328" t="s">
        <v>2177</v>
      </c>
      <c r="H1504" s="328" t="s">
        <v>2200</v>
      </c>
      <c r="I1504" s="327">
        <v>30</v>
      </c>
      <c r="J1504" s="327"/>
      <c r="K1504" s="327"/>
      <c r="L1504" s="327"/>
      <c r="M1504" s="327"/>
    </row>
    <row r="1505" spans="1:13" x14ac:dyDescent="0.25">
      <c r="A1505" t="s">
        <v>180</v>
      </c>
      <c r="B1505" s="50" t="s">
        <v>2173</v>
      </c>
      <c r="C1505" s="51"/>
      <c r="D1505" s="326">
        <v>610000004589</v>
      </c>
      <c r="E1505" s="326">
        <f>VLOOKUP(D1505,'[1]Task list &amp; Maintenace plan'!$B:$G,6,FALSE)</f>
        <v>101023</v>
      </c>
      <c r="F1505" s="327" t="s">
        <v>2198</v>
      </c>
      <c r="G1505" s="328" t="s">
        <v>2179</v>
      </c>
      <c r="H1505" s="328" t="s">
        <v>2201</v>
      </c>
      <c r="I1505" s="327">
        <v>30</v>
      </c>
      <c r="J1505" s="327"/>
      <c r="K1505" s="327"/>
      <c r="L1505" s="327"/>
      <c r="M1505" s="327"/>
    </row>
    <row r="1506" spans="1:13" x14ac:dyDescent="0.25">
      <c r="A1506" t="s">
        <v>180</v>
      </c>
      <c r="B1506" s="50" t="s">
        <v>2173</v>
      </c>
      <c r="C1506" s="51"/>
      <c r="D1506" s="326">
        <v>610000004589</v>
      </c>
      <c r="E1506" s="326">
        <f>VLOOKUP(D1506,'[1]Task list &amp; Maintenace plan'!$B:$G,6,FALSE)</f>
        <v>101023</v>
      </c>
      <c r="F1506" s="327" t="s">
        <v>2198</v>
      </c>
      <c r="G1506" s="328" t="s">
        <v>2181</v>
      </c>
      <c r="H1506" s="328" t="s">
        <v>2202</v>
      </c>
      <c r="I1506" s="327">
        <v>30</v>
      </c>
      <c r="J1506" s="327"/>
      <c r="K1506" s="327"/>
      <c r="L1506" s="327"/>
      <c r="M1506" s="327"/>
    </row>
    <row r="1507" spans="1:13" x14ac:dyDescent="0.25">
      <c r="A1507" t="s">
        <v>180</v>
      </c>
      <c r="B1507" s="50" t="s">
        <v>2173</v>
      </c>
      <c r="C1507" s="51"/>
      <c r="D1507" s="326">
        <v>610000004589</v>
      </c>
      <c r="E1507" s="326">
        <f>VLOOKUP(D1507,'[1]Task list &amp; Maintenace plan'!$B:$G,6,FALSE)</f>
        <v>101023</v>
      </c>
      <c r="F1507" s="327" t="s">
        <v>2198</v>
      </c>
      <c r="G1507" s="328" t="s">
        <v>2183</v>
      </c>
      <c r="H1507" s="328" t="s">
        <v>2203</v>
      </c>
      <c r="I1507" s="327">
        <v>30</v>
      </c>
      <c r="J1507" s="327"/>
      <c r="K1507" s="327"/>
      <c r="L1507" s="327"/>
      <c r="M1507" s="327"/>
    </row>
    <row r="1508" spans="1:13" x14ac:dyDescent="0.25">
      <c r="A1508" t="s">
        <v>180</v>
      </c>
      <c r="B1508" s="50" t="s">
        <v>2173</v>
      </c>
      <c r="C1508" s="51"/>
      <c r="D1508" s="326">
        <v>610000004589</v>
      </c>
      <c r="E1508" s="326">
        <f>VLOOKUP(D1508,'[1]Task list &amp; Maintenace plan'!$B:$G,6,FALSE)</f>
        <v>101023</v>
      </c>
      <c r="F1508" s="327" t="s">
        <v>2198</v>
      </c>
      <c r="G1508" s="328" t="s">
        <v>2185</v>
      </c>
      <c r="H1508" s="328" t="s">
        <v>2204</v>
      </c>
      <c r="I1508" s="327">
        <v>30</v>
      </c>
      <c r="J1508" s="327"/>
      <c r="K1508" s="327"/>
      <c r="L1508" s="327"/>
      <c r="M1508" s="327"/>
    </row>
    <row r="1509" spans="1:13" x14ac:dyDescent="0.25">
      <c r="A1509" t="s">
        <v>180</v>
      </c>
      <c r="B1509" s="50" t="s">
        <v>2173</v>
      </c>
      <c r="C1509" s="51"/>
      <c r="D1509" s="326">
        <v>610000004589</v>
      </c>
      <c r="E1509" s="326">
        <f>VLOOKUP(D1509,'[1]Task list &amp; Maintenace plan'!$B:$G,6,FALSE)</f>
        <v>101023</v>
      </c>
      <c r="F1509" s="327" t="s">
        <v>2198</v>
      </c>
      <c r="G1509" s="328" t="s">
        <v>2187</v>
      </c>
      <c r="H1509" s="328" t="s">
        <v>2205</v>
      </c>
      <c r="I1509" s="327">
        <v>30</v>
      </c>
      <c r="J1509" s="327"/>
      <c r="K1509" s="327"/>
      <c r="L1509" s="327"/>
      <c r="M1509" s="327"/>
    </row>
    <row r="1510" spans="1:13" x14ac:dyDescent="0.25">
      <c r="A1510" t="s">
        <v>180</v>
      </c>
      <c r="B1510" s="50" t="s">
        <v>2173</v>
      </c>
      <c r="C1510" s="51"/>
      <c r="D1510" s="326">
        <v>610000004589</v>
      </c>
      <c r="E1510" s="326">
        <f>VLOOKUP(D1510,'[1]Task list &amp; Maintenace plan'!$B:$G,6,FALSE)</f>
        <v>101023</v>
      </c>
      <c r="F1510" s="327" t="s">
        <v>2198</v>
      </c>
      <c r="G1510" s="328" t="s">
        <v>2189</v>
      </c>
      <c r="H1510" s="328" t="s">
        <v>2206</v>
      </c>
      <c r="I1510" s="327">
        <v>30</v>
      </c>
      <c r="J1510" s="327"/>
      <c r="K1510" s="327"/>
      <c r="L1510" s="327"/>
      <c r="M1510" s="327"/>
    </row>
    <row r="1511" spans="1:13" x14ac:dyDescent="0.25">
      <c r="A1511" t="s">
        <v>180</v>
      </c>
      <c r="B1511" s="50" t="s">
        <v>2173</v>
      </c>
      <c r="C1511" s="51"/>
      <c r="D1511" s="326">
        <v>610000004589</v>
      </c>
      <c r="E1511" s="326">
        <f>VLOOKUP(D1511,'[1]Task list &amp; Maintenace plan'!$B:$G,6,FALSE)</f>
        <v>101023</v>
      </c>
      <c r="F1511" s="327" t="s">
        <v>2198</v>
      </c>
      <c r="G1511" s="328" t="s">
        <v>2191</v>
      </c>
      <c r="H1511" s="328" t="s">
        <v>2207</v>
      </c>
      <c r="I1511" s="327">
        <v>30</v>
      </c>
      <c r="J1511" s="327"/>
      <c r="K1511" s="327"/>
      <c r="L1511" s="327"/>
      <c r="M1511" s="327"/>
    </row>
    <row r="1512" spans="1:13" x14ac:dyDescent="0.25">
      <c r="A1512" t="s">
        <v>180</v>
      </c>
      <c r="B1512" s="50" t="s">
        <v>2173</v>
      </c>
      <c r="C1512" s="51"/>
      <c r="D1512" s="326">
        <v>610000004589</v>
      </c>
      <c r="E1512" s="326">
        <f>VLOOKUP(D1512,'[1]Task list &amp; Maintenace plan'!$B:$G,6,FALSE)</f>
        <v>101023</v>
      </c>
      <c r="F1512" s="327" t="s">
        <v>2198</v>
      </c>
      <c r="G1512" s="328" t="s">
        <v>2193</v>
      </c>
      <c r="H1512" s="328" t="s">
        <v>2208</v>
      </c>
      <c r="I1512" s="327">
        <v>30</v>
      </c>
      <c r="J1512" s="327"/>
      <c r="K1512" s="327"/>
      <c r="L1512" s="327"/>
      <c r="M1512" s="327"/>
    </row>
    <row r="1513" spans="1:13" x14ac:dyDescent="0.25">
      <c r="A1513" t="s">
        <v>180</v>
      </c>
      <c r="B1513" s="50" t="s">
        <v>2173</v>
      </c>
      <c r="C1513" s="51"/>
      <c r="D1513" s="337">
        <v>610000004589</v>
      </c>
      <c r="E1513" s="337">
        <f>VLOOKUP(D1513,'[1]Task list &amp; Maintenace plan'!$B:$G,6,FALSE)</f>
        <v>101023</v>
      </c>
      <c r="F1513" s="338" t="s">
        <v>2198</v>
      </c>
      <c r="G1513" s="339" t="s">
        <v>2195</v>
      </c>
      <c r="H1513" s="339" t="s">
        <v>2209</v>
      </c>
      <c r="I1513" s="338">
        <v>30</v>
      </c>
      <c r="J1513" s="338"/>
      <c r="K1513" s="338"/>
      <c r="L1513" s="338"/>
      <c r="M1513" s="338"/>
    </row>
    <row r="1514" spans="1:13" x14ac:dyDescent="0.25">
      <c r="A1514" t="s">
        <v>180</v>
      </c>
      <c r="B1514" s="50" t="s">
        <v>2173</v>
      </c>
      <c r="C1514" s="51"/>
      <c r="D1514" s="340">
        <v>610000004590</v>
      </c>
      <c r="E1514" s="340">
        <f>VLOOKUP(D1514,'[1]Task list &amp; Maintenace plan'!$B:$G,6,FALSE)</f>
        <v>101024</v>
      </c>
      <c r="F1514" s="341" t="s">
        <v>2210</v>
      </c>
      <c r="G1514" s="342" t="s">
        <v>2174</v>
      </c>
      <c r="H1514" s="342" t="s">
        <v>2211</v>
      </c>
      <c r="I1514" s="341">
        <v>60</v>
      </c>
      <c r="J1514" s="341">
        <v>1</v>
      </c>
      <c r="K1514" s="341"/>
      <c r="L1514" s="341"/>
      <c r="M1514" s="341"/>
    </row>
    <row r="1515" spans="1:13" x14ac:dyDescent="0.25">
      <c r="A1515" t="s">
        <v>180</v>
      </c>
      <c r="B1515" s="50" t="s">
        <v>2173</v>
      </c>
      <c r="C1515" s="51"/>
      <c r="D1515" s="326">
        <v>610000004590</v>
      </c>
      <c r="E1515" s="326">
        <f>VLOOKUP(D1515,'[1]Task list &amp; Maintenace plan'!$B:$G,6,FALSE)</f>
        <v>101024</v>
      </c>
      <c r="F1515" s="327" t="s">
        <v>2210</v>
      </c>
      <c r="G1515" s="328" t="s">
        <v>2177</v>
      </c>
      <c r="H1515" s="328" t="s">
        <v>2212</v>
      </c>
      <c r="I1515" s="327">
        <v>60</v>
      </c>
      <c r="J1515" s="327">
        <v>1</v>
      </c>
      <c r="K1515" s="327"/>
      <c r="L1515" s="327"/>
      <c r="M1515" s="327"/>
    </row>
    <row r="1516" spans="1:13" x14ac:dyDescent="0.25">
      <c r="A1516" t="s">
        <v>180</v>
      </c>
      <c r="B1516" s="50" t="s">
        <v>2173</v>
      </c>
      <c r="C1516" s="51"/>
      <c r="D1516" s="326">
        <v>610000004590</v>
      </c>
      <c r="E1516" s="326">
        <f>VLOOKUP(D1516,'[1]Task list &amp; Maintenace plan'!$B:$G,6,FALSE)</f>
        <v>101024</v>
      </c>
      <c r="F1516" s="327" t="s">
        <v>2210</v>
      </c>
      <c r="G1516" s="328" t="s">
        <v>2179</v>
      </c>
      <c r="H1516" s="328" t="s">
        <v>2213</v>
      </c>
      <c r="I1516" s="327">
        <v>60</v>
      </c>
      <c r="J1516" s="327">
        <v>1</v>
      </c>
      <c r="K1516" s="327"/>
      <c r="L1516" s="327"/>
      <c r="M1516" s="327"/>
    </row>
    <row r="1517" spans="1:13" x14ac:dyDescent="0.25">
      <c r="A1517" t="s">
        <v>180</v>
      </c>
      <c r="B1517" s="50" t="s">
        <v>2173</v>
      </c>
      <c r="C1517" s="51"/>
      <c r="D1517" s="326">
        <v>610000004590</v>
      </c>
      <c r="E1517" s="326">
        <f>VLOOKUP(D1517,'[1]Task list &amp; Maintenace plan'!$B:$G,6,FALSE)</f>
        <v>101024</v>
      </c>
      <c r="F1517" s="327" t="s">
        <v>2210</v>
      </c>
      <c r="G1517" s="328" t="s">
        <v>2181</v>
      </c>
      <c r="H1517" s="328" t="s">
        <v>2214</v>
      </c>
      <c r="I1517" s="327">
        <v>60</v>
      </c>
      <c r="J1517" s="327">
        <v>1</v>
      </c>
      <c r="K1517" s="327"/>
      <c r="L1517" s="327"/>
      <c r="M1517" s="327"/>
    </row>
    <row r="1518" spans="1:13" x14ac:dyDescent="0.25">
      <c r="A1518" t="s">
        <v>180</v>
      </c>
      <c r="B1518" s="50" t="s">
        <v>2173</v>
      </c>
      <c r="C1518" s="51"/>
      <c r="D1518" s="326">
        <v>610000004590</v>
      </c>
      <c r="E1518" s="326">
        <f>VLOOKUP(D1518,'[1]Task list &amp; Maintenace plan'!$B:$G,6,FALSE)</f>
        <v>101024</v>
      </c>
      <c r="F1518" s="327" t="s">
        <v>2210</v>
      </c>
      <c r="G1518" s="328" t="s">
        <v>2183</v>
      </c>
      <c r="H1518" s="328" t="s">
        <v>2215</v>
      </c>
      <c r="I1518" s="327">
        <v>60</v>
      </c>
      <c r="J1518" s="327">
        <v>1</v>
      </c>
      <c r="K1518" s="327"/>
      <c r="L1518" s="327"/>
      <c r="M1518" s="327"/>
    </row>
    <row r="1519" spans="1:13" x14ac:dyDescent="0.25">
      <c r="A1519" t="s">
        <v>180</v>
      </c>
      <c r="B1519" s="50" t="s">
        <v>2173</v>
      </c>
      <c r="C1519" s="51"/>
      <c r="D1519" s="326">
        <v>610000004590</v>
      </c>
      <c r="E1519" s="326">
        <f>VLOOKUP(D1519,'[1]Task list &amp; Maintenace plan'!$B:$G,6,FALSE)</f>
        <v>101024</v>
      </c>
      <c r="F1519" s="327" t="s">
        <v>2210</v>
      </c>
      <c r="G1519" s="328" t="s">
        <v>2185</v>
      </c>
      <c r="H1519" s="328" t="s">
        <v>2216</v>
      </c>
      <c r="I1519" s="327">
        <v>60</v>
      </c>
      <c r="J1519" s="327">
        <v>1</v>
      </c>
      <c r="K1519" s="327"/>
      <c r="L1519" s="327"/>
      <c r="M1519" s="327"/>
    </row>
    <row r="1520" spans="1:13" x14ac:dyDescent="0.25">
      <c r="A1520" t="s">
        <v>180</v>
      </c>
      <c r="B1520" s="50" t="s">
        <v>2173</v>
      </c>
      <c r="C1520" s="51"/>
      <c r="D1520" s="326">
        <v>610000004590</v>
      </c>
      <c r="E1520" s="326">
        <f>VLOOKUP(D1520,'[1]Task list &amp; Maintenace plan'!$B:$G,6,FALSE)</f>
        <v>101024</v>
      </c>
      <c r="F1520" s="327" t="s">
        <v>2210</v>
      </c>
      <c r="G1520" s="328" t="s">
        <v>2187</v>
      </c>
      <c r="H1520" s="328" t="s">
        <v>2217</v>
      </c>
      <c r="I1520" s="327">
        <v>60</v>
      </c>
      <c r="J1520" s="327">
        <v>1</v>
      </c>
      <c r="K1520" s="327"/>
      <c r="L1520" s="327"/>
      <c r="M1520" s="327"/>
    </row>
    <row r="1521" spans="1:13" x14ac:dyDescent="0.25">
      <c r="A1521" t="s">
        <v>180</v>
      </c>
      <c r="B1521" s="50" t="s">
        <v>2173</v>
      </c>
      <c r="C1521" s="51"/>
      <c r="D1521" s="326">
        <v>610000004590</v>
      </c>
      <c r="E1521" s="326">
        <f>VLOOKUP(D1521,'[1]Task list &amp; Maintenace plan'!$B:$G,6,FALSE)</f>
        <v>101024</v>
      </c>
      <c r="F1521" s="327" t="s">
        <v>2210</v>
      </c>
      <c r="G1521" s="328" t="s">
        <v>2189</v>
      </c>
      <c r="H1521" s="328" t="s">
        <v>2218</v>
      </c>
      <c r="I1521" s="327">
        <v>60</v>
      </c>
      <c r="J1521" s="327">
        <v>1</v>
      </c>
      <c r="K1521" s="327"/>
      <c r="L1521" s="327"/>
      <c r="M1521" s="327"/>
    </row>
    <row r="1522" spans="1:13" x14ac:dyDescent="0.25">
      <c r="A1522" t="s">
        <v>180</v>
      </c>
      <c r="B1522" s="50" t="s">
        <v>2173</v>
      </c>
      <c r="C1522" s="51"/>
      <c r="D1522" s="326">
        <v>610000004590</v>
      </c>
      <c r="E1522" s="326">
        <f>VLOOKUP(D1522,'[1]Task list &amp; Maintenace plan'!$B:$G,6,FALSE)</f>
        <v>101024</v>
      </c>
      <c r="F1522" s="327" t="s">
        <v>2210</v>
      </c>
      <c r="G1522" s="328" t="s">
        <v>2191</v>
      </c>
      <c r="H1522" s="328" t="s">
        <v>2219</v>
      </c>
      <c r="I1522" s="327">
        <v>60</v>
      </c>
      <c r="J1522" s="327">
        <v>1</v>
      </c>
      <c r="K1522" s="327"/>
      <c r="L1522" s="327"/>
      <c r="M1522" s="327"/>
    </row>
    <row r="1523" spans="1:13" x14ac:dyDescent="0.25">
      <c r="A1523" t="s">
        <v>180</v>
      </c>
      <c r="B1523" s="50" t="s">
        <v>2173</v>
      </c>
      <c r="C1523" s="51"/>
      <c r="D1523" s="326">
        <v>610000004590</v>
      </c>
      <c r="E1523" s="326">
        <f>VLOOKUP(D1523,'[1]Task list &amp; Maintenace plan'!$B:$G,6,FALSE)</f>
        <v>101024</v>
      </c>
      <c r="F1523" s="327" t="s">
        <v>2210</v>
      </c>
      <c r="G1523" s="328" t="s">
        <v>2193</v>
      </c>
      <c r="H1523" s="328" t="s">
        <v>2220</v>
      </c>
      <c r="I1523" s="327">
        <v>60</v>
      </c>
      <c r="J1523" s="327">
        <v>1</v>
      </c>
      <c r="K1523" s="327"/>
      <c r="L1523" s="327"/>
      <c r="M1523" s="327"/>
    </row>
    <row r="1524" spans="1:13" x14ac:dyDescent="0.25">
      <c r="A1524" t="s">
        <v>180</v>
      </c>
      <c r="B1524" s="50" t="s">
        <v>2173</v>
      </c>
      <c r="C1524" s="51"/>
      <c r="D1524" s="337">
        <v>610000004590</v>
      </c>
      <c r="E1524" s="337">
        <f>VLOOKUP(D1524,'[1]Task list &amp; Maintenace plan'!$B:$G,6,FALSE)</f>
        <v>101024</v>
      </c>
      <c r="F1524" s="338" t="s">
        <v>2210</v>
      </c>
      <c r="G1524" s="339" t="s">
        <v>2195</v>
      </c>
      <c r="H1524" s="339" t="s">
        <v>2221</v>
      </c>
      <c r="I1524" s="338">
        <v>60</v>
      </c>
      <c r="J1524" s="338">
        <v>1</v>
      </c>
      <c r="K1524" s="338"/>
      <c r="L1524" s="338"/>
      <c r="M1524" s="338"/>
    </row>
    <row r="1525" spans="1:13" x14ac:dyDescent="0.25">
      <c r="A1525" t="s">
        <v>180</v>
      </c>
      <c r="B1525" s="50" t="s">
        <v>2173</v>
      </c>
      <c r="C1525" s="51"/>
      <c r="D1525" s="340">
        <v>610000004591</v>
      </c>
      <c r="E1525" s="340">
        <f>VLOOKUP(D1525,'[1]Task list &amp; Maintenace plan'!$B:$G,6,FALSE)</f>
        <v>101025</v>
      </c>
      <c r="F1525" s="341" t="s">
        <v>2222</v>
      </c>
      <c r="G1525" s="342" t="s">
        <v>2174</v>
      </c>
      <c r="H1525" s="342" t="s">
        <v>2223</v>
      </c>
      <c r="I1525" s="341">
        <v>90</v>
      </c>
      <c r="J1525" s="341"/>
      <c r="K1525" s="341"/>
      <c r="L1525" s="341"/>
      <c r="M1525" s="341"/>
    </row>
    <row r="1526" spans="1:13" x14ac:dyDescent="0.25">
      <c r="A1526" t="s">
        <v>180</v>
      </c>
      <c r="B1526" s="50" t="s">
        <v>2173</v>
      </c>
      <c r="C1526" s="51"/>
      <c r="D1526" s="326">
        <v>610000004591</v>
      </c>
      <c r="E1526" s="326">
        <f>VLOOKUP(D1526,'[1]Task list &amp; Maintenace plan'!$B:$G,6,FALSE)</f>
        <v>101025</v>
      </c>
      <c r="F1526" s="327" t="s">
        <v>2222</v>
      </c>
      <c r="G1526" s="328" t="s">
        <v>2177</v>
      </c>
      <c r="H1526" s="328" t="s">
        <v>2224</v>
      </c>
      <c r="I1526" s="327">
        <v>90</v>
      </c>
      <c r="J1526" s="327"/>
      <c r="K1526" s="327"/>
      <c r="L1526" s="327"/>
      <c r="M1526" s="327"/>
    </row>
    <row r="1527" spans="1:13" x14ac:dyDescent="0.25">
      <c r="A1527" t="s">
        <v>180</v>
      </c>
      <c r="B1527" s="50" t="s">
        <v>2173</v>
      </c>
      <c r="C1527" s="51"/>
      <c r="D1527" s="326">
        <v>610000004591</v>
      </c>
      <c r="E1527" s="326">
        <f>VLOOKUP(D1527,'[1]Task list &amp; Maintenace plan'!$B:$G,6,FALSE)</f>
        <v>101025</v>
      </c>
      <c r="F1527" s="327" t="s">
        <v>2222</v>
      </c>
      <c r="G1527" s="328" t="s">
        <v>2179</v>
      </c>
      <c r="H1527" s="328" t="s">
        <v>2225</v>
      </c>
      <c r="I1527" s="327">
        <v>90</v>
      </c>
      <c r="J1527" s="327"/>
      <c r="K1527" s="327"/>
      <c r="L1527" s="327"/>
      <c r="M1527" s="327"/>
    </row>
    <row r="1528" spans="1:13" x14ac:dyDescent="0.25">
      <c r="A1528" t="s">
        <v>180</v>
      </c>
      <c r="B1528" s="50" t="s">
        <v>2173</v>
      </c>
      <c r="C1528" s="51"/>
      <c r="D1528" s="326">
        <v>610000004591</v>
      </c>
      <c r="E1528" s="326">
        <f>VLOOKUP(D1528,'[1]Task list &amp; Maintenace plan'!$B:$G,6,FALSE)</f>
        <v>101025</v>
      </c>
      <c r="F1528" s="327" t="s">
        <v>2222</v>
      </c>
      <c r="G1528" s="328" t="s">
        <v>2181</v>
      </c>
      <c r="H1528" s="328" t="s">
        <v>2226</v>
      </c>
      <c r="I1528" s="327">
        <v>90</v>
      </c>
      <c r="J1528" s="327"/>
      <c r="K1528" s="327"/>
      <c r="L1528" s="327"/>
      <c r="M1528" s="327"/>
    </row>
    <row r="1529" spans="1:13" x14ac:dyDescent="0.25">
      <c r="A1529" t="s">
        <v>180</v>
      </c>
      <c r="B1529" s="50" t="s">
        <v>2173</v>
      </c>
      <c r="C1529" s="51"/>
      <c r="D1529" s="326">
        <v>610000004591</v>
      </c>
      <c r="E1529" s="326">
        <f>VLOOKUP(D1529,'[1]Task list &amp; Maintenace plan'!$B:$G,6,FALSE)</f>
        <v>101025</v>
      </c>
      <c r="F1529" s="327" t="s">
        <v>2222</v>
      </c>
      <c r="G1529" s="328" t="s">
        <v>2183</v>
      </c>
      <c r="H1529" s="328" t="s">
        <v>2227</v>
      </c>
      <c r="I1529" s="327">
        <v>90</v>
      </c>
      <c r="J1529" s="327"/>
      <c r="K1529" s="327"/>
      <c r="L1529" s="327"/>
      <c r="M1529" s="327"/>
    </row>
    <row r="1530" spans="1:13" x14ac:dyDescent="0.25">
      <c r="A1530" t="s">
        <v>180</v>
      </c>
      <c r="B1530" s="50" t="s">
        <v>2173</v>
      </c>
      <c r="C1530" s="51"/>
      <c r="D1530" s="326">
        <v>610000004591</v>
      </c>
      <c r="E1530" s="326">
        <f>VLOOKUP(D1530,'[1]Task list &amp; Maintenace plan'!$B:$G,6,FALSE)</f>
        <v>101025</v>
      </c>
      <c r="F1530" s="327" t="s">
        <v>2222</v>
      </c>
      <c r="G1530" s="328" t="s">
        <v>2185</v>
      </c>
      <c r="H1530" s="328" t="s">
        <v>2228</v>
      </c>
      <c r="I1530" s="327">
        <v>90</v>
      </c>
      <c r="J1530" s="327"/>
      <c r="K1530" s="327"/>
      <c r="L1530" s="327"/>
      <c r="M1530" s="327"/>
    </row>
    <row r="1531" spans="1:13" x14ac:dyDescent="0.25">
      <c r="A1531" t="s">
        <v>180</v>
      </c>
      <c r="B1531" s="50" t="s">
        <v>2173</v>
      </c>
      <c r="C1531" s="51"/>
      <c r="D1531" s="326">
        <v>610000004591</v>
      </c>
      <c r="E1531" s="326">
        <f>VLOOKUP(D1531,'[1]Task list &amp; Maintenace plan'!$B:$G,6,FALSE)</f>
        <v>101025</v>
      </c>
      <c r="F1531" s="327" t="s">
        <v>2222</v>
      </c>
      <c r="G1531" s="328" t="s">
        <v>2187</v>
      </c>
      <c r="H1531" s="328" t="s">
        <v>2229</v>
      </c>
      <c r="I1531" s="327">
        <v>90</v>
      </c>
      <c r="J1531" s="327"/>
      <c r="K1531" s="327"/>
      <c r="L1531" s="327"/>
      <c r="M1531" s="327"/>
    </row>
    <row r="1532" spans="1:13" x14ac:dyDescent="0.25">
      <c r="A1532" t="s">
        <v>180</v>
      </c>
      <c r="B1532" s="50" t="s">
        <v>2173</v>
      </c>
      <c r="C1532" s="51"/>
      <c r="D1532" s="326">
        <v>610000004591</v>
      </c>
      <c r="E1532" s="326">
        <f>VLOOKUP(D1532,'[1]Task list &amp; Maintenace plan'!$B:$G,6,FALSE)</f>
        <v>101025</v>
      </c>
      <c r="F1532" s="327" t="s">
        <v>2222</v>
      </c>
      <c r="G1532" s="328" t="s">
        <v>2189</v>
      </c>
      <c r="H1532" s="328" t="s">
        <v>2230</v>
      </c>
      <c r="I1532" s="327">
        <v>90</v>
      </c>
      <c r="J1532" s="327"/>
      <c r="K1532" s="327"/>
      <c r="L1532" s="327"/>
      <c r="M1532" s="327"/>
    </row>
    <row r="1533" spans="1:13" x14ac:dyDescent="0.25">
      <c r="A1533" t="s">
        <v>180</v>
      </c>
      <c r="B1533" s="50" t="s">
        <v>2173</v>
      </c>
      <c r="C1533" s="51"/>
      <c r="D1533" s="326">
        <v>610000004591</v>
      </c>
      <c r="E1533" s="326">
        <f>VLOOKUP(D1533,'[1]Task list &amp; Maintenace plan'!$B:$G,6,FALSE)</f>
        <v>101025</v>
      </c>
      <c r="F1533" s="327" t="s">
        <v>2222</v>
      </c>
      <c r="G1533" s="328" t="s">
        <v>2191</v>
      </c>
      <c r="H1533" s="328" t="s">
        <v>2231</v>
      </c>
      <c r="I1533" s="327">
        <v>90</v>
      </c>
      <c r="J1533" s="327"/>
      <c r="K1533" s="327"/>
      <c r="L1533" s="327"/>
      <c r="M1533" s="327"/>
    </row>
    <row r="1534" spans="1:13" x14ac:dyDescent="0.25">
      <c r="A1534" t="s">
        <v>180</v>
      </c>
      <c r="B1534" s="50" t="s">
        <v>2173</v>
      </c>
      <c r="C1534" s="51"/>
      <c r="D1534" s="326">
        <v>610000004591</v>
      </c>
      <c r="E1534" s="326">
        <f>VLOOKUP(D1534,'[1]Task list &amp; Maintenace plan'!$B:$G,6,FALSE)</f>
        <v>101025</v>
      </c>
      <c r="F1534" s="327" t="s">
        <v>2222</v>
      </c>
      <c r="G1534" s="328" t="s">
        <v>2193</v>
      </c>
      <c r="H1534" s="328" t="s">
        <v>2232</v>
      </c>
      <c r="I1534" s="327">
        <v>90</v>
      </c>
      <c r="J1534" s="327"/>
      <c r="K1534" s="327"/>
      <c r="L1534" s="327"/>
      <c r="M1534" s="327"/>
    </row>
    <row r="1535" spans="1:13" x14ac:dyDescent="0.25">
      <c r="A1535" t="s">
        <v>180</v>
      </c>
      <c r="B1535" s="50" t="s">
        <v>2173</v>
      </c>
      <c r="C1535" s="51"/>
      <c r="D1535" s="337">
        <v>610000004591</v>
      </c>
      <c r="E1535" s="337">
        <f>VLOOKUP(D1535,'[1]Task list &amp; Maintenace plan'!$B:$G,6,FALSE)</f>
        <v>101025</v>
      </c>
      <c r="F1535" s="338" t="s">
        <v>2222</v>
      </c>
      <c r="G1535" s="339" t="s">
        <v>2195</v>
      </c>
      <c r="H1535" s="339" t="s">
        <v>2233</v>
      </c>
      <c r="I1535" s="338">
        <v>90</v>
      </c>
      <c r="J1535" s="338"/>
      <c r="K1535" s="338"/>
      <c r="L1535" s="338"/>
      <c r="M1535" s="338"/>
    </row>
    <row r="1536" spans="1:13" x14ac:dyDescent="0.25">
      <c r="A1536" t="s">
        <v>180</v>
      </c>
      <c r="B1536" s="50" t="s">
        <v>2173</v>
      </c>
      <c r="C1536" s="51"/>
      <c r="D1536" s="369">
        <v>357638</v>
      </c>
      <c r="E1536" s="369">
        <f>VLOOKUP(D1536,'[1]Task list &amp; Maintenace plan'!$B:$G,6,FALSE)</f>
        <v>2052</v>
      </c>
      <c r="F1536" s="370" t="s">
        <v>2234</v>
      </c>
      <c r="G1536" s="371" t="s">
        <v>2235</v>
      </c>
      <c r="H1536" s="371" t="s">
        <v>2236</v>
      </c>
      <c r="I1536" s="370">
        <v>180</v>
      </c>
      <c r="J1536" s="370">
        <v>1</v>
      </c>
      <c r="K1536" s="370"/>
      <c r="L1536" s="370"/>
      <c r="M1536" s="370"/>
    </row>
    <row r="1537" spans="1:13" x14ac:dyDescent="0.25">
      <c r="A1537" t="s">
        <v>180</v>
      </c>
      <c r="B1537" s="50" t="s">
        <v>2173</v>
      </c>
      <c r="C1537" s="51"/>
      <c r="D1537" s="334">
        <v>358792</v>
      </c>
      <c r="E1537" s="334">
        <f>VLOOKUP(D1537,'[1]Task list &amp; Maintenace plan'!$B:$G,6,FALSE)</f>
        <v>2737</v>
      </c>
      <c r="F1537" s="335" t="s">
        <v>2237</v>
      </c>
      <c r="G1537" s="336" t="s">
        <v>2238</v>
      </c>
      <c r="H1537" s="336" t="s">
        <v>2239</v>
      </c>
      <c r="I1537" s="335">
        <v>365</v>
      </c>
      <c r="J1537" s="335"/>
      <c r="K1537" s="335"/>
      <c r="L1537" s="335"/>
      <c r="M1537" s="335"/>
    </row>
    <row r="1538" spans="1:13" x14ac:dyDescent="0.25">
      <c r="A1538" t="s">
        <v>180</v>
      </c>
      <c r="B1538" s="50" t="s">
        <v>2173</v>
      </c>
      <c r="C1538" s="51"/>
      <c r="D1538" s="326">
        <v>358792</v>
      </c>
      <c r="E1538" s="326">
        <f>VLOOKUP(D1538,'[1]Task list &amp; Maintenace plan'!$B:$G,6,FALSE)</f>
        <v>2737</v>
      </c>
      <c r="F1538" s="327" t="s">
        <v>2237</v>
      </c>
      <c r="G1538" s="328" t="s">
        <v>2179</v>
      </c>
      <c r="H1538" s="328" t="s">
        <v>2240</v>
      </c>
      <c r="I1538" s="327">
        <v>365</v>
      </c>
      <c r="J1538" s="327"/>
      <c r="K1538" s="327"/>
      <c r="L1538" s="327"/>
      <c r="M1538" s="327"/>
    </row>
    <row r="1539" spans="1:13" x14ac:dyDescent="0.25">
      <c r="A1539" t="s">
        <v>180</v>
      </c>
      <c r="B1539" s="50" t="s">
        <v>2173</v>
      </c>
      <c r="C1539" s="51"/>
      <c r="D1539" s="326">
        <v>358792</v>
      </c>
      <c r="E1539" s="326">
        <f>VLOOKUP(D1539,'[1]Task list &amp; Maintenace plan'!$B:$G,6,FALSE)</f>
        <v>2737</v>
      </c>
      <c r="F1539" s="327" t="s">
        <v>2237</v>
      </c>
      <c r="G1539" s="328" t="s">
        <v>2183</v>
      </c>
      <c r="H1539" s="328" t="s">
        <v>2240</v>
      </c>
      <c r="I1539" s="327">
        <v>365</v>
      </c>
      <c r="J1539" s="327"/>
      <c r="K1539" s="327"/>
      <c r="L1539" s="327"/>
      <c r="M1539" s="327"/>
    </row>
    <row r="1540" spans="1:13" x14ac:dyDescent="0.25">
      <c r="A1540" t="s">
        <v>180</v>
      </c>
      <c r="B1540" s="50" t="s">
        <v>2173</v>
      </c>
      <c r="C1540" s="51"/>
      <c r="D1540" s="326">
        <v>358792</v>
      </c>
      <c r="E1540" s="326">
        <f>VLOOKUP(D1540,'[1]Task list &amp; Maintenace plan'!$B:$G,6,FALSE)</f>
        <v>2737</v>
      </c>
      <c r="F1540" s="327" t="s">
        <v>2237</v>
      </c>
      <c r="G1540" s="328" t="s">
        <v>2187</v>
      </c>
      <c r="H1540" s="328" t="s">
        <v>2240</v>
      </c>
      <c r="I1540" s="327">
        <v>365</v>
      </c>
      <c r="J1540" s="327"/>
      <c r="K1540" s="327"/>
      <c r="L1540" s="327"/>
      <c r="M1540" s="327"/>
    </row>
    <row r="1541" spans="1:13" ht="15.75" thickBot="1" x14ac:dyDescent="0.3">
      <c r="A1541" t="s">
        <v>180</v>
      </c>
      <c r="B1541" s="50" t="s">
        <v>2173</v>
      </c>
      <c r="C1541" s="214"/>
      <c r="D1541" s="366">
        <v>358792</v>
      </c>
      <c r="E1541" s="366">
        <f>VLOOKUP(D1541,'[1]Task list &amp; Maintenace plan'!$B:$G,6,FALSE)</f>
        <v>2737</v>
      </c>
      <c r="F1541" s="367" t="s">
        <v>2237</v>
      </c>
      <c r="G1541" s="368" t="s">
        <v>2134</v>
      </c>
      <c r="H1541" s="368" t="s">
        <v>2241</v>
      </c>
      <c r="I1541" s="367">
        <v>365</v>
      </c>
      <c r="J1541" s="367"/>
      <c r="K1541" s="367"/>
      <c r="L1541" s="367"/>
      <c r="M1541" s="367"/>
    </row>
    <row r="1542" spans="1:13" x14ac:dyDescent="0.25">
      <c r="A1542" t="s">
        <v>180</v>
      </c>
      <c r="B1542" s="50" t="s">
        <v>2242</v>
      </c>
      <c r="C1542" s="51"/>
      <c r="D1542" s="326">
        <v>610000004592</v>
      </c>
      <c r="E1542" s="326">
        <f>VLOOKUP(D1542,'[1]Task list &amp; Maintenace plan'!$B:$G,6,FALSE)</f>
        <v>101026</v>
      </c>
      <c r="F1542" s="327" t="s">
        <v>2243</v>
      </c>
      <c r="G1542" s="348" t="s">
        <v>2244</v>
      </c>
      <c r="H1542" s="328" t="s">
        <v>2245</v>
      </c>
      <c r="I1542" s="327">
        <v>15</v>
      </c>
      <c r="J1542" s="327"/>
      <c r="K1542" s="327"/>
      <c r="L1542" s="327"/>
      <c r="M1542" s="327"/>
    </row>
    <row r="1543" spans="1:13" x14ac:dyDescent="0.25">
      <c r="A1543" t="s">
        <v>180</v>
      </c>
      <c r="B1543" s="50" t="s">
        <v>2242</v>
      </c>
      <c r="C1543" s="51"/>
      <c r="D1543" s="326">
        <v>610000004592</v>
      </c>
      <c r="E1543" s="326">
        <f>VLOOKUP(D1543,'[1]Task list &amp; Maintenace plan'!$B:$G,6,FALSE)</f>
        <v>101026</v>
      </c>
      <c r="F1543" s="327" t="s">
        <v>2243</v>
      </c>
      <c r="G1543" s="348" t="s">
        <v>2246</v>
      </c>
      <c r="H1543" s="328" t="s">
        <v>2247</v>
      </c>
      <c r="I1543" s="327">
        <v>15</v>
      </c>
      <c r="J1543" s="327"/>
      <c r="K1543" s="327"/>
      <c r="L1543" s="327"/>
      <c r="M1543" s="327"/>
    </row>
    <row r="1544" spans="1:13" x14ac:dyDescent="0.25">
      <c r="A1544" t="s">
        <v>180</v>
      </c>
      <c r="B1544" s="50" t="s">
        <v>2242</v>
      </c>
      <c r="C1544" s="51"/>
      <c r="D1544" s="369">
        <v>610000004593</v>
      </c>
      <c r="E1544" s="369">
        <f>VLOOKUP(D1544,'[1]Task list &amp; Maintenace plan'!$B:$G,6,FALSE)</f>
        <v>101027</v>
      </c>
      <c r="F1544" s="370" t="s">
        <v>2248</v>
      </c>
      <c r="G1544" s="371" t="s">
        <v>273</v>
      </c>
      <c r="H1544" s="371" t="s">
        <v>287</v>
      </c>
      <c r="I1544" s="370">
        <v>30</v>
      </c>
      <c r="J1544" s="370"/>
      <c r="K1544" s="370"/>
      <c r="L1544" s="370"/>
      <c r="M1544" s="370"/>
    </row>
    <row r="1545" spans="1:13" x14ac:dyDescent="0.25">
      <c r="A1545" t="s">
        <v>180</v>
      </c>
      <c r="B1545" s="50" t="s">
        <v>2242</v>
      </c>
      <c r="C1545" s="51"/>
      <c r="D1545" s="340">
        <v>610000004594</v>
      </c>
      <c r="E1545" s="340">
        <f>VLOOKUP(D1545,'[1]Task list &amp; Maintenace plan'!$B:$G,6,FALSE)</f>
        <v>101028</v>
      </c>
      <c r="F1545" s="341" t="s">
        <v>2249</v>
      </c>
      <c r="G1545" s="342" t="s">
        <v>271</v>
      </c>
      <c r="H1545" s="342" t="s">
        <v>2250</v>
      </c>
      <c r="I1545" s="341">
        <v>30</v>
      </c>
      <c r="J1545" s="341"/>
      <c r="K1545" s="341"/>
      <c r="L1545" s="341"/>
      <c r="M1545" s="341"/>
    </row>
    <row r="1546" spans="1:13" x14ac:dyDescent="0.25">
      <c r="A1546" t="s">
        <v>180</v>
      </c>
      <c r="B1546" s="50" t="s">
        <v>2242</v>
      </c>
      <c r="C1546" s="51"/>
      <c r="D1546" s="326">
        <v>610000004594</v>
      </c>
      <c r="E1546" s="326">
        <f>VLOOKUP(D1546,'[1]Task list &amp; Maintenace plan'!$B:$G,6,FALSE)</f>
        <v>101028</v>
      </c>
      <c r="F1546" s="327" t="s">
        <v>2249</v>
      </c>
      <c r="G1546" s="328" t="s">
        <v>2244</v>
      </c>
      <c r="H1546" s="328" t="s">
        <v>2251</v>
      </c>
      <c r="I1546" s="327">
        <v>30</v>
      </c>
      <c r="J1546" s="327"/>
      <c r="K1546" s="327"/>
      <c r="L1546" s="327"/>
      <c r="M1546" s="327"/>
    </row>
    <row r="1547" spans="1:13" x14ac:dyDescent="0.25">
      <c r="A1547" t="s">
        <v>180</v>
      </c>
      <c r="B1547" s="50" t="s">
        <v>2242</v>
      </c>
      <c r="C1547" s="51"/>
      <c r="D1547" s="326">
        <v>610000004594</v>
      </c>
      <c r="E1547" s="326">
        <f>VLOOKUP(D1547,'[1]Task list &amp; Maintenace plan'!$B:$G,6,FALSE)</f>
        <v>101028</v>
      </c>
      <c r="F1547" s="327" t="s">
        <v>2249</v>
      </c>
      <c r="G1547" s="328" t="s">
        <v>2246</v>
      </c>
      <c r="H1547" s="328" t="s">
        <v>2253</v>
      </c>
      <c r="I1547" s="327">
        <v>30</v>
      </c>
      <c r="J1547" s="327"/>
      <c r="K1547" s="327"/>
      <c r="L1547" s="327"/>
      <c r="M1547" s="327"/>
    </row>
    <row r="1548" spans="1:13" x14ac:dyDescent="0.25">
      <c r="A1548" t="s">
        <v>180</v>
      </c>
      <c r="B1548" s="50" t="s">
        <v>2242</v>
      </c>
      <c r="C1548" s="51"/>
      <c r="D1548" s="326">
        <v>610000004594</v>
      </c>
      <c r="E1548" s="326">
        <f>VLOOKUP(D1548,'[1]Task list &amp; Maintenace plan'!$B:$G,6,FALSE)</f>
        <v>101028</v>
      </c>
      <c r="F1548" s="327" t="s">
        <v>2249</v>
      </c>
      <c r="G1548" s="328" t="s">
        <v>279</v>
      </c>
      <c r="H1548" s="328" t="s">
        <v>283</v>
      </c>
      <c r="I1548" s="327">
        <v>30</v>
      </c>
      <c r="J1548" s="327"/>
      <c r="K1548" s="327"/>
      <c r="L1548" s="327"/>
      <c r="M1548" s="327"/>
    </row>
    <row r="1549" spans="1:13" x14ac:dyDescent="0.25">
      <c r="A1549" t="s">
        <v>180</v>
      </c>
      <c r="B1549" s="50" t="s">
        <v>2242</v>
      </c>
      <c r="C1549" s="51"/>
      <c r="D1549" s="326">
        <v>610000004594</v>
      </c>
      <c r="E1549" s="326">
        <f>VLOOKUP(D1549,'[1]Task list &amp; Maintenace plan'!$B:$G,6,FALSE)</f>
        <v>101028</v>
      </c>
      <c r="F1549" s="327" t="s">
        <v>2249</v>
      </c>
      <c r="G1549" s="328" t="s">
        <v>273</v>
      </c>
      <c r="H1549" s="328" t="s">
        <v>284</v>
      </c>
      <c r="I1549" s="327">
        <v>30</v>
      </c>
      <c r="J1549" s="327"/>
      <c r="K1549" s="327"/>
      <c r="L1549" s="327"/>
      <c r="M1549" s="327"/>
    </row>
    <row r="1550" spans="1:13" x14ac:dyDescent="0.25">
      <c r="A1550" t="s">
        <v>180</v>
      </c>
      <c r="B1550" s="50" t="s">
        <v>2242</v>
      </c>
      <c r="C1550" s="51"/>
      <c r="D1550" s="337">
        <v>610000004594</v>
      </c>
      <c r="E1550" s="337">
        <f>VLOOKUP(D1550,'[1]Task list &amp; Maintenace plan'!$B:$G,6,FALSE)</f>
        <v>101028</v>
      </c>
      <c r="F1550" s="338" t="s">
        <v>2249</v>
      </c>
      <c r="G1550" s="339" t="s">
        <v>2252</v>
      </c>
      <c r="H1550" s="339" t="s">
        <v>2254</v>
      </c>
      <c r="I1550" s="338">
        <v>30</v>
      </c>
      <c r="J1550" s="338"/>
      <c r="K1550" s="338"/>
      <c r="L1550" s="338"/>
      <c r="M1550" s="338"/>
    </row>
    <row r="1551" spans="1:13" x14ac:dyDescent="0.25">
      <c r="A1551" t="s">
        <v>180</v>
      </c>
      <c r="B1551" s="50" t="s">
        <v>2242</v>
      </c>
      <c r="C1551" s="51"/>
      <c r="D1551" s="352">
        <v>344291</v>
      </c>
      <c r="E1551" s="352">
        <f>VLOOKUP(D1551,'[1]Task list &amp; Maintenace plan'!$B:$G,6,FALSE)</f>
        <v>797</v>
      </c>
      <c r="F1551" s="353" t="s">
        <v>2255</v>
      </c>
      <c r="G1551" s="61" t="s">
        <v>273</v>
      </c>
      <c r="H1551" s="61" t="s">
        <v>2256</v>
      </c>
      <c r="I1551" s="353">
        <v>15</v>
      </c>
      <c r="J1551" s="353">
        <v>1</v>
      </c>
      <c r="K1551" s="353"/>
      <c r="L1551" s="353"/>
      <c r="M1551" s="353"/>
    </row>
    <row r="1552" spans="1:13" x14ac:dyDescent="0.25">
      <c r="A1552" t="s">
        <v>180</v>
      </c>
      <c r="B1552" s="50" t="s">
        <v>2242</v>
      </c>
      <c r="C1552" s="51"/>
      <c r="D1552" s="340">
        <v>610000004596</v>
      </c>
      <c r="E1552" s="340">
        <f>VLOOKUP(D1552,'[1]Task list &amp; Maintenace plan'!$B:$G,6,FALSE)</f>
        <v>101030</v>
      </c>
      <c r="F1552" s="341" t="s">
        <v>2257</v>
      </c>
      <c r="G1552" s="342" t="s">
        <v>271</v>
      </c>
      <c r="H1552" s="342" t="s">
        <v>290</v>
      </c>
      <c r="I1552" s="341">
        <v>60</v>
      </c>
      <c r="J1552" s="341">
        <v>1</v>
      </c>
      <c r="K1552" s="341"/>
      <c r="L1552" s="341"/>
      <c r="M1552" s="341"/>
    </row>
    <row r="1553" spans="1:13" x14ac:dyDescent="0.25">
      <c r="A1553" t="s">
        <v>180</v>
      </c>
      <c r="B1553" s="50" t="s">
        <v>2242</v>
      </c>
      <c r="C1553" s="51"/>
      <c r="D1553" s="326">
        <v>610000004596</v>
      </c>
      <c r="E1553" s="326">
        <f>VLOOKUP(D1553,'[1]Task list &amp; Maintenace plan'!$B:$G,6,FALSE)</f>
        <v>101030</v>
      </c>
      <c r="F1553" s="327" t="s">
        <v>2257</v>
      </c>
      <c r="G1553" s="328" t="s">
        <v>2244</v>
      </c>
      <c r="H1553" s="328" t="s">
        <v>2258</v>
      </c>
      <c r="I1553" s="327">
        <v>60</v>
      </c>
      <c r="J1553" s="327">
        <v>1</v>
      </c>
      <c r="K1553" s="327"/>
      <c r="L1553" s="327"/>
      <c r="M1553" s="327"/>
    </row>
    <row r="1554" spans="1:13" x14ac:dyDescent="0.25">
      <c r="A1554" t="s">
        <v>180</v>
      </c>
      <c r="B1554" s="50" t="s">
        <v>2242</v>
      </c>
      <c r="C1554" s="51"/>
      <c r="D1554" s="326">
        <v>610000004596</v>
      </c>
      <c r="E1554" s="326">
        <f>VLOOKUP(D1554,'[1]Task list &amp; Maintenace plan'!$B:$G,6,FALSE)</f>
        <v>101030</v>
      </c>
      <c r="F1554" s="327" t="s">
        <v>2257</v>
      </c>
      <c r="G1554" s="328" t="s">
        <v>2246</v>
      </c>
      <c r="H1554" s="328" t="s">
        <v>2259</v>
      </c>
      <c r="I1554" s="327">
        <v>60</v>
      </c>
      <c r="J1554" s="327">
        <v>1</v>
      </c>
      <c r="K1554" s="327"/>
      <c r="L1554" s="327"/>
      <c r="M1554" s="327"/>
    </row>
    <row r="1555" spans="1:13" x14ac:dyDescent="0.25">
      <c r="A1555" t="s">
        <v>180</v>
      </c>
      <c r="B1555" s="50" t="s">
        <v>2242</v>
      </c>
      <c r="C1555" s="51"/>
      <c r="D1555" s="326">
        <v>610000004596</v>
      </c>
      <c r="E1555" s="326">
        <f>VLOOKUP(D1555,'[1]Task list &amp; Maintenace plan'!$B:$G,6,FALSE)</f>
        <v>101030</v>
      </c>
      <c r="F1555" s="327" t="s">
        <v>2257</v>
      </c>
      <c r="G1555" s="328" t="s">
        <v>279</v>
      </c>
      <c r="H1555" s="328" t="s">
        <v>292</v>
      </c>
      <c r="I1555" s="327">
        <v>60</v>
      </c>
      <c r="J1555" s="327">
        <v>1</v>
      </c>
      <c r="K1555" s="327"/>
      <c r="L1555" s="327"/>
      <c r="M1555" s="327"/>
    </row>
    <row r="1556" spans="1:13" x14ac:dyDescent="0.25">
      <c r="A1556" t="s">
        <v>180</v>
      </c>
      <c r="B1556" s="50" t="s">
        <v>2242</v>
      </c>
      <c r="C1556" s="51"/>
      <c r="D1556" s="337">
        <v>610000004596</v>
      </c>
      <c r="E1556" s="337">
        <f>VLOOKUP(D1556,'[1]Task list &amp; Maintenace plan'!$B:$G,6,FALSE)</f>
        <v>101030</v>
      </c>
      <c r="F1556" s="338" t="s">
        <v>2257</v>
      </c>
      <c r="G1556" s="339" t="s">
        <v>2252</v>
      </c>
      <c r="H1556" s="339" t="s">
        <v>2260</v>
      </c>
      <c r="I1556" s="338">
        <v>60</v>
      </c>
      <c r="J1556" s="338">
        <v>1</v>
      </c>
      <c r="K1556" s="338"/>
      <c r="L1556" s="338"/>
      <c r="M1556" s="338"/>
    </row>
    <row r="1557" spans="1:13" x14ac:dyDescent="0.25">
      <c r="A1557" t="s">
        <v>180</v>
      </c>
      <c r="B1557" s="50" t="s">
        <v>2242</v>
      </c>
      <c r="C1557" s="51"/>
      <c r="D1557" s="340">
        <v>610000004597</v>
      </c>
      <c r="E1557" s="340">
        <f>VLOOKUP(D1557,'[1]Task list &amp; Maintenace plan'!$B:$G,6,FALSE)</f>
        <v>101031</v>
      </c>
      <c r="F1557" s="341" t="s">
        <v>2261</v>
      </c>
      <c r="G1557" s="342" t="s">
        <v>271</v>
      </c>
      <c r="H1557" s="342" t="s">
        <v>379</v>
      </c>
      <c r="I1557" s="341">
        <v>90</v>
      </c>
      <c r="J1557" s="341"/>
      <c r="K1557" s="341"/>
      <c r="L1557" s="341"/>
      <c r="M1557" s="341"/>
    </row>
    <row r="1558" spans="1:13" x14ac:dyDescent="0.25">
      <c r="A1558" t="s">
        <v>180</v>
      </c>
      <c r="B1558" s="50" t="s">
        <v>2242</v>
      </c>
      <c r="C1558" s="51"/>
      <c r="D1558" s="326">
        <v>610000004597</v>
      </c>
      <c r="E1558" s="326">
        <f>VLOOKUP(D1558,'[1]Task list &amp; Maintenace plan'!$B:$G,6,FALSE)</f>
        <v>101031</v>
      </c>
      <c r="F1558" s="327" t="s">
        <v>2261</v>
      </c>
      <c r="G1558" s="328" t="s">
        <v>2244</v>
      </c>
      <c r="H1558" s="328" t="s">
        <v>2262</v>
      </c>
      <c r="I1558" s="327">
        <v>90</v>
      </c>
      <c r="J1558" s="327"/>
      <c r="K1558" s="327"/>
      <c r="L1558" s="327"/>
      <c r="M1558" s="327"/>
    </row>
    <row r="1559" spans="1:13" x14ac:dyDescent="0.25">
      <c r="A1559" t="s">
        <v>180</v>
      </c>
      <c r="B1559" s="50" t="s">
        <v>2242</v>
      </c>
      <c r="C1559" s="51"/>
      <c r="D1559" s="326">
        <v>610000004597</v>
      </c>
      <c r="E1559" s="326">
        <f>VLOOKUP(D1559,'[1]Task list &amp; Maintenace plan'!$B:$G,6,FALSE)</f>
        <v>101031</v>
      </c>
      <c r="F1559" s="327" t="s">
        <v>2261</v>
      </c>
      <c r="G1559" s="328" t="s">
        <v>2246</v>
      </c>
      <c r="H1559" s="328" t="s">
        <v>2263</v>
      </c>
      <c r="I1559" s="327">
        <v>90</v>
      </c>
      <c r="J1559" s="327"/>
      <c r="K1559" s="327"/>
      <c r="L1559" s="327"/>
      <c r="M1559" s="327"/>
    </row>
    <row r="1560" spans="1:13" x14ac:dyDescent="0.25">
      <c r="A1560" t="s">
        <v>180</v>
      </c>
      <c r="B1560" s="50" t="s">
        <v>2242</v>
      </c>
      <c r="C1560" s="51"/>
      <c r="D1560" s="326">
        <v>610000004597</v>
      </c>
      <c r="E1560" s="326">
        <f>VLOOKUP(D1560,'[1]Task list &amp; Maintenace plan'!$B:$G,6,FALSE)</f>
        <v>101031</v>
      </c>
      <c r="F1560" s="327" t="s">
        <v>2261</v>
      </c>
      <c r="G1560" s="328" t="s">
        <v>279</v>
      </c>
      <c r="H1560" s="328" t="s">
        <v>381</v>
      </c>
      <c r="I1560" s="327">
        <v>90</v>
      </c>
      <c r="J1560" s="327"/>
      <c r="K1560" s="327"/>
      <c r="L1560" s="327"/>
      <c r="M1560" s="327"/>
    </row>
    <row r="1561" spans="1:13" x14ac:dyDescent="0.25">
      <c r="A1561" t="s">
        <v>180</v>
      </c>
      <c r="B1561" s="50" t="s">
        <v>2242</v>
      </c>
      <c r="C1561" s="51"/>
      <c r="D1561" s="326">
        <v>610000004597</v>
      </c>
      <c r="E1561" s="326">
        <f>VLOOKUP(D1561,'[1]Task list &amp; Maintenace plan'!$B:$G,6,FALSE)</f>
        <v>101031</v>
      </c>
      <c r="F1561" s="327" t="s">
        <v>2261</v>
      </c>
      <c r="G1561" s="328" t="s">
        <v>273</v>
      </c>
      <c r="H1561" s="328" t="s">
        <v>2264</v>
      </c>
      <c r="I1561" s="327">
        <v>90</v>
      </c>
      <c r="J1561" s="327"/>
      <c r="K1561" s="327"/>
      <c r="L1561" s="327"/>
      <c r="M1561" s="327"/>
    </row>
    <row r="1562" spans="1:13" x14ac:dyDescent="0.25">
      <c r="A1562" t="s">
        <v>180</v>
      </c>
      <c r="B1562" s="50" t="s">
        <v>2242</v>
      </c>
      <c r="C1562" s="51"/>
      <c r="D1562" s="372">
        <v>610000004597</v>
      </c>
      <c r="E1562" s="372">
        <f>VLOOKUP(D1562,'[1]Task list &amp; Maintenace plan'!$B:$G,6,FALSE)</f>
        <v>101031</v>
      </c>
      <c r="F1562" s="333" t="s">
        <v>2261</v>
      </c>
      <c r="G1562" s="332" t="s">
        <v>2252</v>
      </c>
      <c r="H1562" s="332" t="s">
        <v>2265</v>
      </c>
      <c r="I1562" s="333">
        <v>90</v>
      </c>
      <c r="J1562" s="333"/>
      <c r="K1562" s="333"/>
      <c r="L1562" s="333"/>
      <c r="M1562" s="333"/>
    </row>
    <row r="1563" spans="1:13" ht="15.75" thickBot="1" x14ac:dyDescent="0.3">
      <c r="A1563" t="s">
        <v>180</v>
      </c>
      <c r="B1563" s="50" t="s">
        <v>2242</v>
      </c>
      <c r="C1563" s="214"/>
      <c r="D1563" s="373">
        <v>610000004598</v>
      </c>
      <c r="E1563" s="373">
        <f>VLOOKUP(D1563,'[1]Task list &amp; Maintenace plan'!$B:$G,6,FALSE)</f>
        <v>101032</v>
      </c>
      <c r="F1563" s="374" t="s">
        <v>2266</v>
      </c>
      <c r="G1563" s="375" t="s">
        <v>273</v>
      </c>
      <c r="H1563" s="375" t="s">
        <v>2267</v>
      </c>
      <c r="I1563" s="374">
        <v>365</v>
      </c>
      <c r="J1563" s="374">
        <v>1</v>
      </c>
      <c r="K1563" s="374"/>
      <c r="L1563" s="374"/>
      <c r="M1563" s="374"/>
    </row>
    <row r="1564" spans="1:13" x14ac:dyDescent="0.25">
      <c r="A1564" t="s">
        <v>180</v>
      </c>
      <c r="B1564" s="50" t="s">
        <v>2268</v>
      </c>
      <c r="C1564" s="51"/>
      <c r="D1564" s="326">
        <v>610000004599</v>
      </c>
      <c r="E1564" s="326">
        <f>VLOOKUP(D1564,'[1]Task list &amp; Maintenace plan'!$B:$G,6,FALSE)</f>
        <v>101033</v>
      </c>
      <c r="F1564" s="327" t="s">
        <v>2270</v>
      </c>
      <c r="G1564" s="348" t="s">
        <v>2271</v>
      </c>
      <c r="H1564" s="328" t="s">
        <v>2272</v>
      </c>
      <c r="I1564" s="327">
        <v>15</v>
      </c>
      <c r="J1564" s="327"/>
      <c r="K1564" s="327"/>
      <c r="L1564" s="327"/>
      <c r="M1564" s="327"/>
    </row>
    <row r="1565" spans="1:13" x14ac:dyDescent="0.25">
      <c r="A1565" t="s">
        <v>180</v>
      </c>
      <c r="B1565" s="50" t="s">
        <v>2268</v>
      </c>
      <c r="C1565" s="51"/>
      <c r="D1565" s="326">
        <v>610000004599</v>
      </c>
      <c r="E1565" s="326">
        <f>VLOOKUP(D1565,'[1]Task list &amp; Maintenace plan'!$B:$G,6,FALSE)</f>
        <v>101033</v>
      </c>
      <c r="F1565" s="327" t="s">
        <v>2270</v>
      </c>
      <c r="G1565" s="348" t="s">
        <v>2274</v>
      </c>
      <c r="H1565" s="328" t="s">
        <v>2275</v>
      </c>
      <c r="I1565" s="327">
        <v>15</v>
      </c>
      <c r="J1565" s="327"/>
      <c r="K1565" s="327"/>
      <c r="L1565" s="327"/>
      <c r="M1565" s="327"/>
    </row>
    <row r="1566" spans="1:13" x14ac:dyDescent="0.25">
      <c r="A1566" t="s">
        <v>180</v>
      </c>
      <c r="B1566" s="50" t="s">
        <v>2268</v>
      </c>
      <c r="C1566" s="51"/>
      <c r="D1566" s="369">
        <v>610000004600</v>
      </c>
      <c r="E1566" s="369">
        <f>VLOOKUP(D1566,'[1]Task list &amp; Maintenace plan'!$B:$G,6,FALSE)</f>
        <v>101034</v>
      </c>
      <c r="F1566" s="370" t="s">
        <v>2277</v>
      </c>
      <c r="G1566" s="371" t="s">
        <v>2278</v>
      </c>
      <c r="H1566" s="371" t="s">
        <v>2279</v>
      </c>
      <c r="I1566" s="370">
        <v>30</v>
      </c>
      <c r="J1566" s="370"/>
      <c r="K1566" s="370"/>
      <c r="L1566" s="370"/>
      <c r="M1566" s="370"/>
    </row>
    <row r="1567" spans="1:13" x14ac:dyDescent="0.25">
      <c r="A1567" t="s">
        <v>180</v>
      </c>
      <c r="B1567" s="50" t="s">
        <v>2268</v>
      </c>
      <c r="C1567" s="51"/>
      <c r="D1567" s="340">
        <v>610000004601</v>
      </c>
      <c r="E1567" s="340">
        <f>VLOOKUP(D1567,'[1]Task list &amp; Maintenace plan'!$B:$G,6,FALSE)</f>
        <v>101035</v>
      </c>
      <c r="F1567" s="341" t="s">
        <v>2280</v>
      </c>
      <c r="G1567" s="342" t="s">
        <v>2269</v>
      </c>
      <c r="H1567" s="342" t="s">
        <v>2281</v>
      </c>
      <c r="I1567" s="341">
        <v>30</v>
      </c>
      <c r="J1567" s="341"/>
      <c r="K1567" s="341"/>
      <c r="L1567" s="341"/>
      <c r="M1567" s="341"/>
    </row>
    <row r="1568" spans="1:13" x14ac:dyDescent="0.25">
      <c r="A1568" t="s">
        <v>180</v>
      </c>
      <c r="B1568" s="50" t="s">
        <v>2268</v>
      </c>
      <c r="C1568" s="51"/>
      <c r="D1568" s="326">
        <v>610000004601</v>
      </c>
      <c r="E1568" s="326">
        <f>VLOOKUP(D1568,'[1]Task list &amp; Maintenace plan'!$B:$G,6,FALSE)</f>
        <v>101035</v>
      </c>
      <c r="F1568" s="327" t="s">
        <v>2280</v>
      </c>
      <c r="G1568" s="328" t="s">
        <v>2273</v>
      </c>
      <c r="H1568" s="328" t="s">
        <v>2282</v>
      </c>
      <c r="I1568" s="327">
        <v>30</v>
      </c>
      <c r="J1568" s="327"/>
      <c r="K1568" s="327"/>
      <c r="L1568" s="327"/>
      <c r="M1568" s="327"/>
    </row>
    <row r="1569" spans="1:13" x14ac:dyDescent="0.25">
      <c r="A1569" t="s">
        <v>180</v>
      </c>
      <c r="B1569" s="50" t="s">
        <v>2268</v>
      </c>
      <c r="C1569" s="51"/>
      <c r="D1569" s="326">
        <v>610000004601</v>
      </c>
      <c r="E1569" s="326">
        <f>VLOOKUP(D1569,'[1]Task list &amp; Maintenace plan'!$B:$G,6,FALSE)</f>
        <v>101035</v>
      </c>
      <c r="F1569" s="327" t="s">
        <v>2280</v>
      </c>
      <c r="G1569" s="328" t="s">
        <v>2276</v>
      </c>
      <c r="H1569" s="328" t="s">
        <v>2284</v>
      </c>
      <c r="I1569" s="327">
        <v>30</v>
      </c>
      <c r="J1569" s="327"/>
      <c r="K1569" s="327"/>
      <c r="L1569" s="327"/>
      <c r="M1569" s="327"/>
    </row>
    <row r="1570" spans="1:13" x14ac:dyDescent="0.25">
      <c r="A1570" t="s">
        <v>180</v>
      </c>
      <c r="B1570" s="50" t="s">
        <v>2268</v>
      </c>
      <c r="C1570" s="51"/>
      <c r="D1570" s="326">
        <v>610000004601</v>
      </c>
      <c r="E1570" s="326">
        <f>VLOOKUP(D1570,'[1]Task list &amp; Maintenace plan'!$B:$G,6,FALSE)</f>
        <v>101035</v>
      </c>
      <c r="F1570" s="327" t="s">
        <v>2280</v>
      </c>
      <c r="G1570" s="328" t="s">
        <v>2271</v>
      </c>
      <c r="H1570" s="328" t="s">
        <v>2285</v>
      </c>
      <c r="I1570" s="327">
        <v>30</v>
      </c>
      <c r="J1570" s="327"/>
      <c r="K1570" s="327"/>
      <c r="L1570" s="327"/>
      <c r="M1570" s="327"/>
    </row>
    <row r="1571" spans="1:13" x14ac:dyDescent="0.25">
      <c r="A1571" t="s">
        <v>180</v>
      </c>
      <c r="B1571" s="50" t="s">
        <v>2268</v>
      </c>
      <c r="C1571" s="51"/>
      <c r="D1571" s="326">
        <v>610000004601</v>
      </c>
      <c r="E1571" s="326">
        <f>VLOOKUP(D1571,'[1]Task list &amp; Maintenace plan'!$B:$G,6,FALSE)</f>
        <v>101035</v>
      </c>
      <c r="F1571" s="327" t="s">
        <v>2280</v>
      </c>
      <c r="G1571" s="328" t="s">
        <v>2274</v>
      </c>
      <c r="H1571" s="328" t="s">
        <v>2287</v>
      </c>
      <c r="I1571" s="327">
        <v>30</v>
      </c>
      <c r="J1571" s="327"/>
      <c r="K1571" s="327"/>
      <c r="L1571" s="327"/>
      <c r="M1571" s="327"/>
    </row>
    <row r="1572" spans="1:13" x14ac:dyDescent="0.25">
      <c r="A1572" t="s">
        <v>180</v>
      </c>
      <c r="B1572" s="50" t="s">
        <v>2268</v>
      </c>
      <c r="C1572" s="51"/>
      <c r="D1572" s="326">
        <v>610000004601</v>
      </c>
      <c r="E1572" s="326">
        <f>VLOOKUP(D1572,'[1]Task list &amp; Maintenace plan'!$B:$G,6,FALSE)</f>
        <v>101035</v>
      </c>
      <c r="F1572" s="327" t="s">
        <v>2280</v>
      </c>
      <c r="G1572" s="328" t="s">
        <v>2283</v>
      </c>
      <c r="H1572" s="328" t="s">
        <v>2288</v>
      </c>
      <c r="I1572" s="327">
        <v>30</v>
      </c>
      <c r="J1572" s="327"/>
      <c r="K1572" s="327"/>
      <c r="L1572" s="327"/>
      <c r="M1572" s="327"/>
    </row>
    <row r="1573" spans="1:13" x14ac:dyDescent="0.25">
      <c r="A1573" t="s">
        <v>180</v>
      </c>
      <c r="B1573" s="50" t="s">
        <v>2268</v>
      </c>
      <c r="C1573" s="51"/>
      <c r="D1573" s="326">
        <v>610000004601</v>
      </c>
      <c r="E1573" s="326">
        <f>VLOOKUP(D1573,'[1]Task list &amp; Maintenace plan'!$B:$G,6,FALSE)</f>
        <v>101035</v>
      </c>
      <c r="F1573" s="327" t="s">
        <v>2280</v>
      </c>
      <c r="G1573" s="328" t="s">
        <v>2278</v>
      </c>
      <c r="H1573" s="328" t="s">
        <v>2289</v>
      </c>
      <c r="I1573" s="327">
        <v>30</v>
      </c>
      <c r="J1573" s="327"/>
      <c r="K1573" s="327"/>
      <c r="L1573" s="327"/>
      <c r="M1573" s="327"/>
    </row>
    <row r="1574" spans="1:13" x14ac:dyDescent="0.25">
      <c r="A1574" t="s">
        <v>180</v>
      </c>
      <c r="B1574" s="50" t="s">
        <v>2268</v>
      </c>
      <c r="C1574" s="51"/>
      <c r="D1574" s="337">
        <v>610000004601</v>
      </c>
      <c r="E1574" s="337">
        <f>VLOOKUP(D1574,'[1]Task list &amp; Maintenace plan'!$B:$G,6,FALSE)</f>
        <v>101035</v>
      </c>
      <c r="F1574" s="338" t="s">
        <v>2280</v>
      </c>
      <c r="G1574" s="339" t="s">
        <v>2286</v>
      </c>
      <c r="H1574" s="339" t="s">
        <v>2290</v>
      </c>
      <c r="I1574" s="338">
        <v>30</v>
      </c>
      <c r="J1574" s="338"/>
      <c r="K1574" s="338"/>
      <c r="L1574" s="338"/>
      <c r="M1574" s="338"/>
    </row>
    <row r="1575" spans="1:13" x14ac:dyDescent="0.25">
      <c r="A1575" t="s">
        <v>180</v>
      </c>
      <c r="B1575" s="50" t="s">
        <v>2268</v>
      </c>
      <c r="C1575" s="51"/>
      <c r="D1575" s="334">
        <v>357615</v>
      </c>
      <c r="E1575" s="334">
        <f>VLOOKUP(D1575,'[1]Task list &amp; Maintenace plan'!$B:$G,6,FALSE)</f>
        <v>2072</v>
      </c>
      <c r="F1575" s="335" t="s">
        <v>2291</v>
      </c>
      <c r="G1575" s="336" t="s">
        <v>2286</v>
      </c>
      <c r="H1575" s="336" t="s">
        <v>2292</v>
      </c>
      <c r="I1575" s="335">
        <v>30</v>
      </c>
      <c r="J1575" s="335">
        <v>1</v>
      </c>
      <c r="K1575" s="335"/>
      <c r="L1575" s="335"/>
      <c r="M1575" s="335"/>
    </row>
    <row r="1576" spans="1:13" x14ac:dyDescent="0.25">
      <c r="A1576" t="s">
        <v>180</v>
      </c>
      <c r="B1576" s="50" t="s">
        <v>2268</v>
      </c>
      <c r="C1576" s="51"/>
      <c r="D1576" s="326">
        <v>357615</v>
      </c>
      <c r="E1576" s="326">
        <f>VLOOKUP(D1576,'[1]Task list &amp; Maintenace plan'!$B:$G,6,FALSE)</f>
        <v>2072</v>
      </c>
      <c r="F1576" s="327" t="s">
        <v>2291</v>
      </c>
      <c r="G1576" s="328" t="s">
        <v>2286</v>
      </c>
      <c r="H1576" s="328" t="s">
        <v>2293</v>
      </c>
      <c r="I1576" s="327">
        <v>30</v>
      </c>
      <c r="J1576" s="327">
        <v>1</v>
      </c>
      <c r="K1576" s="327"/>
      <c r="L1576" s="327"/>
      <c r="M1576" s="327"/>
    </row>
    <row r="1577" spans="1:13" x14ac:dyDescent="0.25">
      <c r="A1577" t="s">
        <v>180</v>
      </c>
      <c r="B1577" s="50" t="s">
        <v>2268</v>
      </c>
      <c r="C1577" s="51"/>
      <c r="D1577" s="337">
        <v>357615</v>
      </c>
      <c r="E1577" s="337">
        <f>VLOOKUP(D1577,'[1]Task list &amp; Maintenace plan'!$B:$G,6,FALSE)</f>
        <v>2072</v>
      </c>
      <c r="F1577" s="338" t="s">
        <v>2291</v>
      </c>
      <c r="G1577" s="339" t="s">
        <v>2286</v>
      </c>
      <c r="H1577" s="339" t="s">
        <v>2294</v>
      </c>
      <c r="I1577" s="338">
        <v>30</v>
      </c>
      <c r="J1577" s="338">
        <v>1</v>
      </c>
      <c r="K1577" s="338"/>
      <c r="L1577" s="338"/>
      <c r="M1577" s="338"/>
    </row>
    <row r="1578" spans="1:13" x14ac:dyDescent="0.25">
      <c r="A1578" t="s">
        <v>180</v>
      </c>
      <c r="B1578" s="50" t="s">
        <v>2268</v>
      </c>
      <c r="C1578" s="51"/>
      <c r="D1578" s="369">
        <v>344301</v>
      </c>
      <c r="E1578" s="369">
        <f>VLOOKUP(D1578,'[1]Task list &amp; Maintenace plan'!$B:$G,6,FALSE)</f>
        <v>798</v>
      </c>
      <c r="F1578" s="370" t="s">
        <v>2295</v>
      </c>
      <c r="G1578" s="371" t="s">
        <v>2278</v>
      </c>
      <c r="H1578" s="371" t="s">
        <v>2296</v>
      </c>
      <c r="I1578" s="370">
        <v>30</v>
      </c>
      <c r="J1578" s="370">
        <v>1</v>
      </c>
      <c r="K1578" s="370"/>
      <c r="L1578" s="370"/>
      <c r="M1578" s="370"/>
    </row>
    <row r="1579" spans="1:13" x14ac:dyDescent="0.25">
      <c r="A1579" t="s">
        <v>180</v>
      </c>
      <c r="B1579" s="50" t="s">
        <v>2268</v>
      </c>
      <c r="C1579" s="51"/>
      <c r="D1579" s="340">
        <v>610000004603</v>
      </c>
      <c r="E1579" s="340">
        <f>VLOOKUP(D1579,'[1]Task list &amp; Maintenace plan'!$B:$G,6,FALSE)</f>
        <v>101037</v>
      </c>
      <c r="F1579" s="341" t="s">
        <v>2297</v>
      </c>
      <c r="G1579" s="342" t="s">
        <v>2269</v>
      </c>
      <c r="H1579" s="342" t="s">
        <v>2298</v>
      </c>
      <c r="I1579" s="341">
        <v>60</v>
      </c>
      <c r="J1579" s="341">
        <v>1</v>
      </c>
      <c r="K1579" s="341"/>
      <c r="L1579" s="341"/>
      <c r="M1579" s="341"/>
    </row>
    <row r="1580" spans="1:13" x14ac:dyDescent="0.25">
      <c r="A1580" t="s">
        <v>180</v>
      </c>
      <c r="B1580" s="50" t="s">
        <v>2268</v>
      </c>
      <c r="C1580" s="51"/>
      <c r="D1580" s="326">
        <v>610000004603</v>
      </c>
      <c r="E1580" s="326">
        <f>VLOOKUP(D1580,'[1]Task list &amp; Maintenace plan'!$B:$G,6,FALSE)</f>
        <v>101037</v>
      </c>
      <c r="F1580" s="327" t="s">
        <v>2297</v>
      </c>
      <c r="G1580" s="328" t="s">
        <v>2273</v>
      </c>
      <c r="H1580" s="328" t="s">
        <v>2299</v>
      </c>
      <c r="I1580" s="327">
        <v>60</v>
      </c>
      <c r="J1580" s="327">
        <v>1</v>
      </c>
      <c r="K1580" s="327"/>
      <c r="L1580" s="327"/>
      <c r="M1580" s="327"/>
    </row>
    <row r="1581" spans="1:13" x14ac:dyDescent="0.25">
      <c r="A1581" t="s">
        <v>180</v>
      </c>
      <c r="B1581" s="50" t="s">
        <v>2268</v>
      </c>
      <c r="C1581" s="51"/>
      <c r="D1581" s="326">
        <v>610000004603</v>
      </c>
      <c r="E1581" s="326">
        <f>VLOOKUP(D1581,'[1]Task list &amp; Maintenace plan'!$B:$G,6,FALSE)</f>
        <v>101037</v>
      </c>
      <c r="F1581" s="327" t="s">
        <v>2297</v>
      </c>
      <c r="G1581" s="328" t="s">
        <v>2276</v>
      </c>
      <c r="H1581" s="328" t="s">
        <v>2300</v>
      </c>
      <c r="I1581" s="327">
        <v>60</v>
      </c>
      <c r="J1581" s="327">
        <v>1</v>
      </c>
      <c r="K1581" s="327"/>
      <c r="L1581" s="327"/>
      <c r="M1581" s="327"/>
    </row>
    <row r="1582" spans="1:13" x14ac:dyDescent="0.25">
      <c r="A1582" t="s">
        <v>180</v>
      </c>
      <c r="B1582" s="50" t="s">
        <v>2268</v>
      </c>
      <c r="C1582" s="51"/>
      <c r="D1582" s="326">
        <v>610000004603</v>
      </c>
      <c r="E1582" s="326">
        <f>VLOOKUP(D1582,'[1]Task list &amp; Maintenace plan'!$B:$G,6,FALSE)</f>
        <v>101037</v>
      </c>
      <c r="F1582" s="327" t="s">
        <v>2297</v>
      </c>
      <c r="G1582" s="328" t="s">
        <v>2271</v>
      </c>
      <c r="H1582" s="328" t="s">
        <v>2301</v>
      </c>
      <c r="I1582" s="327">
        <v>60</v>
      </c>
      <c r="J1582" s="327">
        <v>1</v>
      </c>
      <c r="K1582" s="327"/>
      <c r="L1582" s="327"/>
      <c r="M1582" s="327"/>
    </row>
    <row r="1583" spans="1:13" x14ac:dyDescent="0.25">
      <c r="A1583" t="s">
        <v>180</v>
      </c>
      <c r="B1583" s="50" t="s">
        <v>2268</v>
      </c>
      <c r="C1583" s="51"/>
      <c r="D1583" s="326">
        <v>610000004603</v>
      </c>
      <c r="E1583" s="326">
        <f>VLOOKUP(D1583,'[1]Task list &amp; Maintenace plan'!$B:$G,6,FALSE)</f>
        <v>101037</v>
      </c>
      <c r="F1583" s="327" t="s">
        <v>2297</v>
      </c>
      <c r="G1583" s="328" t="s">
        <v>2274</v>
      </c>
      <c r="H1583" s="328" t="s">
        <v>2302</v>
      </c>
      <c r="I1583" s="327">
        <v>60</v>
      </c>
      <c r="J1583" s="327">
        <v>1</v>
      </c>
      <c r="K1583" s="327"/>
      <c r="L1583" s="327"/>
      <c r="M1583" s="327"/>
    </row>
    <row r="1584" spans="1:13" x14ac:dyDescent="0.25">
      <c r="A1584" t="s">
        <v>180</v>
      </c>
      <c r="B1584" s="50" t="s">
        <v>2268</v>
      </c>
      <c r="C1584" s="51"/>
      <c r="D1584" s="326">
        <v>610000004603</v>
      </c>
      <c r="E1584" s="326">
        <f>VLOOKUP(D1584,'[1]Task list &amp; Maintenace plan'!$B:$G,6,FALSE)</f>
        <v>101037</v>
      </c>
      <c r="F1584" s="327" t="s">
        <v>2297</v>
      </c>
      <c r="G1584" s="328" t="s">
        <v>2283</v>
      </c>
      <c r="H1584" s="328" t="s">
        <v>2303</v>
      </c>
      <c r="I1584" s="327">
        <v>60</v>
      </c>
      <c r="J1584" s="327">
        <v>1</v>
      </c>
      <c r="K1584" s="327"/>
      <c r="L1584" s="327"/>
      <c r="M1584" s="327"/>
    </row>
    <row r="1585" spans="1:13" x14ac:dyDescent="0.25">
      <c r="A1585" t="s">
        <v>180</v>
      </c>
      <c r="B1585" s="50" t="s">
        <v>2268</v>
      </c>
      <c r="C1585" s="51"/>
      <c r="D1585" s="337">
        <v>610000004603</v>
      </c>
      <c r="E1585" s="337">
        <f>VLOOKUP(D1585,'[1]Task list &amp; Maintenace plan'!$B:$G,6,FALSE)</f>
        <v>101037</v>
      </c>
      <c r="F1585" s="338" t="s">
        <v>2297</v>
      </c>
      <c r="G1585" s="339" t="s">
        <v>2286</v>
      </c>
      <c r="H1585" s="339" t="s">
        <v>2304</v>
      </c>
      <c r="I1585" s="338">
        <v>60</v>
      </c>
      <c r="J1585" s="338">
        <v>1</v>
      </c>
      <c r="K1585" s="338"/>
      <c r="L1585" s="338"/>
      <c r="M1585" s="338"/>
    </row>
    <row r="1586" spans="1:13" x14ac:dyDescent="0.25">
      <c r="A1586" t="s">
        <v>180</v>
      </c>
      <c r="B1586" s="50" t="s">
        <v>2268</v>
      </c>
      <c r="C1586" s="51"/>
      <c r="D1586" s="340">
        <v>610000004604</v>
      </c>
      <c r="E1586" s="340">
        <f>VLOOKUP(D1586,'[1]Task list &amp; Maintenace plan'!$B:$G,6,FALSE)</f>
        <v>101038</v>
      </c>
      <c r="F1586" s="341" t="s">
        <v>2305</v>
      </c>
      <c r="G1586" s="342" t="s">
        <v>2269</v>
      </c>
      <c r="H1586" s="342" t="s">
        <v>2306</v>
      </c>
      <c r="I1586" s="341">
        <v>90</v>
      </c>
      <c r="J1586" s="341"/>
      <c r="K1586" s="341"/>
      <c r="L1586" s="341"/>
      <c r="M1586" s="341"/>
    </row>
    <row r="1587" spans="1:13" x14ac:dyDescent="0.25">
      <c r="A1587" t="s">
        <v>180</v>
      </c>
      <c r="B1587" s="50" t="s">
        <v>2268</v>
      </c>
      <c r="C1587" s="51"/>
      <c r="D1587" s="326">
        <v>610000004604</v>
      </c>
      <c r="E1587" s="326">
        <f>VLOOKUP(D1587,'[1]Task list &amp; Maintenace plan'!$B:$G,6,FALSE)</f>
        <v>101038</v>
      </c>
      <c r="F1587" s="327" t="s">
        <v>2305</v>
      </c>
      <c r="G1587" s="328" t="s">
        <v>2273</v>
      </c>
      <c r="H1587" s="328" t="s">
        <v>2307</v>
      </c>
      <c r="I1587" s="327">
        <v>90</v>
      </c>
      <c r="J1587" s="327"/>
      <c r="K1587" s="327"/>
      <c r="L1587" s="327"/>
      <c r="M1587" s="327"/>
    </row>
    <row r="1588" spans="1:13" x14ac:dyDescent="0.25">
      <c r="A1588" t="s">
        <v>180</v>
      </c>
      <c r="B1588" s="50" t="s">
        <v>2268</v>
      </c>
      <c r="C1588" s="51"/>
      <c r="D1588" s="326">
        <v>610000004604</v>
      </c>
      <c r="E1588" s="326">
        <f>VLOOKUP(D1588,'[1]Task list &amp; Maintenace plan'!$B:$G,6,FALSE)</f>
        <v>101038</v>
      </c>
      <c r="F1588" s="327" t="s">
        <v>2305</v>
      </c>
      <c r="G1588" s="328" t="s">
        <v>2276</v>
      </c>
      <c r="H1588" s="328" t="s">
        <v>2308</v>
      </c>
      <c r="I1588" s="327">
        <v>90</v>
      </c>
      <c r="J1588" s="327"/>
      <c r="K1588" s="327"/>
      <c r="L1588" s="327"/>
      <c r="M1588" s="327"/>
    </row>
    <row r="1589" spans="1:13" x14ac:dyDescent="0.25">
      <c r="A1589" t="s">
        <v>180</v>
      </c>
      <c r="B1589" s="50" t="s">
        <v>2268</v>
      </c>
      <c r="C1589" s="51"/>
      <c r="D1589" s="326">
        <v>610000004604</v>
      </c>
      <c r="E1589" s="326">
        <f>VLOOKUP(D1589,'[1]Task list &amp; Maintenace plan'!$B:$G,6,FALSE)</f>
        <v>101038</v>
      </c>
      <c r="F1589" s="327" t="s">
        <v>2305</v>
      </c>
      <c r="G1589" s="328" t="s">
        <v>2271</v>
      </c>
      <c r="H1589" s="328" t="s">
        <v>2309</v>
      </c>
      <c r="I1589" s="327">
        <v>90</v>
      </c>
      <c r="J1589" s="327"/>
      <c r="K1589" s="327"/>
      <c r="L1589" s="327"/>
      <c r="M1589" s="327"/>
    </row>
    <row r="1590" spans="1:13" x14ac:dyDescent="0.25">
      <c r="A1590" t="s">
        <v>180</v>
      </c>
      <c r="B1590" s="50" t="s">
        <v>2268</v>
      </c>
      <c r="C1590" s="51"/>
      <c r="D1590" s="326">
        <v>610000004604</v>
      </c>
      <c r="E1590" s="326">
        <f>VLOOKUP(D1590,'[1]Task list &amp; Maintenace plan'!$B:$G,6,FALSE)</f>
        <v>101038</v>
      </c>
      <c r="F1590" s="327" t="s">
        <v>2305</v>
      </c>
      <c r="G1590" s="328" t="s">
        <v>2274</v>
      </c>
      <c r="H1590" s="328" t="s">
        <v>2310</v>
      </c>
      <c r="I1590" s="327">
        <v>90</v>
      </c>
      <c r="J1590" s="327"/>
      <c r="K1590" s="327"/>
      <c r="L1590" s="327"/>
      <c r="M1590" s="327"/>
    </row>
    <row r="1591" spans="1:13" x14ac:dyDescent="0.25">
      <c r="A1591" t="s">
        <v>180</v>
      </c>
      <c r="B1591" s="50" t="s">
        <v>2268</v>
      </c>
      <c r="C1591" s="51"/>
      <c r="D1591" s="326">
        <v>610000004604</v>
      </c>
      <c r="E1591" s="326">
        <f>VLOOKUP(D1591,'[1]Task list &amp; Maintenace plan'!$B:$G,6,FALSE)</f>
        <v>101038</v>
      </c>
      <c r="F1591" s="327" t="s">
        <v>2305</v>
      </c>
      <c r="G1591" s="328" t="s">
        <v>2283</v>
      </c>
      <c r="H1591" s="328" t="s">
        <v>2311</v>
      </c>
      <c r="I1591" s="327">
        <v>90</v>
      </c>
      <c r="J1591" s="327"/>
      <c r="K1591" s="327"/>
      <c r="L1591" s="327"/>
      <c r="M1591" s="327"/>
    </row>
    <row r="1592" spans="1:13" x14ac:dyDescent="0.25">
      <c r="A1592" t="s">
        <v>180</v>
      </c>
      <c r="B1592" s="50" t="s">
        <v>2268</v>
      </c>
      <c r="C1592" s="51"/>
      <c r="D1592" s="326">
        <v>610000004604</v>
      </c>
      <c r="E1592" s="326">
        <f>VLOOKUP(D1592,'[1]Task list &amp; Maintenace plan'!$B:$G,6,FALSE)</f>
        <v>101038</v>
      </c>
      <c r="F1592" s="327" t="s">
        <v>2305</v>
      </c>
      <c r="G1592" s="328" t="s">
        <v>2278</v>
      </c>
      <c r="H1592" s="328" t="s">
        <v>2312</v>
      </c>
      <c r="I1592" s="327">
        <v>90</v>
      </c>
      <c r="J1592" s="327"/>
      <c r="K1592" s="327"/>
      <c r="L1592" s="327"/>
      <c r="M1592" s="327"/>
    </row>
    <row r="1593" spans="1:13" x14ac:dyDescent="0.25">
      <c r="A1593" t="s">
        <v>180</v>
      </c>
      <c r="B1593" s="50" t="s">
        <v>2268</v>
      </c>
      <c r="C1593" s="51"/>
      <c r="D1593" s="337">
        <v>610000004604</v>
      </c>
      <c r="E1593" s="337">
        <f>VLOOKUP(D1593,'[1]Task list &amp; Maintenace plan'!$B:$G,6,FALSE)</f>
        <v>101038</v>
      </c>
      <c r="F1593" s="338" t="s">
        <v>2305</v>
      </c>
      <c r="G1593" s="339" t="s">
        <v>2286</v>
      </c>
      <c r="H1593" s="339" t="s">
        <v>2313</v>
      </c>
      <c r="I1593" s="338">
        <v>90</v>
      </c>
      <c r="J1593" s="338"/>
      <c r="K1593" s="338"/>
      <c r="L1593" s="338"/>
      <c r="M1593" s="338"/>
    </row>
    <row r="1594" spans="1:13" x14ac:dyDescent="0.25">
      <c r="A1594" t="s">
        <v>180</v>
      </c>
      <c r="B1594" s="50" t="s">
        <v>2268</v>
      </c>
      <c r="C1594" s="51"/>
      <c r="D1594" s="334">
        <v>357563</v>
      </c>
      <c r="E1594" s="334">
        <f>VLOOKUP(D1594,'[1]Task list &amp; Maintenace plan'!$B:$G,6,FALSE)</f>
        <v>2074</v>
      </c>
      <c r="F1594" s="335" t="s">
        <v>2314</v>
      </c>
      <c r="G1594" s="336" t="s">
        <v>2286</v>
      </c>
      <c r="H1594" s="336" t="s">
        <v>2315</v>
      </c>
      <c r="I1594" s="335">
        <v>90</v>
      </c>
      <c r="J1594" s="335">
        <v>1</v>
      </c>
      <c r="K1594" s="335"/>
      <c r="L1594" s="335"/>
      <c r="M1594" s="335"/>
    </row>
    <row r="1595" spans="1:13" x14ac:dyDescent="0.25">
      <c r="A1595" t="s">
        <v>180</v>
      </c>
      <c r="B1595" s="50" t="s">
        <v>2268</v>
      </c>
      <c r="C1595" s="51"/>
      <c r="D1595" s="326">
        <v>357563</v>
      </c>
      <c r="E1595" s="326">
        <f>VLOOKUP(D1595,'[1]Task list &amp; Maintenace plan'!$B:$G,6,FALSE)</f>
        <v>2074</v>
      </c>
      <c r="F1595" s="327" t="s">
        <v>2314</v>
      </c>
      <c r="G1595" s="328" t="s">
        <v>2286</v>
      </c>
      <c r="H1595" s="328" t="s">
        <v>2316</v>
      </c>
      <c r="I1595" s="327">
        <v>90</v>
      </c>
      <c r="J1595" s="327">
        <v>1</v>
      </c>
      <c r="K1595" s="327"/>
      <c r="L1595" s="327"/>
      <c r="M1595" s="327"/>
    </row>
    <row r="1596" spans="1:13" x14ac:dyDescent="0.25">
      <c r="A1596" t="s">
        <v>180</v>
      </c>
      <c r="B1596" s="50" t="s">
        <v>2268</v>
      </c>
      <c r="C1596" s="51"/>
      <c r="D1596" s="326">
        <v>357563</v>
      </c>
      <c r="E1596" s="326">
        <f>VLOOKUP(D1596,'[1]Task list &amp; Maintenace plan'!$B:$G,6,FALSE)</f>
        <v>2074</v>
      </c>
      <c r="F1596" s="327" t="s">
        <v>2314</v>
      </c>
      <c r="G1596" s="328" t="s">
        <v>2286</v>
      </c>
      <c r="H1596" s="328" t="s">
        <v>2317</v>
      </c>
      <c r="I1596" s="327">
        <v>90</v>
      </c>
      <c r="J1596" s="327">
        <v>1</v>
      </c>
      <c r="K1596" s="327"/>
      <c r="L1596" s="327"/>
      <c r="M1596" s="327"/>
    </row>
    <row r="1597" spans="1:13" x14ac:dyDescent="0.25">
      <c r="A1597" t="s">
        <v>180</v>
      </c>
      <c r="B1597" s="50" t="s">
        <v>2268</v>
      </c>
      <c r="C1597" s="51"/>
      <c r="D1597" s="326">
        <v>357563</v>
      </c>
      <c r="E1597" s="326">
        <f>VLOOKUP(D1597,'[1]Task list &amp; Maintenace plan'!$B:$G,6,FALSE)</f>
        <v>2074</v>
      </c>
      <c r="F1597" s="327" t="s">
        <v>2314</v>
      </c>
      <c r="G1597" s="328" t="s">
        <v>2286</v>
      </c>
      <c r="H1597" s="328" t="s">
        <v>2318</v>
      </c>
      <c r="I1597" s="327">
        <v>90</v>
      </c>
      <c r="J1597" s="327"/>
      <c r="K1597" s="327"/>
      <c r="L1597" s="327"/>
      <c r="M1597" s="327"/>
    </row>
    <row r="1598" spans="1:13" x14ac:dyDescent="0.25">
      <c r="A1598" t="s">
        <v>180</v>
      </c>
      <c r="B1598" s="50" t="s">
        <v>2268</v>
      </c>
      <c r="C1598" s="51"/>
      <c r="D1598" s="326">
        <v>357563</v>
      </c>
      <c r="E1598" s="326">
        <f>VLOOKUP(D1598,'[1]Task list &amp; Maintenace plan'!$B:$G,6,FALSE)</f>
        <v>2074</v>
      </c>
      <c r="F1598" s="327" t="s">
        <v>2314</v>
      </c>
      <c r="G1598" s="328" t="s">
        <v>2286</v>
      </c>
      <c r="H1598" s="328" t="s">
        <v>2319</v>
      </c>
      <c r="I1598" s="327">
        <v>90</v>
      </c>
      <c r="J1598" s="327">
        <v>1</v>
      </c>
      <c r="K1598" s="327"/>
      <c r="L1598" s="327"/>
      <c r="M1598" s="327"/>
    </row>
    <row r="1599" spans="1:13" x14ac:dyDescent="0.25">
      <c r="A1599" t="s">
        <v>180</v>
      </c>
      <c r="B1599" s="50" t="s">
        <v>2268</v>
      </c>
      <c r="C1599" s="51"/>
      <c r="D1599" s="337">
        <v>357563</v>
      </c>
      <c r="E1599" s="337">
        <f>VLOOKUP(D1599,'[1]Task list &amp; Maintenace plan'!$B:$G,6,FALSE)</f>
        <v>2074</v>
      </c>
      <c r="F1599" s="338" t="s">
        <v>2314</v>
      </c>
      <c r="G1599" s="339" t="s">
        <v>2286</v>
      </c>
      <c r="H1599" s="339" t="s">
        <v>2320</v>
      </c>
      <c r="I1599" s="338">
        <v>90</v>
      </c>
      <c r="J1599" s="338">
        <v>1</v>
      </c>
      <c r="K1599" s="338"/>
      <c r="L1599" s="338"/>
      <c r="M1599" s="338"/>
    </row>
    <row r="1600" spans="1:13" x14ac:dyDescent="0.25">
      <c r="A1600" t="s">
        <v>180</v>
      </c>
      <c r="B1600" s="50" t="s">
        <v>2268</v>
      </c>
      <c r="C1600" s="51"/>
      <c r="D1600" s="369">
        <v>342762</v>
      </c>
      <c r="E1600" s="369">
        <f>VLOOKUP(D1600,'[1]Task list &amp; Maintenace plan'!$B:$G,6,FALSE)</f>
        <v>640</v>
      </c>
      <c r="F1600" s="370" t="s">
        <v>2321</v>
      </c>
      <c r="G1600" s="61" t="s">
        <v>454</v>
      </c>
      <c r="H1600" s="61" t="s">
        <v>465</v>
      </c>
      <c r="I1600" s="376">
        <v>180</v>
      </c>
      <c r="J1600" s="376">
        <v>1</v>
      </c>
      <c r="K1600" s="376"/>
      <c r="L1600" s="376"/>
      <c r="M1600" s="376"/>
    </row>
    <row r="1601" spans="1:13" x14ac:dyDescent="0.25">
      <c r="A1601" t="s">
        <v>180</v>
      </c>
      <c r="B1601" s="50" t="s">
        <v>2268</v>
      </c>
      <c r="C1601" s="51"/>
      <c r="D1601" s="337">
        <v>342745</v>
      </c>
      <c r="E1601" s="337">
        <f>VLOOKUP(D1601,'[1]Task list &amp; Maintenace plan'!$B:$G,6,FALSE)</f>
        <v>641</v>
      </c>
      <c r="F1601" s="338" t="s">
        <v>2322</v>
      </c>
      <c r="G1601" s="339" t="s">
        <v>454</v>
      </c>
      <c r="H1601" s="339" t="s">
        <v>467</v>
      </c>
      <c r="I1601" s="338">
        <v>365</v>
      </c>
      <c r="J1601" s="338">
        <v>1</v>
      </c>
      <c r="K1601" s="338"/>
      <c r="L1601" s="338"/>
      <c r="M1601" s="338"/>
    </row>
    <row r="1602" spans="1:13" x14ac:dyDescent="0.25">
      <c r="A1602" t="s">
        <v>180</v>
      </c>
      <c r="B1602" s="50" t="s">
        <v>2268</v>
      </c>
      <c r="C1602" s="51"/>
      <c r="D1602" s="369">
        <v>610000004605</v>
      </c>
      <c r="E1602" s="369">
        <f>VLOOKUP(D1602,'[1]Task list &amp; Maintenace plan'!$B:$G,6,FALSE)</f>
        <v>101039</v>
      </c>
      <c r="F1602" s="370" t="s">
        <v>2323</v>
      </c>
      <c r="G1602" s="371" t="s">
        <v>2278</v>
      </c>
      <c r="H1602" s="371" t="s">
        <v>2324</v>
      </c>
      <c r="I1602" s="370">
        <v>365</v>
      </c>
      <c r="J1602" s="370">
        <v>1</v>
      </c>
      <c r="K1602" s="370"/>
      <c r="L1602" s="370"/>
      <c r="M1602" s="370"/>
    </row>
    <row r="1603" spans="1:13" x14ac:dyDescent="0.25">
      <c r="A1603" t="s">
        <v>180</v>
      </c>
      <c r="B1603" s="50" t="s">
        <v>2268</v>
      </c>
      <c r="C1603" s="51"/>
      <c r="D1603" s="334">
        <v>357564</v>
      </c>
      <c r="E1603" s="334">
        <f>VLOOKUP(D1603,'[1]Task list &amp; Maintenace plan'!$B:$G,6,FALSE)</f>
        <v>2075</v>
      </c>
      <c r="F1603" s="335" t="s">
        <v>2325</v>
      </c>
      <c r="G1603" s="336" t="s">
        <v>2286</v>
      </c>
      <c r="H1603" s="336" t="s">
        <v>2326</v>
      </c>
      <c r="I1603" s="335">
        <v>365</v>
      </c>
      <c r="J1603" s="335">
        <v>1</v>
      </c>
      <c r="K1603" s="335"/>
      <c r="L1603" s="335"/>
      <c r="M1603" s="335"/>
    </row>
    <row r="1604" spans="1:13" x14ac:dyDescent="0.25">
      <c r="A1604" t="s">
        <v>180</v>
      </c>
      <c r="B1604" s="50" t="s">
        <v>2268</v>
      </c>
      <c r="C1604" s="51"/>
      <c r="D1604" s="340">
        <v>357564</v>
      </c>
      <c r="E1604" s="340">
        <f>VLOOKUP(D1604,'[1]Task list &amp; Maintenace plan'!$B:$G,6,FALSE)</f>
        <v>2075</v>
      </c>
      <c r="F1604" s="341" t="s">
        <v>2325</v>
      </c>
      <c r="G1604" s="342" t="s">
        <v>2286</v>
      </c>
      <c r="H1604" s="342" t="s">
        <v>2327</v>
      </c>
      <c r="I1604" s="341">
        <v>365</v>
      </c>
      <c r="J1604" s="341">
        <v>1</v>
      </c>
      <c r="K1604" s="341"/>
      <c r="L1604" s="341"/>
      <c r="M1604" s="341"/>
    </row>
    <row r="1605" spans="1:13" x14ac:dyDescent="0.25">
      <c r="A1605" t="s">
        <v>180</v>
      </c>
      <c r="B1605" s="50" t="s">
        <v>2268</v>
      </c>
      <c r="C1605" s="51"/>
      <c r="D1605" s="340">
        <v>357564</v>
      </c>
      <c r="E1605" s="340">
        <f>VLOOKUP(D1605,'[1]Task list &amp; Maintenace plan'!$B:$G,6,FALSE)</f>
        <v>2075</v>
      </c>
      <c r="F1605" s="341" t="s">
        <v>2325</v>
      </c>
      <c r="G1605" s="342" t="s">
        <v>2286</v>
      </c>
      <c r="H1605" s="342" t="s">
        <v>2328</v>
      </c>
      <c r="I1605" s="341">
        <v>365</v>
      </c>
      <c r="J1605" s="341">
        <v>1</v>
      </c>
      <c r="K1605" s="341"/>
      <c r="L1605" s="341"/>
      <c r="M1605" s="341"/>
    </row>
    <row r="1606" spans="1:13" ht="15.75" thickBot="1" x14ac:dyDescent="0.3">
      <c r="A1606" t="s">
        <v>180</v>
      </c>
      <c r="B1606" s="50" t="s">
        <v>2268</v>
      </c>
      <c r="C1606" s="214"/>
      <c r="D1606" s="366">
        <v>357564</v>
      </c>
      <c r="E1606" s="366">
        <f>VLOOKUP(D1606,'[1]Task list &amp; Maintenace plan'!$B:$G,6,FALSE)</f>
        <v>2075</v>
      </c>
      <c r="F1606" s="367" t="s">
        <v>2325</v>
      </c>
      <c r="G1606" s="368" t="s">
        <v>2286</v>
      </c>
      <c r="H1606" s="368" t="s">
        <v>2329</v>
      </c>
      <c r="I1606" s="367">
        <v>365</v>
      </c>
      <c r="J1606" s="367">
        <v>1</v>
      </c>
      <c r="K1606" s="367"/>
      <c r="L1606" s="367"/>
      <c r="M1606" s="367"/>
    </row>
    <row r="1607" spans="1:13" x14ac:dyDescent="0.25">
      <c r="A1607" t="s">
        <v>180</v>
      </c>
      <c r="B1607" s="50" t="s">
        <v>2330</v>
      </c>
      <c r="C1607" s="51"/>
      <c r="D1607" s="340">
        <v>610000004606</v>
      </c>
      <c r="E1607" s="340">
        <f>VLOOKUP(D1607,'[1]Task list &amp; Maintenace plan'!$B:$G,6,FALSE)</f>
        <v>101040</v>
      </c>
      <c r="F1607" s="341" t="s">
        <v>2332</v>
      </c>
      <c r="G1607" s="342" t="s">
        <v>2331</v>
      </c>
      <c r="H1607" s="128" t="s">
        <v>2333</v>
      </c>
      <c r="I1607" s="341">
        <v>15</v>
      </c>
      <c r="J1607" s="341"/>
      <c r="K1607" s="341"/>
      <c r="L1607" s="341"/>
      <c r="M1607" s="341"/>
    </row>
    <row r="1608" spans="1:13" x14ac:dyDescent="0.25">
      <c r="A1608" t="s">
        <v>180</v>
      </c>
      <c r="B1608" s="50" t="s">
        <v>2330</v>
      </c>
      <c r="C1608" s="51"/>
      <c r="D1608" s="326">
        <v>610000004606</v>
      </c>
      <c r="E1608" s="326">
        <f>VLOOKUP(D1608,'[1]Task list &amp; Maintenace plan'!$B:$G,6,FALSE)</f>
        <v>101040</v>
      </c>
      <c r="F1608" s="327" t="s">
        <v>2332</v>
      </c>
      <c r="G1608" s="328" t="s">
        <v>2334</v>
      </c>
      <c r="H1608" s="328" t="s">
        <v>2335</v>
      </c>
      <c r="I1608" s="327">
        <v>15</v>
      </c>
      <c r="J1608" s="327"/>
      <c r="K1608" s="327"/>
      <c r="L1608" s="327"/>
      <c r="M1608" s="327"/>
    </row>
    <row r="1609" spans="1:13" x14ac:dyDescent="0.25">
      <c r="A1609" t="s">
        <v>180</v>
      </c>
      <c r="B1609" s="50" t="s">
        <v>2330</v>
      </c>
      <c r="C1609" s="51"/>
      <c r="D1609" s="326">
        <v>610000004606</v>
      </c>
      <c r="E1609" s="326">
        <f>VLOOKUP(D1609,'[1]Task list &amp; Maintenace plan'!$B:$G,6,FALSE)</f>
        <v>101040</v>
      </c>
      <c r="F1609" s="327" t="s">
        <v>2332</v>
      </c>
      <c r="G1609" s="328" t="s">
        <v>2336</v>
      </c>
      <c r="H1609" s="134" t="s">
        <v>2337</v>
      </c>
      <c r="I1609" s="327">
        <v>15</v>
      </c>
      <c r="J1609" s="327"/>
      <c r="K1609" s="327"/>
      <c r="L1609" s="327"/>
      <c r="M1609" s="327"/>
    </row>
    <row r="1610" spans="1:13" x14ac:dyDescent="0.25">
      <c r="A1610" t="s">
        <v>180</v>
      </c>
      <c r="B1610" s="50" t="s">
        <v>2330</v>
      </c>
      <c r="C1610" s="51"/>
      <c r="D1610" s="326">
        <v>610000004606</v>
      </c>
      <c r="E1610" s="326">
        <f>VLOOKUP(D1610,'[1]Task list &amp; Maintenace plan'!$B:$G,6,FALSE)</f>
        <v>101040</v>
      </c>
      <c r="F1610" s="327" t="s">
        <v>2332</v>
      </c>
      <c r="G1610" s="328" t="s">
        <v>2338</v>
      </c>
      <c r="H1610" s="134" t="s">
        <v>2339</v>
      </c>
      <c r="I1610" s="327">
        <v>15</v>
      </c>
      <c r="J1610" s="327"/>
      <c r="K1610" s="327"/>
      <c r="L1610" s="327"/>
      <c r="M1610" s="327"/>
    </row>
    <row r="1611" spans="1:13" x14ac:dyDescent="0.25">
      <c r="A1611" t="s">
        <v>180</v>
      </c>
      <c r="B1611" s="50" t="s">
        <v>2330</v>
      </c>
      <c r="C1611" s="51"/>
      <c r="D1611" s="326">
        <v>610000004606</v>
      </c>
      <c r="E1611" s="326">
        <f>VLOOKUP(D1611,'[1]Task list &amp; Maintenace plan'!$B:$G,6,FALSE)</f>
        <v>101040</v>
      </c>
      <c r="F1611" s="327" t="s">
        <v>2332</v>
      </c>
      <c r="G1611" s="328" t="s">
        <v>2340</v>
      </c>
      <c r="H1611" s="328" t="s">
        <v>2341</v>
      </c>
      <c r="I1611" s="327">
        <v>15</v>
      </c>
      <c r="J1611" s="327"/>
      <c r="K1611" s="327"/>
      <c r="L1611" s="327"/>
      <c r="M1611" s="327"/>
    </row>
    <row r="1612" spans="1:13" x14ac:dyDescent="0.25">
      <c r="A1612" t="s">
        <v>180</v>
      </c>
      <c r="B1612" s="50" t="s">
        <v>2330</v>
      </c>
      <c r="C1612" s="51"/>
      <c r="D1612" s="326">
        <v>610000004606</v>
      </c>
      <c r="E1612" s="326">
        <f>VLOOKUP(D1612,'[1]Task list &amp; Maintenace plan'!$B:$G,6,FALSE)</f>
        <v>101040</v>
      </c>
      <c r="F1612" s="327" t="s">
        <v>2332</v>
      </c>
      <c r="G1612" s="328" t="s">
        <v>2342</v>
      </c>
      <c r="H1612" s="328" t="s">
        <v>2343</v>
      </c>
      <c r="I1612" s="327">
        <v>15</v>
      </c>
      <c r="J1612" s="327"/>
      <c r="K1612" s="327"/>
      <c r="L1612" s="327"/>
      <c r="M1612" s="327"/>
    </row>
    <row r="1613" spans="1:13" x14ac:dyDescent="0.25">
      <c r="A1613" t="s">
        <v>180</v>
      </c>
      <c r="B1613" s="50" t="s">
        <v>2330</v>
      </c>
      <c r="C1613" s="51"/>
      <c r="D1613" s="326">
        <v>610000004606</v>
      </c>
      <c r="E1613" s="326">
        <f>VLOOKUP(D1613,'[1]Task list &amp; Maintenace plan'!$B:$G,6,FALSE)</f>
        <v>101040</v>
      </c>
      <c r="F1613" s="327" t="s">
        <v>2332</v>
      </c>
      <c r="G1613" s="328" t="s">
        <v>715</v>
      </c>
      <c r="H1613" s="328" t="s">
        <v>2344</v>
      </c>
      <c r="I1613" s="327">
        <v>15</v>
      </c>
      <c r="J1613" s="327"/>
      <c r="K1613" s="327"/>
      <c r="L1613" s="327"/>
      <c r="M1613" s="327"/>
    </row>
    <row r="1614" spans="1:13" x14ac:dyDescent="0.25">
      <c r="A1614" t="s">
        <v>180</v>
      </c>
      <c r="B1614" s="50" t="s">
        <v>2330</v>
      </c>
      <c r="C1614" s="51"/>
      <c r="D1614" s="326">
        <v>610000004606</v>
      </c>
      <c r="E1614" s="326">
        <f>VLOOKUP(D1614,'[1]Task list &amp; Maintenace plan'!$B:$G,6,FALSE)</f>
        <v>101040</v>
      </c>
      <c r="F1614" s="327" t="s">
        <v>2332</v>
      </c>
      <c r="G1614" s="328" t="s">
        <v>487</v>
      </c>
      <c r="H1614" s="134" t="s">
        <v>2345</v>
      </c>
      <c r="I1614" s="327">
        <v>15</v>
      </c>
      <c r="J1614" s="327"/>
      <c r="K1614" s="327"/>
      <c r="L1614" s="327"/>
      <c r="M1614" s="327"/>
    </row>
    <row r="1615" spans="1:13" x14ac:dyDescent="0.25">
      <c r="A1615" t="s">
        <v>180</v>
      </c>
      <c r="B1615" s="50" t="s">
        <v>2330</v>
      </c>
      <c r="C1615" s="51"/>
      <c r="D1615" s="326">
        <v>610000004606</v>
      </c>
      <c r="E1615" s="326">
        <f>VLOOKUP(D1615,'[1]Task list &amp; Maintenace plan'!$B:$G,6,FALSE)</f>
        <v>101040</v>
      </c>
      <c r="F1615" s="327" t="s">
        <v>2332</v>
      </c>
      <c r="G1615" s="328" t="s">
        <v>2346</v>
      </c>
      <c r="H1615" s="328" t="s">
        <v>2347</v>
      </c>
      <c r="I1615" s="327">
        <v>15</v>
      </c>
      <c r="J1615" s="327"/>
      <c r="K1615" s="327"/>
      <c r="L1615" s="327"/>
      <c r="M1615" s="327"/>
    </row>
    <row r="1616" spans="1:13" x14ac:dyDescent="0.25">
      <c r="A1616" t="s">
        <v>180</v>
      </c>
      <c r="B1616" s="50" t="s">
        <v>2330</v>
      </c>
      <c r="C1616" s="51"/>
      <c r="D1616" s="326">
        <v>610000004606</v>
      </c>
      <c r="E1616" s="326">
        <f>VLOOKUP(D1616,'[1]Task list &amp; Maintenace plan'!$B:$G,6,FALSE)</f>
        <v>101040</v>
      </c>
      <c r="F1616" s="327" t="s">
        <v>2332</v>
      </c>
      <c r="G1616" s="328" t="s">
        <v>471</v>
      </c>
      <c r="H1616" s="328" t="s">
        <v>2348</v>
      </c>
      <c r="I1616" s="327">
        <v>15</v>
      </c>
      <c r="J1616" s="327"/>
      <c r="K1616" s="327"/>
      <c r="L1616" s="327"/>
      <c r="M1616" s="327"/>
    </row>
    <row r="1617" spans="1:13" x14ac:dyDescent="0.25">
      <c r="A1617" t="s">
        <v>180</v>
      </c>
      <c r="B1617" s="50" t="s">
        <v>2330</v>
      </c>
      <c r="C1617" s="51"/>
      <c r="D1617" s="337">
        <v>610000004606</v>
      </c>
      <c r="E1617" s="337">
        <f>VLOOKUP(D1617,'[1]Task list &amp; Maintenace plan'!$B:$G,6,FALSE)</f>
        <v>101040</v>
      </c>
      <c r="F1617" s="338" t="s">
        <v>2332</v>
      </c>
      <c r="G1617" s="339" t="s">
        <v>333</v>
      </c>
      <c r="H1617" s="339" t="s">
        <v>2349</v>
      </c>
      <c r="I1617" s="338">
        <v>15</v>
      </c>
      <c r="J1617" s="338"/>
      <c r="K1617" s="338"/>
      <c r="L1617" s="338"/>
      <c r="M1617" s="338"/>
    </row>
    <row r="1618" spans="1:13" x14ac:dyDescent="0.25">
      <c r="A1618" t="s">
        <v>180</v>
      </c>
      <c r="B1618" s="50" t="s">
        <v>2330</v>
      </c>
      <c r="C1618" s="51"/>
      <c r="D1618" s="340">
        <v>610000004607</v>
      </c>
      <c r="E1618" s="340">
        <f>VLOOKUP(D1618,'[1]Task list &amp; Maintenace plan'!$B:$G,6,FALSE)</f>
        <v>101041</v>
      </c>
      <c r="F1618" s="341" t="s">
        <v>2350</v>
      </c>
      <c r="G1618" s="342" t="s">
        <v>2331</v>
      </c>
      <c r="H1618" s="342" t="s">
        <v>2351</v>
      </c>
      <c r="I1618" s="341">
        <v>30</v>
      </c>
      <c r="J1618" s="341"/>
      <c r="K1618" s="341"/>
      <c r="L1618" s="341"/>
      <c r="M1618" s="341"/>
    </row>
    <row r="1619" spans="1:13" x14ac:dyDescent="0.25">
      <c r="A1619" t="s">
        <v>180</v>
      </c>
      <c r="B1619" s="50" t="s">
        <v>2330</v>
      </c>
      <c r="C1619" s="51"/>
      <c r="D1619" s="326">
        <v>610000004607</v>
      </c>
      <c r="E1619" s="326">
        <f>VLOOKUP(D1619,'[1]Task list &amp; Maintenace plan'!$B:$G,6,FALSE)</f>
        <v>101041</v>
      </c>
      <c r="F1619" s="327" t="s">
        <v>2350</v>
      </c>
      <c r="G1619" s="328" t="s">
        <v>2334</v>
      </c>
      <c r="H1619" s="328" t="s">
        <v>2352</v>
      </c>
      <c r="I1619" s="327">
        <v>30</v>
      </c>
      <c r="J1619" s="327"/>
      <c r="K1619" s="327"/>
      <c r="L1619" s="327"/>
      <c r="M1619" s="327"/>
    </row>
    <row r="1620" spans="1:13" x14ac:dyDescent="0.25">
      <c r="A1620" t="s">
        <v>180</v>
      </c>
      <c r="B1620" s="50" t="s">
        <v>2330</v>
      </c>
      <c r="C1620" s="51"/>
      <c r="D1620" s="326">
        <v>610000004607</v>
      </c>
      <c r="E1620" s="326">
        <f>VLOOKUP(D1620,'[1]Task list &amp; Maintenace plan'!$B:$G,6,FALSE)</f>
        <v>101041</v>
      </c>
      <c r="F1620" s="327" t="s">
        <v>2350</v>
      </c>
      <c r="G1620" s="328" t="s">
        <v>2336</v>
      </c>
      <c r="H1620" s="328" t="s">
        <v>2353</v>
      </c>
      <c r="I1620" s="327">
        <v>30</v>
      </c>
      <c r="J1620" s="327"/>
      <c r="K1620" s="327"/>
      <c r="L1620" s="327"/>
      <c r="M1620" s="327"/>
    </row>
    <row r="1621" spans="1:13" x14ac:dyDescent="0.25">
      <c r="A1621" t="s">
        <v>180</v>
      </c>
      <c r="B1621" s="50" t="s">
        <v>2330</v>
      </c>
      <c r="C1621" s="51"/>
      <c r="D1621" s="326">
        <v>610000004607</v>
      </c>
      <c r="E1621" s="326">
        <f>VLOOKUP(D1621,'[1]Task list &amp; Maintenace plan'!$B:$G,6,FALSE)</f>
        <v>101041</v>
      </c>
      <c r="F1621" s="327" t="s">
        <v>2350</v>
      </c>
      <c r="G1621" s="328" t="s">
        <v>2338</v>
      </c>
      <c r="H1621" s="328" t="s">
        <v>2354</v>
      </c>
      <c r="I1621" s="327">
        <v>30</v>
      </c>
      <c r="J1621" s="327"/>
      <c r="K1621" s="327"/>
      <c r="L1621" s="327"/>
      <c r="M1621" s="327"/>
    </row>
    <row r="1622" spans="1:13" x14ac:dyDescent="0.25">
      <c r="A1622" t="s">
        <v>180</v>
      </c>
      <c r="B1622" s="50" t="s">
        <v>2330</v>
      </c>
      <c r="C1622" s="51"/>
      <c r="D1622" s="326">
        <v>610000004607</v>
      </c>
      <c r="E1622" s="326">
        <f>VLOOKUP(D1622,'[1]Task list &amp; Maintenace plan'!$B:$G,6,FALSE)</f>
        <v>101041</v>
      </c>
      <c r="F1622" s="327" t="s">
        <v>2350</v>
      </c>
      <c r="G1622" s="328" t="s">
        <v>2340</v>
      </c>
      <c r="H1622" s="328" t="s">
        <v>2355</v>
      </c>
      <c r="I1622" s="327">
        <v>30</v>
      </c>
      <c r="J1622" s="327"/>
      <c r="K1622" s="327"/>
      <c r="L1622" s="327"/>
      <c r="M1622" s="327"/>
    </row>
    <row r="1623" spans="1:13" x14ac:dyDescent="0.25">
      <c r="A1623" t="s">
        <v>180</v>
      </c>
      <c r="B1623" s="50" t="s">
        <v>2330</v>
      </c>
      <c r="C1623" s="51"/>
      <c r="D1623" s="326">
        <v>610000004607</v>
      </c>
      <c r="E1623" s="326">
        <f>VLOOKUP(D1623,'[1]Task list &amp; Maintenace plan'!$B:$G,6,FALSE)</f>
        <v>101041</v>
      </c>
      <c r="F1623" s="327" t="s">
        <v>2350</v>
      </c>
      <c r="G1623" s="328" t="s">
        <v>2342</v>
      </c>
      <c r="H1623" s="328" t="s">
        <v>2356</v>
      </c>
      <c r="I1623" s="327">
        <v>30</v>
      </c>
      <c r="J1623" s="327"/>
      <c r="K1623" s="327"/>
      <c r="L1623" s="327"/>
      <c r="M1623" s="327"/>
    </row>
    <row r="1624" spans="1:13" x14ac:dyDescent="0.25">
      <c r="A1624" t="s">
        <v>180</v>
      </c>
      <c r="B1624" s="50" t="s">
        <v>2330</v>
      </c>
      <c r="C1624" s="51"/>
      <c r="D1624" s="326">
        <v>610000004607</v>
      </c>
      <c r="E1624" s="326">
        <f>VLOOKUP(D1624,'[1]Task list &amp; Maintenace plan'!$B:$G,6,FALSE)</f>
        <v>101041</v>
      </c>
      <c r="F1624" s="327" t="s">
        <v>2350</v>
      </c>
      <c r="G1624" s="328" t="s">
        <v>715</v>
      </c>
      <c r="H1624" s="328" t="s">
        <v>717</v>
      </c>
      <c r="I1624" s="327">
        <v>30</v>
      </c>
      <c r="J1624" s="327"/>
      <c r="K1624" s="327"/>
      <c r="L1624" s="327"/>
      <c r="M1624" s="327"/>
    </row>
    <row r="1625" spans="1:13" x14ac:dyDescent="0.25">
      <c r="A1625" t="s">
        <v>180</v>
      </c>
      <c r="B1625" s="50" t="s">
        <v>2330</v>
      </c>
      <c r="C1625" s="51"/>
      <c r="D1625" s="326">
        <v>610000004607</v>
      </c>
      <c r="E1625" s="326">
        <f>VLOOKUP(D1625,'[1]Task list &amp; Maintenace plan'!$B:$G,6,FALSE)</f>
        <v>101041</v>
      </c>
      <c r="F1625" s="327" t="s">
        <v>2350</v>
      </c>
      <c r="G1625" s="328" t="s">
        <v>487</v>
      </c>
      <c r="H1625" s="328" t="s">
        <v>720</v>
      </c>
      <c r="I1625" s="327">
        <v>30</v>
      </c>
      <c r="J1625" s="327"/>
      <c r="K1625" s="327"/>
      <c r="L1625" s="327"/>
      <c r="M1625" s="327"/>
    </row>
    <row r="1626" spans="1:13" x14ac:dyDescent="0.25">
      <c r="A1626" t="s">
        <v>180</v>
      </c>
      <c r="B1626" s="50" t="s">
        <v>2330</v>
      </c>
      <c r="C1626" s="51"/>
      <c r="D1626" s="326">
        <v>610000004607</v>
      </c>
      <c r="E1626" s="326">
        <f>VLOOKUP(D1626,'[1]Task list &amp; Maintenace plan'!$B:$G,6,FALSE)</f>
        <v>101041</v>
      </c>
      <c r="F1626" s="327" t="s">
        <v>2350</v>
      </c>
      <c r="G1626" s="328" t="s">
        <v>2346</v>
      </c>
      <c r="H1626" s="328" t="s">
        <v>2357</v>
      </c>
      <c r="I1626" s="327">
        <v>30</v>
      </c>
      <c r="J1626" s="327"/>
      <c r="K1626" s="327"/>
      <c r="L1626" s="327"/>
      <c r="M1626" s="327"/>
    </row>
    <row r="1627" spans="1:13" x14ac:dyDescent="0.25">
      <c r="A1627" t="s">
        <v>180</v>
      </c>
      <c r="B1627" s="50" t="s">
        <v>2330</v>
      </c>
      <c r="C1627" s="51"/>
      <c r="D1627" s="326">
        <v>610000004607</v>
      </c>
      <c r="E1627" s="326">
        <f>VLOOKUP(D1627,'[1]Task list &amp; Maintenace plan'!$B:$G,6,FALSE)</f>
        <v>101041</v>
      </c>
      <c r="F1627" s="327" t="s">
        <v>2350</v>
      </c>
      <c r="G1627" s="328" t="s">
        <v>471</v>
      </c>
      <c r="H1627" s="328" t="s">
        <v>2358</v>
      </c>
      <c r="I1627" s="327">
        <v>30</v>
      </c>
      <c r="J1627" s="327"/>
      <c r="K1627" s="327"/>
      <c r="L1627" s="327"/>
      <c r="M1627" s="327"/>
    </row>
    <row r="1628" spans="1:13" x14ac:dyDescent="0.25">
      <c r="A1628" t="s">
        <v>180</v>
      </c>
      <c r="B1628" s="50" t="s">
        <v>2330</v>
      </c>
      <c r="C1628" s="51"/>
      <c r="D1628" s="337">
        <v>610000004607</v>
      </c>
      <c r="E1628" s="337">
        <f>VLOOKUP(D1628,'[1]Task list &amp; Maintenace plan'!$B:$G,6,FALSE)</f>
        <v>101041</v>
      </c>
      <c r="F1628" s="338" t="s">
        <v>2350</v>
      </c>
      <c r="G1628" s="339" t="s">
        <v>333</v>
      </c>
      <c r="H1628" s="339" t="s">
        <v>335</v>
      </c>
      <c r="I1628" s="338">
        <v>30</v>
      </c>
      <c r="J1628" s="338"/>
      <c r="K1628" s="338"/>
      <c r="L1628" s="338"/>
      <c r="M1628" s="338"/>
    </row>
    <row r="1629" spans="1:13" x14ac:dyDescent="0.25">
      <c r="A1629" t="s">
        <v>180</v>
      </c>
      <c r="B1629" s="50" t="s">
        <v>2330</v>
      </c>
      <c r="C1629" s="51"/>
      <c r="D1629" s="334">
        <v>357562</v>
      </c>
      <c r="E1629" s="334">
        <f>VLOOKUP(D1629,'[1]Task list &amp; Maintenace plan'!$B:$G,6,FALSE)</f>
        <v>2073</v>
      </c>
      <c r="F1629" s="335" t="s">
        <v>2359</v>
      </c>
      <c r="G1629" s="336" t="s">
        <v>2336</v>
      </c>
      <c r="H1629" s="336" t="s">
        <v>2360</v>
      </c>
      <c r="I1629" s="335">
        <v>30</v>
      </c>
      <c r="J1629" s="335">
        <v>1</v>
      </c>
      <c r="K1629" s="335"/>
      <c r="L1629" s="335"/>
      <c r="M1629" s="335"/>
    </row>
    <row r="1630" spans="1:13" x14ac:dyDescent="0.25">
      <c r="A1630" t="s">
        <v>180</v>
      </c>
      <c r="B1630" s="50" t="s">
        <v>2330</v>
      </c>
      <c r="C1630" s="51"/>
      <c r="D1630" s="326">
        <v>357562</v>
      </c>
      <c r="E1630" s="326">
        <f>VLOOKUP(D1630,'[1]Task list &amp; Maintenace plan'!$B:$G,6,FALSE)</f>
        <v>2073</v>
      </c>
      <c r="F1630" s="327" t="s">
        <v>2359</v>
      </c>
      <c r="G1630" s="328" t="s">
        <v>2338</v>
      </c>
      <c r="H1630" s="328" t="s">
        <v>2361</v>
      </c>
      <c r="I1630" s="327">
        <v>30</v>
      </c>
      <c r="J1630" s="327">
        <v>1</v>
      </c>
      <c r="K1630" s="327"/>
      <c r="L1630" s="327"/>
      <c r="M1630" s="327"/>
    </row>
    <row r="1631" spans="1:13" x14ac:dyDescent="0.25">
      <c r="A1631" t="s">
        <v>180</v>
      </c>
      <c r="B1631" s="50" t="s">
        <v>2330</v>
      </c>
      <c r="C1631" s="51"/>
      <c r="D1631" s="326">
        <v>357562</v>
      </c>
      <c r="E1631" s="326">
        <f>VLOOKUP(D1631,'[1]Task list &amp; Maintenace plan'!$B:$G,6,FALSE)</f>
        <v>2073</v>
      </c>
      <c r="F1631" s="327" t="s">
        <v>2359</v>
      </c>
      <c r="G1631" s="328" t="s">
        <v>487</v>
      </c>
      <c r="H1631" s="328" t="s">
        <v>2362</v>
      </c>
      <c r="I1631" s="327">
        <v>30</v>
      </c>
      <c r="J1631" s="327">
        <v>1</v>
      </c>
      <c r="K1631" s="327"/>
      <c r="L1631" s="327"/>
      <c r="M1631" s="327"/>
    </row>
    <row r="1632" spans="1:13" x14ac:dyDescent="0.25">
      <c r="A1632" t="s">
        <v>180</v>
      </c>
      <c r="B1632" s="50" t="s">
        <v>2330</v>
      </c>
      <c r="C1632" s="51"/>
      <c r="D1632" s="326">
        <v>357562</v>
      </c>
      <c r="E1632" s="326">
        <f>VLOOKUP(D1632,'[1]Task list &amp; Maintenace plan'!$B:$G,6,FALSE)</f>
        <v>2073</v>
      </c>
      <c r="F1632" s="327" t="s">
        <v>2359</v>
      </c>
      <c r="G1632" s="328" t="s">
        <v>2336</v>
      </c>
      <c r="H1632" s="328" t="s">
        <v>2363</v>
      </c>
      <c r="I1632" s="327">
        <v>30</v>
      </c>
      <c r="J1632" s="327">
        <v>1</v>
      </c>
      <c r="K1632" s="327"/>
      <c r="L1632" s="327"/>
      <c r="M1632" s="327"/>
    </row>
    <row r="1633" spans="1:13" x14ac:dyDescent="0.25">
      <c r="A1633" t="s">
        <v>180</v>
      </c>
      <c r="B1633" s="50" t="s">
        <v>2330</v>
      </c>
      <c r="C1633" s="51"/>
      <c r="D1633" s="326">
        <v>357562</v>
      </c>
      <c r="E1633" s="326">
        <f>VLOOKUP(D1633,'[1]Task list &amp; Maintenace plan'!$B:$G,6,FALSE)</f>
        <v>2073</v>
      </c>
      <c r="F1633" s="327" t="s">
        <v>2359</v>
      </c>
      <c r="G1633" s="328" t="s">
        <v>2338</v>
      </c>
      <c r="H1633" s="328" t="s">
        <v>2364</v>
      </c>
      <c r="I1633" s="327">
        <v>30</v>
      </c>
      <c r="J1633" s="327">
        <v>1</v>
      </c>
      <c r="K1633" s="327"/>
      <c r="L1633" s="327"/>
      <c r="M1633" s="327"/>
    </row>
    <row r="1634" spans="1:13" x14ac:dyDescent="0.25">
      <c r="A1634" t="s">
        <v>180</v>
      </c>
      <c r="B1634" s="50" t="s">
        <v>2330</v>
      </c>
      <c r="C1634" s="51"/>
      <c r="D1634" s="326">
        <v>357562</v>
      </c>
      <c r="E1634" s="326">
        <f>VLOOKUP(D1634,'[1]Task list &amp; Maintenace plan'!$B:$G,6,FALSE)</f>
        <v>2073</v>
      </c>
      <c r="F1634" s="327" t="s">
        <v>2359</v>
      </c>
      <c r="G1634" s="328" t="s">
        <v>487</v>
      </c>
      <c r="H1634" s="328" t="s">
        <v>2365</v>
      </c>
      <c r="I1634" s="327">
        <v>30</v>
      </c>
      <c r="J1634" s="327">
        <v>1</v>
      </c>
      <c r="K1634" s="327"/>
      <c r="L1634" s="327"/>
      <c r="M1634" s="327"/>
    </row>
    <row r="1635" spans="1:13" x14ac:dyDescent="0.25">
      <c r="A1635" t="s">
        <v>180</v>
      </c>
      <c r="B1635" s="50" t="s">
        <v>2330</v>
      </c>
      <c r="C1635" s="51"/>
      <c r="D1635" s="326">
        <v>357562</v>
      </c>
      <c r="E1635" s="326">
        <f>VLOOKUP(D1635,'[1]Task list &amp; Maintenace plan'!$B:$G,6,FALSE)</f>
        <v>2073</v>
      </c>
      <c r="F1635" s="327" t="s">
        <v>2359</v>
      </c>
      <c r="G1635" s="328" t="s">
        <v>2336</v>
      </c>
      <c r="H1635" s="328" t="s">
        <v>2366</v>
      </c>
      <c r="I1635" s="327">
        <v>30</v>
      </c>
      <c r="J1635" s="327">
        <v>1</v>
      </c>
      <c r="K1635" s="327"/>
      <c r="L1635" s="327"/>
      <c r="M1635" s="327"/>
    </row>
    <row r="1636" spans="1:13" x14ac:dyDescent="0.25">
      <c r="A1636" t="s">
        <v>180</v>
      </c>
      <c r="B1636" s="50" t="s">
        <v>2330</v>
      </c>
      <c r="C1636" s="51"/>
      <c r="D1636" s="326">
        <v>357562</v>
      </c>
      <c r="E1636" s="326">
        <f>VLOOKUP(D1636,'[1]Task list &amp; Maintenace plan'!$B:$G,6,FALSE)</f>
        <v>2073</v>
      </c>
      <c r="F1636" s="327" t="s">
        <v>2359</v>
      </c>
      <c r="G1636" s="328" t="s">
        <v>2338</v>
      </c>
      <c r="H1636" s="328" t="s">
        <v>2367</v>
      </c>
      <c r="I1636" s="327">
        <v>30</v>
      </c>
      <c r="J1636" s="327">
        <v>1</v>
      </c>
      <c r="K1636" s="327"/>
      <c r="L1636" s="327"/>
      <c r="M1636" s="327"/>
    </row>
    <row r="1637" spans="1:13" x14ac:dyDescent="0.25">
      <c r="A1637" t="s">
        <v>180</v>
      </c>
      <c r="B1637" s="50" t="s">
        <v>2330</v>
      </c>
      <c r="C1637" s="51"/>
      <c r="D1637" s="337">
        <v>357562</v>
      </c>
      <c r="E1637" s="337">
        <f>VLOOKUP(D1637,'[1]Task list &amp; Maintenace plan'!$B:$G,6,FALSE)</f>
        <v>2073</v>
      </c>
      <c r="F1637" s="338" t="s">
        <v>2359</v>
      </c>
      <c r="G1637" s="339" t="s">
        <v>487</v>
      </c>
      <c r="H1637" s="339" t="s">
        <v>2368</v>
      </c>
      <c r="I1637" s="338">
        <v>30</v>
      </c>
      <c r="J1637" s="338">
        <v>1</v>
      </c>
      <c r="K1637" s="338"/>
      <c r="L1637" s="338"/>
      <c r="M1637" s="338"/>
    </row>
    <row r="1638" spans="1:13" x14ac:dyDescent="0.25">
      <c r="A1638" t="s">
        <v>180</v>
      </c>
      <c r="B1638" s="50" t="s">
        <v>2330</v>
      </c>
      <c r="C1638" s="51"/>
      <c r="D1638" s="340">
        <v>610000004608</v>
      </c>
      <c r="E1638" s="340">
        <f>VLOOKUP(D1638,'[1]Task list &amp; Maintenace plan'!$B:$G,6,FALSE)</f>
        <v>101042</v>
      </c>
      <c r="F1638" s="341" t="s">
        <v>2369</v>
      </c>
      <c r="G1638" s="342" t="s">
        <v>2331</v>
      </c>
      <c r="H1638" s="377" t="s">
        <v>2370</v>
      </c>
      <c r="I1638" s="341">
        <v>60</v>
      </c>
      <c r="J1638" s="341"/>
      <c r="K1638" s="341"/>
      <c r="L1638" s="341"/>
      <c r="M1638" s="341"/>
    </row>
    <row r="1639" spans="1:13" x14ac:dyDescent="0.25">
      <c r="A1639" t="s">
        <v>180</v>
      </c>
      <c r="B1639" s="50" t="s">
        <v>2330</v>
      </c>
      <c r="C1639" s="51"/>
      <c r="D1639" s="326">
        <v>610000004608</v>
      </c>
      <c r="E1639" s="326">
        <f>VLOOKUP(D1639,'[1]Task list &amp; Maintenace plan'!$B:$G,6,FALSE)</f>
        <v>101042</v>
      </c>
      <c r="F1639" s="327" t="s">
        <v>2369</v>
      </c>
      <c r="G1639" s="328" t="s">
        <v>2334</v>
      </c>
      <c r="H1639" s="328" t="s">
        <v>2371</v>
      </c>
      <c r="I1639" s="327">
        <v>60</v>
      </c>
      <c r="J1639" s="327">
        <v>1</v>
      </c>
      <c r="K1639" s="327"/>
      <c r="L1639" s="327"/>
      <c r="M1639" s="327"/>
    </row>
    <row r="1640" spans="1:13" x14ac:dyDescent="0.25">
      <c r="A1640" t="s">
        <v>180</v>
      </c>
      <c r="B1640" s="50" t="s">
        <v>2330</v>
      </c>
      <c r="C1640" s="51"/>
      <c r="D1640" s="326">
        <v>610000004608</v>
      </c>
      <c r="E1640" s="326">
        <f>VLOOKUP(D1640,'[1]Task list &amp; Maintenace plan'!$B:$G,6,FALSE)</f>
        <v>101042</v>
      </c>
      <c r="F1640" s="327" t="s">
        <v>2369</v>
      </c>
      <c r="G1640" s="328" t="s">
        <v>2336</v>
      </c>
      <c r="H1640" s="378" t="s">
        <v>2372</v>
      </c>
      <c r="I1640" s="327">
        <v>60</v>
      </c>
      <c r="J1640" s="327"/>
      <c r="K1640" s="327"/>
      <c r="L1640" s="327"/>
      <c r="M1640" s="327"/>
    </row>
    <row r="1641" spans="1:13" x14ac:dyDescent="0.25">
      <c r="A1641" t="s">
        <v>180</v>
      </c>
      <c r="B1641" s="50" t="s">
        <v>2330</v>
      </c>
      <c r="C1641" s="51"/>
      <c r="D1641" s="326">
        <v>610000004608</v>
      </c>
      <c r="E1641" s="326">
        <f>VLOOKUP(D1641,'[1]Task list &amp; Maintenace plan'!$B:$G,6,FALSE)</f>
        <v>101042</v>
      </c>
      <c r="F1641" s="327" t="s">
        <v>2369</v>
      </c>
      <c r="G1641" s="328" t="s">
        <v>2338</v>
      </c>
      <c r="H1641" s="378" t="s">
        <v>2373</v>
      </c>
      <c r="I1641" s="327">
        <v>60</v>
      </c>
      <c r="J1641" s="327"/>
      <c r="K1641" s="327"/>
      <c r="L1641" s="327"/>
      <c r="M1641" s="327"/>
    </row>
    <row r="1642" spans="1:13" x14ac:dyDescent="0.25">
      <c r="A1642" t="s">
        <v>180</v>
      </c>
      <c r="B1642" s="50" t="s">
        <v>2330</v>
      </c>
      <c r="C1642" s="51"/>
      <c r="D1642" s="326">
        <v>610000004608</v>
      </c>
      <c r="E1642" s="326">
        <f>VLOOKUP(D1642,'[1]Task list &amp; Maintenace plan'!$B:$G,6,FALSE)</f>
        <v>101042</v>
      </c>
      <c r="F1642" s="327" t="s">
        <v>2369</v>
      </c>
      <c r="G1642" s="328" t="s">
        <v>2340</v>
      </c>
      <c r="H1642" s="328" t="s">
        <v>2374</v>
      </c>
      <c r="I1642" s="327">
        <v>60</v>
      </c>
      <c r="J1642" s="327">
        <v>1</v>
      </c>
      <c r="K1642" s="327"/>
      <c r="L1642" s="327"/>
      <c r="M1642" s="327"/>
    </row>
    <row r="1643" spans="1:13" x14ac:dyDescent="0.25">
      <c r="A1643" t="s">
        <v>180</v>
      </c>
      <c r="B1643" s="50" t="s">
        <v>2330</v>
      </c>
      <c r="C1643" s="51"/>
      <c r="D1643" s="326">
        <v>610000004608</v>
      </c>
      <c r="E1643" s="326">
        <f>VLOOKUP(D1643,'[1]Task list &amp; Maintenace plan'!$B:$G,6,FALSE)</f>
        <v>101042</v>
      </c>
      <c r="F1643" s="327" t="s">
        <v>2369</v>
      </c>
      <c r="G1643" s="328" t="s">
        <v>2342</v>
      </c>
      <c r="H1643" s="328" t="s">
        <v>2375</v>
      </c>
      <c r="I1643" s="327">
        <v>60</v>
      </c>
      <c r="J1643" s="327">
        <v>1</v>
      </c>
      <c r="K1643" s="327"/>
      <c r="L1643" s="327"/>
      <c r="M1643" s="327"/>
    </row>
    <row r="1644" spans="1:13" x14ac:dyDescent="0.25">
      <c r="A1644" t="s">
        <v>180</v>
      </c>
      <c r="B1644" s="50" t="s">
        <v>2330</v>
      </c>
      <c r="C1644" s="51"/>
      <c r="D1644" s="326">
        <v>610000004608</v>
      </c>
      <c r="E1644" s="326">
        <f>VLOOKUP(D1644,'[1]Task list &amp; Maintenace plan'!$B:$G,6,FALSE)</f>
        <v>101042</v>
      </c>
      <c r="F1644" s="327" t="s">
        <v>2369</v>
      </c>
      <c r="G1644" s="328" t="s">
        <v>715</v>
      </c>
      <c r="H1644" s="328" t="s">
        <v>749</v>
      </c>
      <c r="I1644" s="327">
        <v>60</v>
      </c>
      <c r="J1644" s="327">
        <v>1</v>
      </c>
      <c r="K1644" s="327"/>
      <c r="L1644" s="327"/>
      <c r="M1644" s="327"/>
    </row>
    <row r="1645" spans="1:13" x14ac:dyDescent="0.25">
      <c r="A1645" t="s">
        <v>180</v>
      </c>
      <c r="B1645" s="50" t="s">
        <v>2330</v>
      </c>
      <c r="C1645" s="51"/>
      <c r="D1645" s="326">
        <v>610000004608</v>
      </c>
      <c r="E1645" s="326">
        <f>VLOOKUP(D1645,'[1]Task list &amp; Maintenace plan'!$B:$G,6,FALSE)</f>
        <v>101042</v>
      </c>
      <c r="F1645" s="327" t="s">
        <v>2369</v>
      </c>
      <c r="G1645" s="328" t="s">
        <v>487</v>
      </c>
      <c r="H1645" s="378" t="s">
        <v>751</v>
      </c>
      <c r="I1645" s="327">
        <v>60</v>
      </c>
      <c r="J1645" s="327"/>
      <c r="K1645" s="327"/>
      <c r="L1645" s="327"/>
      <c r="M1645" s="327"/>
    </row>
    <row r="1646" spans="1:13" x14ac:dyDescent="0.25">
      <c r="A1646" t="s">
        <v>180</v>
      </c>
      <c r="B1646" s="50" t="s">
        <v>2330</v>
      </c>
      <c r="C1646" s="51"/>
      <c r="D1646" s="326">
        <v>610000004608</v>
      </c>
      <c r="E1646" s="326">
        <f>VLOOKUP(D1646,'[1]Task list &amp; Maintenace plan'!$B:$G,6,FALSE)</f>
        <v>101042</v>
      </c>
      <c r="F1646" s="327" t="s">
        <v>2369</v>
      </c>
      <c r="G1646" s="328" t="s">
        <v>2346</v>
      </c>
      <c r="H1646" s="328" t="s">
        <v>2376</v>
      </c>
      <c r="I1646" s="327">
        <v>60</v>
      </c>
      <c r="J1646" s="327">
        <v>1</v>
      </c>
      <c r="K1646" s="327"/>
      <c r="L1646" s="327"/>
      <c r="M1646" s="327"/>
    </row>
    <row r="1647" spans="1:13" x14ac:dyDescent="0.25">
      <c r="A1647" t="s">
        <v>180</v>
      </c>
      <c r="B1647" s="50" t="s">
        <v>2330</v>
      </c>
      <c r="C1647" s="51"/>
      <c r="D1647" s="326">
        <v>610000004608</v>
      </c>
      <c r="E1647" s="326">
        <f>VLOOKUP(D1647,'[1]Task list &amp; Maintenace plan'!$B:$G,6,FALSE)</f>
        <v>101042</v>
      </c>
      <c r="F1647" s="327" t="s">
        <v>2369</v>
      </c>
      <c r="G1647" s="328" t="s">
        <v>471</v>
      </c>
      <c r="H1647" s="328" t="s">
        <v>2377</v>
      </c>
      <c r="I1647" s="327">
        <v>60</v>
      </c>
      <c r="J1647" s="327">
        <v>1</v>
      </c>
      <c r="K1647" s="327"/>
      <c r="L1647" s="327"/>
      <c r="M1647" s="327"/>
    </row>
    <row r="1648" spans="1:13" x14ac:dyDescent="0.25">
      <c r="A1648" t="s">
        <v>180</v>
      </c>
      <c r="B1648" s="50" t="s">
        <v>2330</v>
      </c>
      <c r="C1648" s="51"/>
      <c r="D1648" s="337">
        <v>610000004608</v>
      </c>
      <c r="E1648" s="337">
        <f>VLOOKUP(D1648,'[1]Task list &amp; Maintenace plan'!$B:$G,6,FALSE)</f>
        <v>101042</v>
      </c>
      <c r="F1648" s="338" t="s">
        <v>2369</v>
      </c>
      <c r="G1648" s="339" t="s">
        <v>333</v>
      </c>
      <c r="H1648" s="339" t="s">
        <v>340</v>
      </c>
      <c r="I1648" s="338">
        <v>60</v>
      </c>
      <c r="J1648" s="338">
        <v>1</v>
      </c>
      <c r="K1648" s="338"/>
      <c r="L1648" s="338"/>
      <c r="M1648" s="338"/>
    </row>
    <row r="1649" spans="1:13" x14ac:dyDescent="0.25">
      <c r="A1649" t="s">
        <v>180</v>
      </c>
      <c r="B1649" s="50" t="s">
        <v>2330</v>
      </c>
      <c r="C1649" s="51"/>
      <c r="D1649" s="340">
        <v>610000004609</v>
      </c>
      <c r="E1649" s="340">
        <f>VLOOKUP(D1649,'[1]Task list &amp; Maintenace plan'!$B:$G,6,FALSE)</f>
        <v>101043</v>
      </c>
      <c r="F1649" s="341" t="s">
        <v>2378</v>
      </c>
      <c r="G1649" s="342" t="s">
        <v>2331</v>
      </c>
      <c r="H1649" s="342" t="s">
        <v>2379</v>
      </c>
      <c r="I1649" s="341">
        <v>90</v>
      </c>
      <c r="J1649" s="341"/>
      <c r="K1649" s="341"/>
      <c r="L1649" s="341"/>
      <c r="M1649" s="341"/>
    </row>
    <row r="1650" spans="1:13" x14ac:dyDescent="0.25">
      <c r="A1650" t="s">
        <v>180</v>
      </c>
      <c r="B1650" s="50" t="s">
        <v>2330</v>
      </c>
      <c r="C1650" s="51"/>
      <c r="D1650" s="326">
        <v>610000004609</v>
      </c>
      <c r="E1650" s="326">
        <f>VLOOKUP(D1650,'[1]Task list &amp; Maintenace plan'!$B:$G,6,FALSE)</f>
        <v>101043</v>
      </c>
      <c r="F1650" s="327" t="s">
        <v>2378</v>
      </c>
      <c r="G1650" s="328" t="s">
        <v>2334</v>
      </c>
      <c r="H1650" s="328" t="s">
        <v>2380</v>
      </c>
      <c r="I1650" s="327">
        <v>90</v>
      </c>
      <c r="J1650" s="327"/>
      <c r="K1650" s="327"/>
      <c r="L1650" s="327"/>
      <c r="M1650" s="327"/>
    </row>
    <row r="1651" spans="1:13" x14ac:dyDescent="0.25">
      <c r="A1651" t="s">
        <v>180</v>
      </c>
      <c r="B1651" s="50" t="s">
        <v>2330</v>
      </c>
      <c r="C1651" s="51"/>
      <c r="D1651" s="326">
        <v>610000004609</v>
      </c>
      <c r="E1651" s="326">
        <f>VLOOKUP(D1651,'[1]Task list &amp; Maintenace plan'!$B:$G,6,FALSE)</f>
        <v>101043</v>
      </c>
      <c r="F1651" s="327" t="s">
        <v>2378</v>
      </c>
      <c r="G1651" s="328" t="s">
        <v>2336</v>
      </c>
      <c r="H1651" s="328" t="s">
        <v>2381</v>
      </c>
      <c r="I1651" s="327">
        <v>90</v>
      </c>
      <c r="J1651" s="327"/>
      <c r="K1651" s="327"/>
      <c r="L1651" s="327"/>
      <c r="M1651" s="327"/>
    </row>
    <row r="1652" spans="1:13" x14ac:dyDescent="0.25">
      <c r="A1652" t="s">
        <v>180</v>
      </c>
      <c r="B1652" s="50" t="s">
        <v>2330</v>
      </c>
      <c r="C1652" s="51"/>
      <c r="D1652" s="326">
        <v>610000004609</v>
      </c>
      <c r="E1652" s="326">
        <f>VLOOKUP(D1652,'[1]Task list &amp; Maintenace plan'!$B:$G,6,FALSE)</f>
        <v>101043</v>
      </c>
      <c r="F1652" s="327" t="s">
        <v>2378</v>
      </c>
      <c r="G1652" s="328" t="s">
        <v>2338</v>
      </c>
      <c r="H1652" s="328" t="s">
        <v>2382</v>
      </c>
      <c r="I1652" s="327">
        <v>90</v>
      </c>
      <c r="J1652" s="327"/>
      <c r="K1652" s="327"/>
      <c r="L1652" s="327"/>
      <c r="M1652" s="327"/>
    </row>
    <row r="1653" spans="1:13" x14ac:dyDescent="0.25">
      <c r="A1653" t="s">
        <v>180</v>
      </c>
      <c r="B1653" s="50" t="s">
        <v>2330</v>
      </c>
      <c r="C1653" s="51"/>
      <c r="D1653" s="326">
        <v>610000004609</v>
      </c>
      <c r="E1653" s="326">
        <f>VLOOKUP(D1653,'[1]Task list &amp; Maintenace plan'!$B:$G,6,FALSE)</f>
        <v>101043</v>
      </c>
      <c r="F1653" s="327" t="s">
        <v>2378</v>
      </c>
      <c r="G1653" s="328" t="s">
        <v>2340</v>
      </c>
      <c r="H1653" s="328" t="s">
        <v>2383</v>
      </c>
      <c r="I1653" s="327">
        <v>90</v>
      </c>
      <c r="J1653" s="327"/>
      <c r="K1653" s="327"/>
      <c r="L1653" s="327"/>
      <c r="M1653" s="327"/>
    </row>
    <row r="1654" spans="1:13" x14ac:dyDescent="0.25">
      <c r="A1654" t="s">
        <v>180</v>
      </c>
      <c r="B1654" s="50" t="s">
        <v>2330</v>
      </c>
      <c r="C1654" s="51"/>
      <c r="D1654" s="326">
        <v>610000004609</v>
      </c>
      <c r="E1654" s="326">
        <f>VLOOKUP(D1654,'[1]Task list &amp; Maintenace plan'!$B:$G,6,FALSE)</f>
        <v>101043</v>
      </c>
      <c r="F1654" s="327" t="s">
        <v>2378</v>
      </c>
      <c r="G1654" s="328" t="s">
        <v>2342</v>
      </c>
      <c r="H1654" s="328" t="s">
        <v>2384</v>
      </c>
      <c r="I1654" s="327">
        <v>90</v>
      </c>
      <c r="J1654" s="327"/>
      <c r="K1654" s="327"/>
      <c r="L1654" s="327"/>
      <c r="M1654" s="327"/>
    </row>
    <row r="1655" spans="1:13" x14ac:dyDescent="0.25">
      <c r="A1655" t="s">
        <v>180</v>
      </c>
      <c r="B1655" s="50" t="s">
        <v>2330</v>
      </c>
      <c r="C1655" s="51"/>
      <c r="D1655" s="326">
        <v>610000004609</v>
      </c>
      <c r="E1655" s="326">
        <f>VLOOKUP(D1655,'[1]Task list &amp; Maintenace plan'!$B:$G,6,FALSE)</f>
        <v>101043</v>
      </c>
      <c r="F1655" s="327" t="s">
        <v>2378</v>
      </c>
      <c r="G1655" s="328" t="s">
        <v>715</v>
      </c>
      <c r="H1655" s="328" t="s">
        <v>737</v>
      </c>
      <c r="I1655" s="327">
        <v>90</v>
      </c>
      <c r="J1655" s="327"/>
      <c r="K1655" s="327"/>
      <c r="L1655" s="327"/>
      <c r="M1655" s="327"/>
    </row>
    <row r="1656" spans="1:13" x14ac:dyDescent="0.25">
      <c r="A1656" t="s">
        <v>180</v>
      </c>
      <c r="B1656" s="50" t="s">
        <v>2330</v>
      </c>
      <c r="C1656" s="51"/>
      <c r="D1656" s="326">
        <v>610000004609</v>
      </c>
      <c r="E1656" s="326">
        <f>VLOOKUP(D1656,'[1]Task list &amp; Maintenace plan'!$B:$G,6,FALSE)</f>
        <v>101043</v>
      </c>
      <c r="F1656" s="327" t="s">
        <v>2378</v>
      </c>
      <c r="G1656" s="328" t="s">
        <v>487</v>
      </c>
      <c r="H1656" s="328" t="s">
        <v>739</v>
      </c>
      <c r="I1656" s="327">
        <v>90</v>
      </c>
      <c r="J1656" s="327"/>
      <c r="K1656" s="327"/>
      <c r="L1656" s="327"/>
      <c r="M1656" s="327"/>
    </row>
    <row r="1657" spans="1:13" x14ac:dyDescent="0.25">
      <c r="A1657" t="s">
        <v>180</v>
      </c>
      <c r="B1657" s="50" t="s">
        <v>2330</v>
      </c>
      <c r="C1657" s="51"/>
      <c r="D1657" s="326">
        <v>610000004609</v>
      </c>
      <c r="E1657" s="326">
        <f>VLOOKUP(D1657,'[1]Task list &amp; Maintenace plan'!$B:$G,6,FALSE)</f>
        <v>101043</v>
      </c>
      <c r="F1657" s="327" t="s">
        <v>2378</v>
      </c>
      <c r="G1657" s="328" t="s">
        <v>2346</v>
      </c>
      <c r="H1657" s="328" t="s">
        <v>2385</v>
      </c>
      <c r="I1657" s="327">
        <v>90</v>
      </c>
      <c r="J1657" s="327"/>
      <c r="K1657" s="327"/>
      <c r="L1657" s="327"/>
      <c r="M1657" s="327"/>
    </row>
    <row r="1658" spans="1:13" x14ac:dyDescent="0.25">
      <c r="A1658" t="s">
        <v>180</v>
      </c>
      <c r="B1658" s="50" t="s">
        <v>2330</v>
      </c>
      <c r="C1658" s="51"/>
      <c r="D1658" s="326">
        <v>610000004609</v>
      </c>
      <c r="E1658" s="326">
        <f>VLOOKUP(D1658,'[1]Task list &amp; Maintenace plan'!$B:$G,6,FALSE)</f>
        <v>101043</v>
      </c>
      <c r="F1658" s="327" t="s">
        <v>2378</v>
      </c>
      <c r="G1658" s="328" t="s">
        <v>471</v>
      </c>
      <c r="H1658" s="328" t="s">
        <v>2386</v>
      </c>
      <c r="I1658" s="327">
        <v>90</v>
      </c>
      <c r="J1658" s="327"/>
      <c r="K1658" s="327"/>
      <c r="L1658" s="327"/>
      <c r="M1658" s="327"/>
    </row>
    <row r="1659" spans="1:13" x14ac:dyDescent="0.25">
      <c r="A1659" t="s">
        <v>180</v>
      </c>
      <c r="B1659" s="50" t="s">
        <v>2330</v>
      </c>
      <c r="C1659" s="51"/>
      <c r="D1659" s="337">
        <v>610000004609</v>
      </c>
      <c r="E1659" s="337">
        <f>VLOOKUP(D1659,'[1]Task list &amp; Maintenace plan'!$B:$G,6,FALSE)</f>
        <v>101043</v>
      </c>
      <c r="F1659" s="338" t="s">
        <v>2378</v>
      </c>
      <c r="G1659" s="339" t="s">
        <v>333</v>
      </c>
      <c r="H1659" s="339" t="s">
        <v>495</v>
      </c>
      <c r="I1659" s="338">
        <v>90</v>
      </c>
      <c r="J1659" s="338"/>
      <c r="K1659" s="338"/>
      <c r="L1659" s="338"/>
      <c r="M1659" s="338"/>
    </row>
    <row r="1660" spans="1:13" x14ac:dyDescent="0.25">
      <c r="A1660" t="s">
        <v>180</v>
      </c>
      <c r="B1660" s="50" t="s">
        <v>2330</v>
      </c>
      <c r="C1660" s="51"/>
      <c r="D1660" s="327">
        <v>357595</v>
      </c>
      <c r="E1660" s="327">
        <v>2076</v>
      </c>
      <c r="F1660" s="327" t="s">
        <v>2387</v>
      </c>
      <c r="G1660" s="379" t="s">
        <v>2336</v>
      </c>
      <c r="H1660" s="336" t="s">
        <v>2315</v>
      </c>
      <c r="I1660" s="327">
        <v>90</v>
      </c>
      <c r="J1660" s="327"/>
      <c r="K1660" s="327"/>
      <c r="L1660" s="327"/>
      <c r="M1660" s="327"/>
    </row>
    <row r="1661" spans="1:13" x14ac:dyDescent="0.25">
      <c r="A1661" t="s">
        <v>180</v>
      </c>
      <c r="B1661" s="50" t="s">
        <v>2330</v>
      </c>
      <c r="C1661" s="51"/>
      <c r="D1661" s="327">
        <v>357595</v>
      </c>
      <c r="E1661" s="327">
        <v>2076</v>
      </c>
      <c r="F1661" s="327" t="s">
        <v>2387</v>
      </c>
      <c r="G1661" s="379" t="s">
        <v>2336</v>
      </c>
      <c r="H1661" s="328" t="s">
        <v>2316</v>
      </c>
      <c r="I1661" s="327">
        <v>90</v>
      </c>
      <c r="J1661" s="327"/>
      <c r="K1661" s="327"/>
      <c r="L1661" s="327"/>
      <c r="M1661" s="327"/>
    </row>
    <row r="1662" spans="1:13" x14ac:dyDescent="0.25">
      <c r="A1662" t="s">
        <v>180</v>
      </c>
      <c r="B1662" s="50" t="s">
        <v>2330</v>
      </c>
      <c r="C1662" s="51"/>
      <c r="D1662" s="327">
        <v>357595</v>
      </c>
      <c r="E1662" s="327">
        <v>2076</v>
      </c>
      <c r="F1662" s="327" t="s">
        <v>2387</v>
      </c>
      <c r="G1662" s="380" t="s">
        <v>2336</v>
      </c>
      <c r="H1662" s="328" t="s">
        <v>2317</v>
      </c>
      <c r="I1662" s="327">
        <v>90</v>
      </c>
      <c r="J1662" s="327"/>
      <c r="K1662" s="327"/>
      <c r="L1662" s="327"/>
      <c r="M1662" s="327"/>
    </row>
    <row r="1663" spans="1:13" x14ac:dyDescent="0.25">
      <c r="A1663" t="s">
        <v>180</v>
      </c>
      <c r="B1663" s="50" t="s">
        <v>2330</v>
      </c>
      <c r="C1663" s="51"/>
      <c r="D1663" s="327">
        <v>357595</v>
      </c>
      <c r="E1663" s="327">
        <v>2076</v>
      </c>
      <c r="F1663" s="327" t="s">
        <v>2387</v>
      </c>
      <c r="G1663" s="381" t="s">
        <v>2336</v>
      </c>
      <c r="H1663" s="328" t="s">
        <v>2318</v>
      </c>
      <c r="I1663" s="327">
        <v>90</v>
      </c>
      <c r="J1663" s="327"/>
      <c r="K1663" s="327"/>
      <c r="L1663" s="327"/>
      <c r="M1663" s="327"/>
    </row>
    <row r="1664" spans="1:13" x14ac:dyDescent="0.25">
      <c r="A1664" t="s">
        <v>180</v>
      </c>
      <c r="B1664" s="50" t="s">
        <v>2330</v>
      </c>
      <c r="C1664" s="51"/>
      <c r="D1664" s="327">
        <v>357595</v>
      </c>
      <c r="E1664" s="327">
        <v>2076</v>
      </c>
      <c r="F1664" s="327" t="s">
        <v>2387</v>
      </c>
      <c r="G1664" s="381" t="s">
        <v>2336</v>
      </c>
      <c r="H1664" s="328" t="s">
        <v>2319</v>
      </c>
      <c r="I1664" s="327">
        <v>90</v>
      </c>
      <c r="J1664" s="327">
        <v>1</v>
      </c>
      <c r="K1664" s="327"/>
      <c r="L1664" s="327"/>
      <c r="M1664" s="327"/>
    </row>
    <row r="1665" spans="1:13" x14ac:dyDescent="0.25">
      <c r="A1665" t="s">
        <v>180</v>
      </c>
      <c r="B1665" s="50" t="s">
        <v>2330</v>
      </c>
      <c r="C1665" s="51"/>
      <c r="D1665" s="327">
        <v>357595</v>
      </c>
      <c r="E1665" s="327">
        <v>2076</v>
      </c>
      <c r="F1665" s="327" t="s">
        <v>2387</v>
      </c>
      <c r="G1665" s="381" t="s">
        <v>2336</v>
      </c>
      <c r="H1665" s="328" t="s">
        <v>2320</v>
      </c>
      <c r="I1665" s="327">
        <v>90</v>
      </c>
      <c r="J1665" s="327">
        <v>1</v>
      </c>
      <c r="K1665" s="327"/>
      <c r="L1665" s="327"/>
      <c r="M1665" s="327"/>
    </row>
    <row r="1666" spans="1:13" x14ac:dyDescent="0.25">
      <c r="A1666" t="s">
        <v>180</v>
      </c>
      <c r="B1666" s="50" t="s">
        <v>2330</v>
      </c>
      <c r="C1666" s="51"/>
      <c r="D1666" s="327">
        <v>357595</v>
      </c>
      <c r="E1666" s="327">
        <v>2076</v>
      </c>
      <c r="F1666" s="327" t="s">
        <v>2387</v>
      </c>
      <c r="G1666" s="328" t="s">
        <v>2338</v>
      </c>
      <c r="H1666" s="328" t="s">
        <v>2315</v>
      </c>
      <c r="I1666" s="327">
        <v>90</v>
      </c>
      <c r="J1666" s="327"/>
      <c r="K1666" s="327"/>
      <c r="L1666" s="327"/>
      <c r="M1666" s="327"/>
    </row>
    <row r="1667" spans="1:13" x14ac:dyDescent="0.25">
      <c r="A1667" t="s">
        <v>180</v>
      </c>
      <c r="B1667" s="50" t="s">
        <v>2330</v>
      </c>
      <c r="C1667" s="51"/>
      <c r="D1667" s="327">
        <v>357595</v>
      </c>
      <c r="E1667" s="327">
        <v>2076</v>
      </c>
      <c r="F1667" s="327" t="s">
        <v>2387</v>
      </c>
      <c r="G1667" s="328" t="s">
        <v>2338</v>
      </c>
      <c r="H1667" s="328" t="s">
        <v>2316</v>
      </c>
      <c r="I1667" s="327">
        <v>90</v>
      </c>
      <c r="J1667" s="327"/>
      <c r="K1667" s="327"/>
      <c r="L1667" s="327"/>
      <c r="M1667" s="327"/>
    </row>
    <row r="1668" spans="1:13" x14ac:dyDescent="0.25">
      <c r="A1668" t="s">
        <v>180</v>
      </c>
      <c r="B1668" s="50" t="s">
        <v>2330</v>
      </c>
      <c r="C1668" s="51"/>
      <c r="D1668" s="327">
        <v>357595</v>
      </c>
      <c r="E1668" s="327">
        <v>2076</v>
      </c>
      <c r="F1668" s="327" t="s">
        <v>2387</v>
      </c>
      <c r="G1668" s="328" t="s">
        <v>2338</v>
      </c>
      <c r="H1668" s="328" t="s">
        <v>2317</v>
      </c>
      <c r="I1668" s="327">
        <v>90</v>
      </c>
      <c r="J1668" s="327"/>
      <c r="K1668" s="327"/>
      <c r="L1668" s="327"/>
      <c r="M1668" s="327"/>
    </row>
    <row r="1669" spans="1:13" x14ac:dyDescent="0.25">
      <c r="A1669" t="s">
        <v>180</v>
      </c>
      <c r="B1669" s="50" t="s">
        <v>2330</v>
      </c>
      <c r="C1669" s="51"/>
      <c r="D1669" s="327">
        <v>357595</v>
      </c>
      <c r="E1669" s="327">
        <v>2076</v>
      </c>
      <c r="F1669" s="327" t="s">
        <v>2387</v>
      </c>
      <c r="G1669" s="328" t="s">
        <v>2338</v>
      </c>
      <c r="H1669" s="328" t="s">
        <v>2318</v>
      </c>
      <c r="I1669" s="327">
        <v>90</v>
      </c>
      <c r="J1669" s="327"/>
      <c r="K1669" s="327"/>
      <c r="L1669" s="327"/>
      <c r="M1669" s="327"/>
    </row>
    <row r="1670" spans="1:13" x14ac:dyDescent="0.25">
      <c r="A1670" t="s">
        <v>180</v>
      </c>
      <c r="B1670" s="50" t="s">
        <v>2330</v>
      </c>
      <c r="C1670" s="51"/>
      <c r="D1670" s="327">
        <v>357595</v>
      </c>
      <c r="E1670" s="327">
        <v>2076</v>
      </c>
      <c r="F1670" s="327" t="s">
        <v>2387</v>
      </c>
      <c r="G1670" s="328" t="s">
        <v>2338</v>
      </c>
      <c r="H1670" s="328" t="s">
        <v>2319</v>
      </c>
      <c r="I1670" s="327">
        <v>90</v>
      </c>
      <c r="J1670" s="327">
        <v>1</v>
      </c>
      <c r="K1670" s="327"/>
      <c r="L1670" s="327"/>
      <c r="M1670" s="327"/>
    </row>
    <row r="1671" spans="1:13" x14ac:dyDescent="0.25">
      <c r="A1671" t="s">
        <v>180</v>
      </c>
      <c r="B1671" s="50" t="s">
        <v>2330</v>
      </c>
      <c r="C1671" s="51"/>
      <c r="D1671" s="327">
        <v>357595</v>
      </c>
      <c r="E1671" s="327">
        <v>2076</v>
      </c>
      <c r="F1671" s="327" t="s">
        <v>2387</v>
      </c>
      <c r="G1671" s="328" t="s">
        <v>2338</v>
      </c>
      <c r="H1671" s="328" t="s">
        <v>2320</v>
      </c>
      <c r="I1671" s="327">
        <v>90</v>
      </c>
      <c r="J1671" s="327">
        <v>1</v>
      </c>
      <c r="K1671" s="327"/>
      <c r="L1671" s="327"/>
      <c r="M1671" s="327"/>
    </row>
    <row r="1672" spans="1:13" x14ac:dyDescent="0.25">
      <c r="A1672" t="s">
        <v>180</v>
      </c>
      <c r="B1672" s="50" t="s">
        <v>2330</v>
      </c>
      <c r="C1672" s="51"/>
      <c r="D1672" s="327">
        <v>357595</v>
      </c>
      <c r="E1672" s="327">
        <v>2076</v>
      </c>
      <c r="F1672" s="327" t="s">
        <v>2387</v>
      </c>
      <c r="G1672" s="328" t="s">
        <v>487</v>
      </c>
      <c r="H1672" s="328" t="s">
        <v>2315</v>
      </c>
      <c r="I1672" s="327">
        <v>90</v>
      </c>
      <c r="J1672" s="327"/>
      <c r="K1672" s="327"/>
      <c r="L1672" s="327"/>
      <c r="M1672" s="327"/>
    </row>
    <row r="1673" spans="1:13" x14ac:dyDescent="0.25">
      <c r="A1673" t="s">
        <v>180</v>
      </c>
      <c r="B1673" s="50" t="s">
        <v>2330</v>
      </c>
      <c r="C1673" s="51"/>
      <c r="D1673" s="327">
        <v>357595</v>
      </c>
      <c r="E1673" s="327">
        <v>2076</v>
      </c>
      <c r="F1673" s="327" t="s">
        <v>2387</v>
      </c>
      <c r="G1673" s="328" t="s">
        <v>487</v>
      </c>
      <c r="H1673" s="328" t="s">
        <v>2316</v>
      </c>
      <c r="I1673" s="327">
        <v>90</v>
      </c>
      <c r="J1673" s="327"/>
      <c r="K1673" s="327"/>
      <c r="L1673" s="327"/>
      <c r="M1673" s="327"/>
    </row>
    <row r="1674" spans="1:13" x14ac:dyDescent="0.25">
      <c r="A1674" t="s">
        <v>180</v>
      </c>
      <c r="B1674" s="50" t="s">
        <v>2330</v>
      </c>
      <c r="C1674" s="51"/>
      <c r="D1674" s="327">
        <v>357595</v>
      </c>
      <c r="E1674" s="327">
        <v>2076</v>
      </c>
      <c r="F1674" s="327" t="s">
        <v>2387</v>
      </c>
      <c r="G1674" s="328" t="s">
        <v>487</v>
      </c>
      <c r="H1674" s="328" t="s">
        <v>2317</v>
      </c>
      <c r="I1674" s="327">
        <v>90</v>
      </c>
      <c r="J1674" s="327"/>
      <c r="K1674" s="327"/>
      <c r="L1674" s="327"/>
      <c r="M1674" s="327"/>
    </row>
    <row r="1675" spans="1:13" x14ac:dyDescent="0.25">
      <c r="A1675" t="s">
        <v>180</v>
      </c>
      <c r="B1675" s="50" t="s">
        <v>2330</v>
      </c>
      <c r="C1675" s="51"/>
      <c r="D1675" s="327">
        <v>357595</v>
      </c>
      <c r="E1675" s="327">
        <v>2076</v>
      </c>
      <c r="F1675" s="327" t="s">
        <v>2387</v>
      </c>
      <c r="G1675" s="328" t="s">
        <v>487</v>
      </c>
      <c r="H1675" s="328" t="s">
        <v>2318</v>
      </c>
      <c r="I1675" s="327">
        <v>90</v>
      </c>
      <c r="J1675" s="327"/>
      <c r="K1675" s="327"/>
      <c r="L1675" s="327"/>
      <c r="M1675" s="327"/>
    </row>
    <row r="1676" spans="1:13" x14ac:dyDescent="0.25">
      <c r="A1676" t="s">
        <v>180</v>
      </c>
      <c r="B1676" s="50" t="s">
        <v>2330</v>
      </c>
      <c r="C1676" s="51"/>
      <c r="D1676" s="327">
        <v>357595</v>
      </c>
      <c r="E1676" s="327">
        <v>2076</v>
      </c>
      <c r="F1676" s="327" t="s">
        <v>2387</v>
      </c>
      <c r="G1676" s="328" t="s">
        <v>487</v>
      </c>
      <c r="H1676" s="328" t="s">
        <v>2319</v>
      </c>
      <c r="I1676" s="327">
        <v>90</v>
      </c>
      <c r="J1676" s="327">
        <v>1</v>
      </c>
      <c r="K1676" s="327"/>
      <c r="L1676" s="327"/>
      <c r="M1676" s="327"/>
    </row>
    <row r="1677" spans="1:13" x14ac:dyDescent="0.25">
      <c r="A1677" t="s">
        <v>180</v>
      </c>
      <c r="B1677" s="50" t="s">
        <v>2330</v>
      </c>
      <c r="C1677" s="51"/>
      <c r="D1677" s="338">
        <v>357595</v>
      </c>
      <c r="E1677" s="338">
        <v>2076</v>
      </c>
      <c r="F1677" s="338" t="s">
        <v>2387</v>
      </c>
      <c r="G1677" s="339" t="s">
        <v>487</v>
      </c>
      <c r="H1677" s="339" t="s">
        <v>2320</v>
      </c>
      <c r="I1677" s="338">
        <v>90</v>
      </c>
      <c r="J1677" s="338">
        <v>1</v>
      </c>
      <c r="K1677" s="338"/>
      <c r="L1677" s="338"/>
      <c r="M1677" s="338"/>
    </row>
    <row r="1678" spans="1:13" x14ac:dyDescent="0.25">
      <c r="A1678" t="s">
        <v>180</v>
      </c>
      <c r="B1678" s="50" t="s">
        <v>2330</v>
      </c>
      <c r="C1678" s="51"/>
      <c r="D1678" s="327">
        <v>357596</v>
      </c>
      <c r="E1678" s="327">
        <v>2077</v>
      </c>
      <c r="F1678" s="327" t="s">
        <v>2388</v>
      </c>
      <c r="G1678" s="381" t="s">
        <v>2336</v>
      </c>
      <c r="H1678" s="328" t="s">
        <v>2326</v>
      </c>
      <c r="I1678" s="327">
        <v>365</v>
      </c>
      <c r="J1678" s="327">
        <v>1</v>
      </c>
      <c r="K1678" s="327"/>
      <c r="L1678" s="327"/>
      <c r="M1678" s="327"/>
    </row>
    <row r="1679" spans="1:13" x14ac:dyDescent="0.25">
      <c r="A1679" t="s">
        <v>180</v>
      </c>
      <c r="B1679" s="50" t="s">
        <v>2330</v>
      </c>
      <c r="C1679" s="51"/>
      <c r="D1679" s="327">
        <v>357596</v>
      </c>
      <c r="E1679" s="327">
        <v>2077</v>
      </c>
      <c r="F1679" s="327" t="s">
        <v>2388</v>
      </c>
      <c r="G1679" s="328" t="s">
        <v>2336</v>
      </c>
      <c r="H1679" s="328" t="s">
        <v>2327</v>
      </c>
      <c r="I1679" s="327">
        <v>365</v>
      </c>
      <c r="J1679" s="327">
        <v>1</v>
      </c>
      <c r="K1679" s="327"/>
      <c r="L1679" s="327"/>
      <c r="M1679" s="327"/>
    </row>
    <row r="1680" spans="1:13" x14ac:dyDescent="0.25">
      <c r="A1680" t="s">
        <v>180</v>
      </c>
      <c r="B1680" s="50" t="s">
        <v>2330</v>
      </c>
      <c r="C1680" s="51"/>
      <c r="D1680" s="327">
        <v>357596</v>
      </c>
      <c r="E1680" s="327">
        <v>2077</v>
      </c>
      <c r="F1680" s="327" t="s">
        <v>2388</v>
      </c>
      <c r="G1680" s="328" t="s">
        <v>2336</v>
      </c>
      <c r="H1680" s="328" t="s">
        <v>2328</v>
      </c>
      <c r="I1680" s="327">
        <v>365</v>
      </c>
      <c r="J1680" s="327">
        <v>1</v>
      </c>
      <c r="K1680" s="327"/>
      <c r="L1680" s="327"/>
      <c r="M1680" s="327"/>
    </row>
    <row r="1681" spans="1:13" x14ac:dyDescent="0.25">
      <c r="A1681" t="s">
        <v>180</v>
      </c>
      <c r="B1681" s="50" t="s">
        <v>2330</v>
      </c>
      <c r="C1681" s="51"/>
      <c r="D1681" s="327">
        <v>357596</v>
      </c>
      <c r="E1681" s="327">
        <v>2077</v>
      </c>
      <c r="F1681" s="327" t="s">
        <v>2388</v>
      </c>
      <c r="G1681" s="328" t="s">
        <v>2336</v>
      </c>
      <c r="H1681" s="328" t="s">
        <v>2329</v>
      </c>
      <c r="I1681" s="327">
        <v>365</v>
      </c>
      <c r="J1681" s="327">
        <v>1</v>
      </c>
      <c r="K1681" s="327"/>
      <c r="L1681" s="327"/>
      <c r="M1681" s="327"/>
    </row>
    <row r="1682" spans="1:13" x14ac:dyDescent="0.25">
      <c r="A1682" t="s">
        <v>180</v>
      </c>
      <c r="B1682" s="50" t="s">
        <v>2330</v>
      </c>
      <c r="C1682" s="51"/>
      <c r="D1682" s="327">
        <v>357596</v>
      </c>
      <c r="E1682" s="327">
        <v>2077</v>
      </c>
      <c r="F1682" s="327" t="s">
        <v>2388</v>
      </c>
      <c r="G1682" s="328" t="s">
        <v>2338</v>
      </c>
      <c r="H1682" s="328" t="s">
        <v>2326</v>
      </c>
      <c r="I1682" s="327">
        <v>365</v>
      </c>
      <c r="J1682" s="327">
        <v>1</v>
      </c>
      <c r="K1682" s="327"/>
      <c r="L1682" s="327"/>
      <c r="M1682" s="327"/>
    </row>
    <row r="1683" spans="1:13" x14ac:dyDescent="0.25">
      <c r="A1683" t="s">
        <v>180</v>
      </c>
      <c r="B1683" s="50" t="s">
        <v>2330</v>
      </c>
      <c r="C1683" s="51"/>
      <c r="D1683" s="327">
        <v>357596</v>
      </c>
      <c r="E1683" s="327">
        <v>2077</v>
      </c>
      <c r="F1683" s="327" t="s">
        <v>2388</v>
      </c>
      <c r="G1683" s="328" t="s">
        <v>2338</v>
      </c>
      <c r="H1683" s="328" t="s">
        <v>2327</v>
      </c>
      <c r="I1683" s="327">
        <v>365</v>
      </c>
      <c r="J1683" s="327">
        <v>1</v>
      </c>
      <c r="K1683" s="327"/>
      <c r="L1683" s="327"/>
      <c r="M1683" s="327"/>
    </row>
    <row r="1684" spans="1:13" x14ac:dyDescent="0.25">
      <c r="A1684" t="s">
        <v>180</v>
      </c>
      <c r="B1684" s="50" t="s">
        <v>2330</v>
      </c>
      <c r="C1684" s="51"/>
      <c r="D1684" s="327">
        <v>357596</v>
      </c>
      <c r="E1684" s="327">
        <v>2077</v>
      </c>
      <c r="F1684" s="327" t="s">
        <v>2388</v>
      </c>
      <c r="G1684" s="328" t="s">
        <v>2338</v>
      </c>
      <c r="H1684" s="328" t="s">
        <v>2328</v>
      </c>
      <c r="I1684" s="327">
        <v>365</v>
      </c>
      <c r="J1684" s="327">
        <v>1</v>
      </c>
      <c r="K1684" s="327"/>
      <c r="L1684" s="327"/>
      <c r="M1684" s="327"/>
    </row>
    <row r="1685" spans="1:13" x14ac:dyDescent="0.25">
      <c r="A1685" t="s">
        <v>180</v>
      </c>
      <c r="B1685" s="50" t="s">
        <v>2330</v>
      </c>
      <c r="C1685" s="51"/>
      <c r="D1685" s="327">
        <v>357596</v>
      </c>
      <c r="E1685" s="327">
        <v>2077</v>
      </c>
      <c r="F1685" s="327" t="s">
        <v>2388</v>
      </c>
      <c r="G1685" s="328" t="s">
        <v>2338</v>
      </c>
      <c r="H1685" s="328" t="s">
        <v>2329</v>
      </c>
      <c r="I1685" s="327">
        <v>365</v>
      </c>
      <c r="J1685" s="327">
        <v>1</v>
      </c>
      <c r="K1685" s="327"/>
      <c r="L1685" s="327"/>
      <c r="M1685" s="327"/>
    </row>
    <row r="1686" spans="1:13" x14ac:dyDescent="0.25">
      <c r="A1686" t="s">
        <v>180</v>
      </c>
      <c r="B1686" s="50" t="s">
        <v>2330</v>
      </c>
      <c r="C1686" s="51"/>
      <c r="D1686" s="327">
        <v>357596</v>
      </c>
      <c r="E1686" s="327">
        <v>2077</v>
      </c>
      <c r="F1686" s="327" t="s">
        <v>2388</v>
      </c>
      <c r="G1686" s="328" t="s">
        <v>487</v>
      </c>
      <c r="H1686" s="328" t="s">
        <v>2326</v>
      </c>
      <c r="I1686" s="327">
        <v>365</v>
      </c>
      <c r="J1686" s="327">
        <v>1</v>
      </c>
      <c r="K1686" s="327"/>
      <c r="L1686" s="327"/>
      <c r="M1686" s="327"/>
    </row>
    <row r="1687" spans="1:13" x14ac:dyDescent="0.25">
      <c r="A1687" t="s">
        <v>180</v>
      </c>
      <c r="B1687" s="50" t="s">
        <v>2330</v>
      </c>
      <c r="C1687" s="51"/>
      <c r="D1687" s="327">
        <v>357596</v>
      </c>
      <c r="E1687" s="327">
        <v>2077</v>
      </c>
      <c r="F1687" s="327" t="s">
        <v>2388</v>
      </c>
      <c r="G1687" s="328" t="s">
        <v>487</v>
      </c>
      <c r="H1687" s="328" t="s">
        <v>2327</v>
      </c>
      <c r="I1687" s="327">
        <v>365</v>
      </c>
      <c r="J1687" s="327">
        <v>1</v>
      </c>
      <c r="K1687" s="327"/>
      <c r="L1687" s="327"/>
      <c r="M1687" s="327"/>
    </row>
    <row r="1688" spans="1:13" x14ac:dyDescent="0.25">
      <c r="A1688" t="s">
        <v>180</v>
      </c>
      <c r="B1688" s="50" t="s">
        <v>2330</v>
      </c>
      <c r="C1688" s="51"/>
      <c r="D1688" s="327">
        <v>357596</v>
      </c>
      <c r="E1688" s="327">
        <v>2077</v>
      </c>
      <c r="F1688" s="327" t="s">
        <v>2388</v>
      </c>
      <c r="G1688" s="328" t="s">
        <v>487</v>
      </c>
      <c r="H1688" s="328" t="s">
        <v>2328</v>
      </c>
      <c r="I1688" s="327">
        <v>365</v>
      </c>
      <c r="J1688" s="327">
        <v>1</v>
      </c>
      <c r="K1688" s="327"/>
      <c r="L1688" s="327"/>
      <c r="M1688" s="327"/>
    </row>
    <row r="1689" spans="1:13" x14ac:dyDescent="0.25">
      <c r="A1689" t="s">
        <v>180</v>
      </c>
      <c r="B1689" s="50" t="s">
        <v>2330</v>
      </c>
      <c r="C1689" s="51"/>
      <c r="D1689" s="338">
        <v>357596</v>
      </c>
      <c r="E1689" s="338">
        <v>2077</v>
      </c>
      <c r="F1689" s="338" t="s">
        <v>2388</v>
      </c>
      <c r="G1689" s="339" t="s">
        <v>487</v>
      </c>
      <c r="H1689" s="339" t="s">
        <v>2329</v>
      </c>
      <c r="I1689" s="338">
        <v>365</v>
      </c>
      <c r="J1689" s="338">
        <v>1</v>
      </c>
      <c r="K1689" s="338"/>
      <c r="L1689" s="338"/>
      <c r="M1689" s="338"/>
    </row>
    <row r="1690" spans="1:13" x14ac:dyDescent="0.25">
      <c r="A1690" t="s">
        <v>180</v>
      </c>
      <c r="B1690" s="50" t="s">
        <v>2330</v>
      </c>
      <c r="C1690" s="382"/>
      <c r="D1690" s="383">
        <v>357722</v>
      </c>
      <c r="E1690" s="383">
        <v>2084</v>
      </c>
      <c r="F1690" s="383" t="s">
        <v>2389</v>
      </c>
      <c r="G1690" s="384" t="s">
        <v>715</v>
      </c>
      <c r="H1690" s="384" t="s">
        <v>2390</v>
      </c>
      <c r="I1690" s="383">
        <v>365</v>
      </c>
      <c r="J1690" s="383">
        <v>1</v>
      </c>
      <c r="K1690" s="383"/>
      <c r="L1690" s="383"/>
      <c r="M1690" s="383"/>
    </row>
    <row r="1691" spans="1:13" x14ac:dyDescent="0.25">
      <c r="A1691" t="s">
        <v>180</v>
      </c>
      <c r="B1691" s="4" t="s">
        <v>2391</v>
      </c>
      <c r="C1691" s="5"/>
      <c r="D1691" s="156">
        <v>610000004765</v>
      </c>
      <c r="E1691" s="156"/>
      <c r="F1691" s="157" t="s">
        <v>2393</v>
      </c>
      <c r="G1691" s="158" t="s">
        <v>471</v>
      </c>
      <c r="H1691" s="158" t="s">
        <v>2394</v>
      </c>
      <c r="I1691" s="157">
        <v>30</v>
      </c>
    </row>
    <row r="1692" spans="1:13" x14ac:dyDescent="0.25">
      <c r="A1692" t="s">
        <v>180</v>
      </c>
      <c r="B1692" s="4" t="s">
        <v>2391</v>
      </c>
      <c r="C1692" s="12"/>
      <c r="D1692" s="140">
        <v>610000004766</v>
      </c>
      <c r="E1692" s="140"/>
      <c r="F1692" s="141" t="s">
        <v>2396</v>
      </c>
      <c r="G1692" s="142" t="s">
        <v>2392</v>
      </c>
      <c r="H1692" s="102" t="s">
        <v>2397</v>
      </c>
      <c r="I1692" s="141">
        <v>30</v>
      </c>
    </row>
    <row r="1693" spans="1:13" x14ac:dyDescent="0.25">
      <c r="A1693" t="s">
        <v>180</v>
      </c>
      <c r="B1693" s="4" t="s">
        <v>2391</v>
      </c>
      <c r="C1693" s="12"/>
      <c r="D1693" s="104">
        <v>610000004766</v>
      </c>
      <c r="E1693" s="104"/>
      <c r="F1693" s="105" t="s">
        <v>2396</v>
      </c>
      <c r="G1693" s="106" t="s">
        <v>2395</v>
      </c>
      <c r="H1693" s="107" t="s">
        <v>2399</v>
      </c>
      <c r="I1693" s="105">
        <v>30</v>
      </c>
    </row>
    <row r="1694" spans="1:13" x14ac:dyDescent="0.25">
      <c r="A1694" t="s">
        <v>180</v>
      </c>
      <c r="B1694" s="4" t="s">
        <v>2391</v>
      </c>
      <c r="C1694" s="12"/>
      <c r="D1694" s="104">
        <v>610000004766</v>
      </c>
      <c r="E1694" s="104"/>
      <c r="F1694" s="105" t="s">
        <v>2396</v>
      </c>
      <c r="G1694" s="106" t="s">
        <v>2398</v>
      </c>
      <c r="H1694" s="107" t="s">
        <v>2401</v>
      </c>
      <c r="I1694" s="105">
        <v>30</v>
      </c>
    </row>
    <row r="1695" spans="1:13" x14ac:dyDescent="0.25">
      <c r="A1695" t="s">
        <v>180</v>
      </c>
      <c r="B1695" s="4" t="s">
        <v>2391</v>
      </c>
      <c r="C1695" s="12"/>
      <c r="D1695" s="104">
        <v>610000004766</v>
      </c>
      <c r="E1695" s="104"/>
      <c r="F1695" s="105" t="s">
        <v>2396</v>
      </c>
      <c r="G1695" s="106" t="s">
        <v>2400</v>
      </c>
      <c r="H1695" s="106" t="s">
        <v>2402</v>
      </c>
      <c r="I1695" s="105">
        <v>30</v>
      </c>
    </row>
    <row r="1696" spans="1:13" x14ac:dyDescent="0.25">
      <c r="A1696" t="s">
        <v>180</v>
      </c>
      <c r="B1696" s="4" t="s">
        <v>2391</v>
      </c>
      <c r="C1696" s="12"/>
      <c r="D1696" s="209">
        <v>610000004767</v>
      </c>
      <c r="E1696" s="209"/>
      <c r="F1696" s="210" t="s">
        <v>2403</v>
      </c>
      <c r="G1696" s="211" t="s">
        <v>471</v>
      </c>
      <c r="H1696" s="211" t="s">
        <v>2404</v>
      </c>
      <c r="I1696" s="210">
        <v>30</v>
      </c>
    </row>
    <row r="1697" spans="1:9" x14ac:dyDescent="0.25">
      <c r="A1697" t="s">
        <v>180</v>
      </c>
      <c r="B1697" s="4" t="s">
        <v>2391</v>
      </c>
      <c r="C1697" s="12"/>
      <c r="D1697" s="104">
        <v>610000004767</v>
      </c>
      <c r="E1697" s="104"/>
      <c r="F1697" s="105" t="s">
        <v>2403</v>
      </c>
      <c r="G1697" s="106" t="s">
        <v>2405</v>
      </c>
      <c r="H1697" s="106" t="s">
        <v>2406</v>
      </c>
      <c r="I1697" s="105">
        <v>30</v>
      </c>
    </row>
    <row r="1698" spans="1:9" x14ac:dyDescent="0.25">
      <c r="A1698" t="s">
        <v>180</v>
      </c>
      <c r="B1698" s="4" t="s">
        <v>2391</v>
      </c>
      <c r="C1698" s="12"/>
      <c r="D1698" s="103">
        <v>610000004767</v>
      </c>
      <c r="E1698" s="103"/>
      <c r="F1698" s="85" t="s">
        <v>2403</v>
      </c>
      <c r="G1698" s="84" t="s">
        <v>2407</v>
      </c>
      <c r="H1698" s="84" t="s">
        <v>2408</v>
      </c>
      <c r="I1698" s="85">
        <v>30</v>
      </c>
    </row>
    <row r="1699" spans="1:9" x14ac:dyDescent="0.25">
      <c r="A1699" t="s">
        <v>180</v>
      </c>
      <c r="B1699" s="4" t="s">
        <v>2391</v>
      </c>
      <c r="C1699" s="12"/>
      <c r="D1699" s="117">
        <v>610000004768</v>
      </c>
      <c r="E1699" s="117"/>
      <c r="F1699" s="118" t="s">
        <v>2409</v>
      </c>
      <c r="G1699" s="119" t="s">
        <v>2392</v>
      </c>
      <c r="H1699" s="119" t="s">
        <v>2410</v>
      </c>
      <c r="I1699" s="118">
        <v>60</v>
      </c>
    </row>
    <row r="1700" spans="1:9" x14ac:dyDescent="0.25">
      <c r="A1700" t="s">
        <v>180</v>
      </c>
      <c r="B1700" s="4" t="s">
        <v>2391</v>
      </c>
      <c r="C1700" s="12"/>
      <c r="D1700" s="104">
        <v>610000004768</v>
      </c>
      <c r="E1700" s="104"/>
      <c r="F1700" s="105" t="s">
        <v>2409</v>
      </c>
      <c r="G1700" s="106" t="s">
        <v>2395</v>
      </c>
      <c r="H1700" s="106" t="s">
        <v>2411</v>
      </c>
      <c r="I1700" s="105">
        <v>60</v>
      </c>
    </row>
    <row r="1701" spans="1:9" x14ac:dyDescent="0.25">
      <c r="A1701" t="s">
        <v>180</v>
      </c>
      <c r="B1701" s="4" t="s">
        <v>2391</v>
      </c>
      <c r="C1701" s="12"/>
      <c r="D1701" s="104">
        <v>610000004768</v>
      </c>
      <c r="E1701" s="104"/>
      <c r="F1701" s="105" t="s">
        <v>2409</v>
      </c>
      <c r="G1701" s="106" t="s">
        <v>2398</v>
      </c>
      <c r="H1701" s="106" t="s">
        <v>2412</v>
      </c>
      <c r="I1701" s="105">
        <v>60</v>
      </c>
    </row>
    <row r="1702" spans="1:9" ht="15.75" thickBot="1" x14ac:dyDescent="0.3">
      <c r="A1702" t="s">
        <v>180</v>
      </c>
      <c r="B1702" s="4" t="s">
        <v>2391</v>
      </c>
      <c r="C1702" s="27"/>
      <c r="D1702" s="147">
        <v>610000004768</v>
      </c>
      <c r="E1702" s="147"/>
      <c r="F1702" s="148" t="s">
        <v>2409</v>
      </c>
      <c r="G1702" s="149" t="s">
        <v>2400</v>
      </c>
      <c r="H1702" s="149" t="s">
        <v>2413</v>
      </c>
      <c r="I1702" s="148">
        <v>60</v>
      </c>
    </row>
    <row r="1703" spans="1:9" x14ac:dyDescent="0.25">
      <c r="A1703" t="s">
        <v>180</v>
      </c>
      <c r="B1703" s="11" t="s">
        <v>2414</v>
      </c>
      <c r="C1703" s="12"/>
      <c r="D1703" s="385">
        <v>610000004769</v>
      </c>
      <c r="E1703" s="385"/>
      <c r="F1703" s="313" t="s">
        <v>2416</v>
      </c>
      <c r="G1703" s="102" t="s">
        <v>2417</v>
      </c>
      <c r="H1703" s="107" t="s">
        <v>2418</v>
      </c>
      <c r="I1703" s="313">
        <v>15</v>
      </c>
    </row>
    <row r="1704" spans="1:9" x14ac:dyDescent="0.25">
      <c r="A1704" t="s">
        <v>180</v>
      </c>
      <c r="B1704" s="11" t="s">
        <v>2414</v>
      </c>
      <c r="C1704" s="12"/>
      <c r="D1704" s="123">
        <v>610000004769</v>
      </c>
      <c r="E1704" s="123"/>
      <c r="F1704" s="124" t="s">
        <v>2416</v>
      </c>
      <c r="G1704" s="102" t="s">
        <v>2420</v>
      </c>
      <c r="H1704" s="107" t="s">
        <v>2421</v>
      </c>
      <c r="I1704" s="124">
        <v>15</v>
      </c>
    </row>
    <row r="1705" spans="1:9" x14ac:dyDescent="0.25">
      <c r="A1705" t="s">
        <v>180</v>
      </c>
      <c r="B1705" s="11" t="s">
        <v>2414</v>
      </c>
      <c r="C1705" s="12"/>
      <c r="D1705" s="103">
        <v>610000004769</v>
      </c>
      <c r="E1705" s="103"/>
      <c r="F1705" s="85" t="s">
        <v>2416</v>
      </c>
      <c r="G1705" s="84" t="s">
        <v>2423</v>
      </c>
      <c r="H1705" s="84" t="s">
        <v>2424</v>
      </c>
      <c r="I1705" s="85">
        <v>15</v>
      </c>
    </row>
    <row r="1706" spans="1:9" x14ac:dyDescent="0.25">
      <c r="A1706" t="s">
        <v>180</v>
      </c>
      <c r="B1706" s="11" t="s">
        <v>2414</v>
      </c>
      <c r="C1706" s="12"/>
      <c r="D1706" s="117">
        <v>610000004770</v>
      </c>
      <c r="E1706" s="117"/>
      <c r="F1706" s="118" t="s">
        <v>2425</v>
      </c>
      <c r="G1706" s="119" t="s">
        <v>2417</v>
      </c>
      <c r="H1706" s="107" t="s">
        <v>2426</v>
      </c>
      <c r="I1706" s="118">
        <v>30</v>
      </c>
    </row>
    <row r="1707" spans="1:9" x14ac:dyDescent="0.25">
      <c r="A1707" t="s">
        <v>180</v>
      </c>
      <c r="B1707" s="11" t="s">
        <v>2414</v>
      </c>
      <c r="C1707" s="12"/>
      <c r="D1707" s="123">
        <v>610000004770</v>
      </c>
      <c r="E1707" s="123"/>
      <c r="F1707" s="124" t="s">
        <v>2425</v>
      </c>
      <c r="G1707" s="107" t="s">
        <v>2420</v>
      </c>
      <c r="H1707" s="107" t="s">
        <v>2427</v>
      </c>
      <c r="I1707" s="124">
        <v>30</v>
      </c>
    </row>
    <row r="1708" spans="1:9" x14ac:dyDescent="0.25">
      <c r="A1708" t="s">
        <v>180</v>
      </c>
      <c r="B1708" s="11" t="s">
        <v>2414</v>
      </c>
      <c r="C1708" s="12"/>
      <c r="D1708" s="103">
        <v>610000004770</v>
      </c>
      <c r="E1708" s="103"/>
      <c r="F1708" s="85" t="s">
        <v>2425</v>
      </c>
      <c r="G1708" s="84" t="s">
        <v>2423</v>
      </c>
      <c r="H1708" s="84" t="s">
        <v>2428</v>
      </c>
      <c r="I1708" s="85">
        <v>30</v>
      </c>
    </row>
    <row r="1709" spans="1:9" x14ac:dyDescent="0.25">
      <c r="A1709" t="s">
        <v>180</v>
      </c>
      <c r="B1709" s="11" t="s">
        <v>2414</v>
      </c>
      <c r="C1709" s="12"/>
      <c r="D1709" s="100">
        <v>610000004771</v>
      </c>
      <c r="E1709" s="100"/>
      <c r="F1709" s="101" t="s">
        <v>2429</v>
      </c>
      <c r="G1709" s="102" t="s">
        <v>2417</v>
      </c>
      <c r="H1709" s="102" t="s">
        <v>2430</v>
      </c>
      <c r="I1709" s="101">
        <v>60</v>
      </c>
    </row>
    <row r="1710" spans="1:9" x14ac:dyDescent="0.25">
      <c r="A1710" t="s">
        <v>180</v>
      </c>
      <c r="B1710" s="11" t="s">
        <v>2414</v>
      </c>
      <c r="C1710" s="12"/>
      <c r="D1710" s="123">
        <v>610000004771</v>
      </c>
      <c r="E1710" s="123"/>
      <c r="F1710" s="124" t="s">
        <v>2429</v>
      </c>
      <c r="G1710" s="107" t="s">
        <v>2420</v>
      </c>
      <c r="H1710" s="107" t="s">
        <v>2431</v>
      </c>
      <c r="I1710" s="124">
        <v>60</v>
      </c>
    </row>
    <row r="1711" spans="1:9" x14ac:dyDescent="0.25">
      <c r="A1711" t="s">
        <v>180</v>
      </c>
      <c r="B1711" s="11" t="s">
        <v>2414</v>
      </c>
      <c r="C1711" s="12"/>
      <c r="D1711" s="103">
        <v>610000004771</v>
      </c>
      <c r="E1711" s="103"/>
      <c r="F1711" s="85" t="s">
        <v>2429</v>
      </c>
      <c r="G1711" s="84" t="s">
        <v>2423</v>
      </c>
      <c r="H1711" s="84" t="s">
        <v>2432</v>
      </c>
      <c r="I1711" s="85">
        <v>60</v>
      </c>
    </row>
    <row r="1712" spans="1:9" x14ac:dyDescent="0.25">
      <c r="A1712" t="s">
        <v>180</v>
      </c>
      <c r="B1712" s="11" t="s">
        <v>2414</v>
      </c>
      <c r="C1712" s="12"/>
      <c r="D1712" s="100">
        <v>610000004772</v>
      </c>
      <c r="E1712" s="100"/>
      <c r="F1712" s="101" t="s">
        <v>2433</v>
      </c>
      <c r="G1712" s="102" t="s">
        <v>2417</v>
      </c>
      <c r="H1712" s="102" t="s">
        <v>2434</v>
      </c>
      <c r="I1712" s="101">
        <v>60</v>
      </c>
    </row>
    <row r="1713" spans="1:9" x14ac:dyDescent="0.25">
      <c r="A1713" t="s">
        <v>180</v>
      </c>
      <c r="B1713" s="11" t="s">
        <v>2414</v>
      </c>
      <c r="C1713" s="12"/>
      <c r="D1713" s="100">
        <v>610000004772</v>
      </c>
      <c r="E1713" s="100"/>
      <c r="F1713" s="101" t="s">
        <v>2433</v>
      </c>
      <c r="G1713" s="102" t="s">
        <v>2420</v>
      </c>
      <c r="H1713" s="102" t="s">
        <v>2435</v>
      </c>
      <c r="I1713" s="124">
        <v>60</v>
      </c>
    </row>
    <row r="1714" spans="1:9" x14ac:dyDescent="0.25">
      <c r="A1714" t="s">
        <v>180</v>
      </c>
      <c r="B1714" s="11" t="s">
        <v>2414</v>
      </c>
      <c r="C1714" s="12"/>
      <c r="D1714" s="100">
        <v>610000004772</v>
      </c>
      <c r="E1714" s="140"/>
      <c r="F1714" s="141" t="s">
        <v>2433</v>
      </c>
      <c r="G1714" s="84" t="s">
        <v>2423</v>
      </c>
      <c r="H1714" s="102" t="s">
        <v>2436</v>
      </c>
      <c r="I1714" s="85">
        <v>60</v>
      </c>
    </row>
    <row r="1715" spans="1:9" x14ac:dyDescent="0.25">
      <c r="A1715" t="s">
        <v>180</v>
      </c>
      <c r="B1715" s="11" t="s">
        <v>2414</v>
      </c>
      <c r="C1715" s="12"/>
      <c r="D1715" s="117">
        <v>610000004773</v>
      </c>
      <c r="E1715" s="117"/>
      <c r="F1715" s="118" t="s">
        <v>2437</v>
      </c>
      <c r="G1715" s="119" t="s">
        <v>2417</v>
      </c>
      <c r="H1715" s="119" t="s">
        <v>2438</v>
      </c>
      <c r="I1715" s="118">
        <v>60</v>
      </c>
    </row>
    <row r="1716" spans="1:9" x14ac:dyDescent="0.25">
      <c r="A1716" t="s">
        <v>180</v>
      </c>
      <c r="B1716" s="11" t="s">
        <v>2414</v>
      </c>
      <c r="C1716" s="12"/>
      <c r="D1716" s="100">
        <v>610000004773</v>
      </c>
      <c r="E1716" s="100"/>
      <c r="F1716" s="101" t="s">
        <v>2437</v>
      </c>
      <c r="G1716" s="102" t="s">
        <v>2420</v>
      </c>
      <c r="H1716" s="102" t="s">
        <v>2439</v>
      </c>
      <c r="I1716" s="101">
        <v>60</v>
      </c>
    </row>
    <row r="1717" spans="1:9" ht="15.75" thickBot="1" x14ac:dyDescent="0.3">
      <c r="A1717" t="s">
        <v>180</v>
      </c>
      <c r="B1717" s="11" t="s">
        <v>2414</v>
      </c>
      <c r="C1717" s="12"/>
      <c r="D1717" s="147">
        <v>610000004773</v>
      </c>
      <c r="E1717" s="147"/>
      <c r="F1717" s="148" t="s">
        <v>2437</v>
      </c>
      <c r="G1717" s="149" t="s">
        <v>2423</v>
      </c>
      <c r="H1717" s="149" t="s">
        <v>2440</v>
      </c>
      <c r="I1717" s="148">
        <v>60</v>
      </c>
    </row>
    <row r="1718" spans="1:9" ht="15.75" thickBot="1" x14ac:dyDescent="0.3">
      <c r="A1718" t="s">
        <v>180</v>
      </c>
      <c r="B1718" s="153" t="s">
        <v>2441</v>
      </c>
      <c r="C1718" s="154"/>
      <c r="D1718" s="160">
        <v>610000004775</v>
      </c>
      <c r="E1718" s="160"/>
      <c r="F1718" s="82" t="s">
        <v>2442</v>
      </c>
      <c r="G1718" s="81" t="s">
        <v>2443</v>
      </c>
      <c r="H1718" s="81" t="s">
        <v>2444</v>
      </c>
      <c r="I1718" s="82">
        <v>30</v>
      </c>
    </row>
    <row r="1719" spans="1:9" ht="15.75" thickBot="1" x14ac:dyDescent="0.3">
      <c r="A1719" t="s">
        <v>180</v>
      </c>
      <c r="B1719" s="153" t="s">
        <v>2441</v>
      </c>
      <c r="C1719" s="12"/>
      <c r="D1719" s="100">
        <v>610000004776</v>
      </c>
      <c r="E1719" s="100"/>
      <c r="F1719" s="101" t="s">
        <v>2446</v>
      </c>
      <c r="G1719" s="102" t="s">
        <v>342</v>
      </c>
      <c r="H1719" s="102" t="s">
        <v>351</v>
      </c>
      <c r="I1719" s="101">
        <v>30</v>
      </c>
    </row>
    <row r="1720" spans="1:9" ht="15.75" thickBot="1" x14ac:dyDescent="0.3">
      <c r="A1720" t="s">
        <v>180</v>
      </c>
      <c r="B1720" s="153" t="s">
        <v>2441</v>
      </c>
      <c r="C1720" s="12"/>
      <c r="D1720" s="123">
        <v>610000004776</v>
      </c>
      <c r="E1720" s="123"/>
      <c r="F1720" s="124" t="s">
        <v>2446</v>
      </c>
      <c r="G1720" s="107" t="s">
        <v>346</v>
      </c>
      <c r="H1720" s="107" t="s">
        <v>353</v>
      </c>
      <c r="I1720" s="124">
        <v>30</v>
      </c>
    </row>
    <row r="1721" spans="1:9" ht="15.75" thickBot="1" x14ac:dyDescent="0.3">
      <c r="A1721" t="s">
        <v>180</v>
      </c>
      <c r="B1721" s="153" t="s">
        <v>2441</v>
      </c>
      <c r="C1721" s="12"/>
      <c r="D1721" s="123">
        <v>610000004776</v>
      </c>
      <c r="E1721" s="123"/>
      <c r="F1721" s="124" t="s">
        <v>2446</v>
      </c>
      <c r="G1721" s="107" t="s">
        <v>349</v>
      </c>
      <c r="H1721" s="107" t="s">
        <v>355</v>
      </c>
      <c r="I1721" s="124">
        <v>30</v>
      </c>
    </row>
    <row r="1722" spans="1:9" ht="15.75" thickBot="1" x14ac:dyDescent="0.3">
      <c r="A1722" t="s">
        <v>180</v>
      </c>
      <c r="B1722" s="153" t="s">
        <v>2441</v>
      </c>
      <c r="C1722" s="12"/>
      <c r="D1722" s="123">
        <v>610000004776</v>
      </c>
      <c r="E1722" s="123"/>
      <c r="F1722" s="124" t="s">
        <v>2446</v>
      </c>
      <c r="G1722" s="107" t="s">
        <v>352</v>
      </c>
      <c r="H1722" s="107" t="s">
        <v>356</v>
      </c>
      <c r="I1722" s="124">
        <v>30</v>
      </c>
    </row>
    <row r="1723" spans="1:9" ht="15.75" thickBot="1" x14ac:dyDescent="0.3">
      <c r="A1723" t="s">
        <v>180</v>
      </c>
      <c r="B1723" s="153" t="s">
        <v>2441</v>
      </c>
      <c r="C1723" s="12"/>
      <c r="D1723" s="104">
        <v>610000004776</v>
      </c>
      <c r="E1723" s="104"/>
      <c r="F1723" s="105" t="s">
        <v>2446</v>
      </c>
      <c r="G1723" s="106" t="s">
        <v>354</v>
      </c>
      <c r="H1723" s="106" t="s">
        <v>357</v>
      </c>
      <c r="I1723" s="105">
        <v>30</v>
      </c>
    </row>
    <row r="1724" spans="1:9" ht="15.75" thickBot="1" x14ac:dyDescent="0.3">
      <c r="A1724" t="s">
        <v>180</v>
      </c>
      <c r="B1724" s="153" t="s">
        <v>2441</v>
      </c>
      <c r="C1724" s="12"/>
      <c r="D1724" s="104">
        <v>610000004776</v>
      </c>
      <c r="E1724" s="104"/>
      <c r="F1724" s="105" t="s">
        <v>2446</v>
      </c>
      <c r="G1724" s="106" t="s">
        <v>2447</v>
      </c>
      <c r="H1724" s="106" t="s">
        <v>2448</v>
      </c>
      <c r="I1724" s="105">
        <v>30</v>
      </c>
    </row>
    <row r="1725" spans="1:9" ht="15.75" thickBot="1" x14ac:dyDescent="0.3">
      <c r="A1725" t="s">
        <v>180</v>
      </c>
      <c r="B1725" s="153" t="s">
        <v>2441</v>
      </c>
      <c r="C1725" s="12"/>
      <c r="D1725" s="117">
        <v>610000004777</v>
      </c>
      <c r="E1725" s="117"/>
      <c r="F1725" s="118" t="s">
        <v>2449</v>
      </c>
      <c r="G1725" s="119" t="s">
        <v>342</v>
      </c>
      <c r="H1725" s="119" t="s">
        <v>366</v>
      </c>
      <c r="I1725" s="118">
        <v>60</v>
      </c>
    </row>
    <row r="1726" spans="1:9" ht="15.75" thickBot="1" x14ac:dyDescent="0.3">
      <c r="A1726" t="s">
        <v>180</v>
      </c>
      <c r="B1726" s="153" t="s">
        <v>2441</v>
      </c>
      <c r="C1726" s="12"/>
      <c r="D1726" s="104">
        <v>610000004777</v>
      </c>
      <c r="E1726" s="104"/>
      <c r="F1726" s="105" t="s">
        <v>2449</v>
      </c>
      <c r="G1726" s="107" t="s">
        <v>2445</v>
      </c>
      <c r="H1726" s="102" t="s">
        <v>2450</v>
      </c>
      <c r="I1726" s="105">
        <v>60</v>
      </c>
    </row>
    <row r="1727" spans="1:9" ht="15.75" thickBot="1" x14ac:dyDescent="0.3">
      <c r="A1727" t="s">
        <v>180</v>
      </c>
      <c r="B1727" s="153" t="s">
        <v>2441</v>
      </c>
      <c r="C1727" s="12"/>
      <c r="D1727" s="104">
        <v>610000004777</v>
      </c>
      <c r="E1727" s="104"/>
      <c r="F1727" s="105" t="s">
        <v>2449</v>
      </c>
      <c r="G1727" s="107" t="s">
        <v>346</v>
      </c>
      <c r="H1727" s="102" t="s">
        <v>367</v>
      </c>
      <c r="I1727" s="105">
        <v>60</v>
      </c>
    </row>
    <row r="1728" spans="1:9" ht="15.75" thickBot="1" x14ac:dyDescent="0.3">
      <c r="A1728" t="s">
        <v>180</v>
      </c>
      <c r="B1728" s="153" t="s">
        <v>2441</v>
      </c>
      <c r="C1728" s="12"/>
      <c r="D1728" s="104">
        <v>610000004777</v>
      </c>
      <c r="E1728" s="104"/>
      <c r="F1728" s="105" t="s">
        <v>2449</v>
      </c>
      <c r="G1728" s="107" t="s">
        <v>349</v>
      </c>
      <c r="H1728" s="102" t="s">
        <v>368</v>
      </c>
      <c r="I1728" s="105">
        <v>60</v>
      </c>
    </row>
    <row r="1729" spans="1:9" ht="15.75" thickBot="1" x14ac:dyDescent="0.3">
      <c r="A1729" t="s">
        <v>180</v>
      </c>
      <c r="B1729" s="153" t="s">
        <v>2441</v>
      </c>
      <c r="C1729" s="12"/>
      <c r="D1729" s="104">
        <v>610000004777</v>
      </c>
      <c r="E1729" s="104"/>
      <c r="F1729" s="105" t="s">
        <v>2449</v>
      </c>
      <c r="G1729" s="107" t="s">
        <v>352</v>
      </c>
      <c r="H1729" s="102" t="s">
        <v>369</v>
      </c>
      <c r="I1729" s="105">
        <v>60</v>
      </c>
    </row>
    <row r="1730" spans="1:9" ht="15.75" thickBot="1" x14ac:dyDescent="0.3">
      <c r="A1730" t="s">
        <v>180</v>
      </c>
      <c r="B1730" s="153" t="s">
        <v>2441</v>
      </c>
      <c r="C1730" s="12"/>
      <c r="D1730" s="104">
        <v>610000004777</v>
      </c>
      <c r="E1730" s="104"/>
      <c r="F1730" s="105" t="s">
        <v>2449</v>
      </c>
      <c r="G1730" s="107" t="s">
        <v>354</v>
      </c>
      <c r="H1730" s="102" t="s">
        <v>370</v>
      </c>
      <c r="I1730" s="105">
        <v>60</v>
      </c>
    </row>
    <row r="1731" spans="1:9" ht="15.75" thickBot="1" x14ac:dyDescent="0.3">
      <c r="A1731" t="s">
        <v>180</v>
      </c>
      <c r="B1731" s="153" t="s">
        <v>2441</v>
      </c>
      <c r="C1731" s="12"/>
      <c r="D1731" s="147">
        <v>610000004777</v>
      </c>
      <c r="E1731" s="147"/>
      <c r="F1731" s="148" t="s">
        <v>2449</v>
      </c>
      <c r="G1731" s="149" t="s">
        <v>2447</v>
      </c>
      <c r="H1731" s="149" t="s">
        <v>2451</v>
      </c>
      <c r="I1731" s="148">
        <v>60</v>
      </c>
    </row>
    <row r="1732" spans="1:9" ht="15.75" thickBot="1" x14ac:dyDescent="0.3">
      <c r="A1732" t="s">
        <v>180</v>
      </c>
      <c r="B1732" s="153" t="s">
        <v>2452</v>
      </c>
      <c r="C1732" s="154"/>
      <c r="D1732" s="36">
        <v>342260</v>
      </c>
      <c r="E1732" s="36"/>
      <c r="F1732" s="45" t="s">
        <v>2453</v>
      </c>
      <c r="G1732" s="46" t="s">
        <v>273</v>
      </c>
      <c r="H1732" s="46" t="s">
        <v>2256</v>
      </c>
      <c r="I1732" s="45">
        <v>15</v>
      </c>
    </row>
    <row r="1733" spans="1:9" ht="15.75" thickBot="1" x14ac:dyDescent="0.3">
      <c r="A1733" t="s">
        <v>180</v>
      </c>
      <c r="B1733" s="153" t="s">
        <v>2452</v>
      </c>
      <c r="C1733" s="12"/>
      <c r="D1733" s="117">
        <v>610000004780</v>
      </c>
      <c r="E1733" s="117"/>
      <c r="F1733" s="118" t="s">
        <v>2454</v>
      </c>
      <c r="G1733" s="119" t="s">
        <v>262</v>
      </c>
      <c r="H1733" s="119" t="s">
        <v>263</v>
      </c>
      <c r="I1733" s="118">
        <v>30</v>
      </c>
    </row>
    <row r="1734" spans="1:9" ht="15.75" thickBot="1" x14ac:dyDescent="0.3">
      <c r="A1734" t="s">
        <v>180</v>
      </c>
      <c r="B1734" s="153" t="s">
        <v>2452</v>
      </c>
      <c r="C1734" s="12"/>
      <c r="D1734" s="123">
        <v>610000004780</v>
      </c>
      <c r="E1734" s="123"/>
      <c r="F1734" s="124" t="s">
        <v>2454</v>
      </c>
      <c r="G1734" s="107" t="s">
        <v>271</v>
      </c>
      <c r="H1734" s="107" t="s">
        <v>281</v>
      </c>
      <c r="I1734" s="124">
        <v>30</v>
      </c>
    </row>
    <row r="1735" spans="1:9" ht="15.75" thickBot="1" x14ac:dyDescent="0.3">
      <c r="A1735" t="s">
        <v>180</v>
      </c>
      <c r="B1735" s="153" t="s">
        <v>2452</v>
      </c>
      <c r="C1735" s="12"/>
      <c r="D1735" s="123">
        <v>610000004780</v>
      </c>
      <c r="E1735" s="123"/>
      <c r="F1735" s="124" t="s">
        <v>2454</v>
      </c>
      <c r="G1735" s="107" t="s">
        <v>275</v>
      </c>
      <c r="H1735" s="107" t="s">
        <v>282</v>
      </c>
      <c r="I1735" s="124">
        <v>30</v>
      </c>
    </row>
    <row r="1736" spans="1:9" ht="15.75" thickBot="1" x14ac:dyDescent="0.3">
      <c r="A1736" t="s">
        <v>180</v>
      </c>
      <c r="B1736" s="153" t="s">
        <v>2452</v>
      </c>
      <c r="C1736" s="12"/>
      <c r="D1736" s="123">
        <v>610000004780</v>
      </c>
      <c r="E1736" s="123"/>
      <c r="F1736" s="124" t="s">
        <v>2454</v>
      </c>
      <c r="G1736" s="107" t="s">
        <v>279</v>
      </c>
      <c r="H1736" s="107" t="s">
        <v>283</v>
      </c>
      <c r="I1736" s="124">
        <v>30</v>
      </c>
    </row>
    <row r="1737" spans="1:9" ht="15.75" thickBot="1" x14ac:dyDescent="0.3">
      <c r="A1737" t="s">
        <v>180</v>
      </c>
      <c r="B1737" s="153" t="s">
        <v>2452</v>
      </c>
      <c r="C1737" s="12"/>
      <c r="D1737" s="123">
        <v>610000004780</v>
      </c>
      <c r="E1737" s="123"/>
      <c r="F1737" s="124" t="s">
        <v>2454</v>
      </c>
      <c r="G1737" s="107" t="s">
        <v>273</v>
      </c>
      <c r="H1737" s="107" t="s">
        <v>284</v>
      </c>
      <c r="I1737" s="124">
        <v>30</v>
      </c>
    </row>
    <row r="1738" spans="1:9" ht="15.75" thickBot="1" x14ac:dyDescent="0.3">
      <c r="A1738" t="s">
        <v>180</v>
      </c>
      <c r="B1738" s="153" t="s">
        <v>2452</v>
      </c>
      <c r="C1738" s="12"/>
      <c r="D1738" s="123">
        <v>610000004780</v>
      </c>
      <c r="E1738" s="123"/>
      <c r="F1738" s="124" t="s">
        <v>2454</v>
      </c>
      <c r="G1738" s="107" t="s">
        <v>378</v>
      </c>
      <c r="H1738" s="107" t="s">
        <v>2456</v>
      </c>
      <c r="I1738" s="124">
        <v>30</v>
      </c>
    </row>
    <row r="1739" spans="1:9" ht="15.75" thickBot="1" x14ac:dyDescent="0.3">
      <c r="A1739" t="s">
        <v>180</v>
      </c>
      <c r="B1739" s="153" t="s">
        <v>2452</v>
      </c>
      <c r="C1739" s="12"/>
      <c r="D1739" s="123">
        <v>610000004780</v>
      </c>
      <c r="E1739" s="123"/>
      <c r="F1739" s="124" t="s">
        <v>2454</v>
      </c>
      <c r="G1739" s="107" t="s">
        <v>2455</v>
      </c>
      <c r="H1739" s="107" t="s">
        <v>2457</v>
      </c>
      <c r="I1739" s="124">
        <v>30</v>
      </c>
    </row>
    <row r="1740" spans="1:9" ht="15.75" thickBot="1" x14ac:dyDescent="0.3">
      <c r="A1740" t="s">
        <v>180</v>
      </c>
      <c r="B1740" s="153" t="s">
        <v>2452</v>
      </c>
      <c r="C1740" s="12"/>
      <c r="D1740" s="123">
        <v>610000004780</v>
      </c>
      <c r="E1740" s="123"/>
      <c r="F1740" s="124" t="s">
        <v>2454</v>
      </c>
      <c r="G1740" s="107" t="s">
        <v>126</v>
      </c>
      <c r="H1740" s="107" t="s">
        <v>146</v>
      </c>
      <c r="I1740" s="124">
        <v>30</v>
      </c>
    </row>
    <row r="1741" spans="1:9" ht="15.75" thickBot="1" x14ac:dyDescent="0.3">
      <c r="A1741" t="s">
        <v>180</v>
      </c>
      <c r="B1741" s="153" t="s">
        <v>2452</v>
      </c>
      <c r="C1741" s="12"/>
      <c r="D1741" s="123">
        <v>610000004780</v>
      </c>
      <c r="E1741" s="123"/>
      <c r="F1741" s="124" t="s">
        <v>2454</v>
      </c>
      <c r="G1741" s="107" t="s">
        <v>129</v>
      </c>
      <c r="H1741" s="107" t="s">
        <v>147</v>
      </c>
      <c r="I1741" s="124">
        <v>30</v>
      </c>
    </row>
    <row r="1742" spans="1:9" ht="15.75" thickBot="1" x14ac:dyDescent="0.3">
      <c r="A1742" t="s">
        <v>180</v>
      </c>
      <c r="B1742" s="153" t="s">
        <v>2452</v>
      </c>
      <c r="C1742" s="12"/>
      <c r="D1742" s="104">
        <v>610000004780</v>
      </c>
      <c r="E1742" s="104"/>
      <c r="F1742" s="105" t="s">
        <v>2454</v>
      </c>
      <c r="G1742" s="106" t="s">
        <v>137</v>
      </c>
      <c r="H1742" s="106" t="s">
        <v>2458</v>
      </c>
      <c r="I1742" s="105">
        <v>30</v>
      </c>
    </row>
    <row r="1743" spans="1:9" ht="15.75" thickBot="1" x14ac:dyDescent="0.3">
      <c r="A1743" t="s">
        <v>180</v>
      </c>
      <c r="B1743" s="153" t="s">
        <v>2452</v>
      </c>
      <c r="C1743" s="12"/>
      <c r="D1743" s="156">
        <v>610000004781</v>
      </c>
      <c r="E1743" s="156"/>
      <c r="F1743" s="157" t="s">
        <v>2459</v>
      </c>
      <c r="G1743" s="158" t="s">
        <v>273</v>
      </c>
      <c r="H1743" s="158" t="s">
        <v>287</v>
      </c>
      <c r="I1743" s="157">
        <v>30</v>
      </c>
    </row>
    <row r="1744" spans="1:9" ht="15.75" thickBot="1" x14ac:dyDescent="0.3">
      <c r="A1744" t="s">
        <v>180</v>
      </c>
      <c r="B1744" s="153" t="s">
        <v>2452</v>
      </c>
      <c r="C1744" s="12"/>
      <c r="D1744" s="156">
        <v>610000004782</v>
      </c>
      <c r="E1744" s="156"/>
      <c r="F1744" s="157" t="s">
        <v>2460</v>
      </c>
      <c r="G1744" s="158" t="s">
        <v>2455</v>
      </c>
      <c r="H1744" s="158" t="s">
        <v>2461</v>
      </c>
      <c r="I1744" s="157">
        <v>30</v>
      </c>
    </row>
    <row r="1745" spans="1:9" ht="15.75" thickBot="1" x14ac:dyDescent="0.3">
      <c r="A1745" t="s">
        <v>180</v>
      </c>
      <c r="B1745" s="153" t="s">
        <v>2452</v>
      </c>
      <c r="C1745" s="12"/>
      <c r="D1745" s="117">
        <v>610000004783</v>
      </c>
      <c r="E1745" s="117"/>
      <c r="F1745" s="118" t="s">
        <v>2462</v>
      </c>
      <c r="G1745" s="386" t="s">
        <v>271</v>
      </c>
      <c r="H1745" s="119" t="s">
        <v>290</v>
      </c>
      <c r="I1745" s="118">
        <v>60</v>
      </c>
    </row>
    <row r="1746" spans="1:9" ht="15.75" thickBot="1" x14ac:dyDescent="0.3">
      <c r="A1746" t="s">
        <v>180</v>
      </c>
      <c r="B1746" s="153" t="s">
        <v>2452</v>
      </c>
      <c r="C1746" s="12"/>
      <c r="D1746" s="123">
        <v>610000004783</v>
      </c>
      <c r="E1746" s="123"/>
      <c r="F1746" s="124" t="s">
        <v>2462</v>
      </c>
      <c r="G1746" s="387" t="s">
        <v>275</v>
      </c>
      <c r="H1746" s="102" t="s">
        <v>291</v>
      </c>
      <c r="I1746" s="124">
        <v>60</v>
      </c>
    </row>
    <row r="1747" spans="1:9" ht="15.75" thickBot="1" x14ac:dyDescent="0.3">
      <c r="A1747" t="s">
        <v>180</v>
      </c>
      <c r="B1747" s="153" t="s">
        <v>2452</v>
      </c>
      <c r="C1747" s="12"/>
      <c r="D1747" s="123">
        <v>610000004783</v>
      </c>
      <c r="E1747" s="123"/>
      <c r="F1747" s="124" t="s">
        <v>2462</v>
      </c>
      <c r="G1747" s="387" t="s">
        <v>279</v>
      </c>
      <c r="H1747" s="102" t="s">
        <v>292</v>
      </c>
      <c r="I1747" s="124">
        <v>60</v>
      </c>
    </row>
    <row r="1748" spans="1:9" ht="15.75" thickBot="1" x14ac:dyDescent="0.3">
      <c r="A1748" t="s">
        <v>180</v>
      </c>
      <c r="B1748" s="153" t="s">
        <v>2452</v>
      </c>
      <c r="C1748" s="12"/>
      <c r="D1748" s="123">
        <v>610000004783</v>
      </c>
      <c r="E1748" s="123"/>
      <c r="F1748" s="124" t="s">
        <v>2462</v>
      </c>
      <c r="G1748" s="387" t="s">
        <v>2455</v>
      </c>
      <c r="H1748" s="102" t="s">
        <v>2463</v>
      </c>
      <c r="I1748" s="124">
        <v>60</v>
      </c>
    </row>
    <row r="1749" spans="1:9" ht="15.75" thickBot="1" x14ac:dyDescent="0.3">
      <c r="A1749" t="s">
        <v>180</v>
      </c>
      <c r="B1749" s="153" t="s">
        <v>2452</v>
      </c>
      <c r="C1749" s="12"/>
      <c r="D1749" s="123">
        <v>610000004783</v>
      </c>
      <c r="E1749" s="123"/>
      <c r="F1749" s="124" t="s">
        <v>2462</v>
      </c>
      <c r="G1749" s="387" t="s">
        <v>126</v>
      </c>
      <c r="H1749" s="102" t="s">
        <v>154</v>
      </c>
      <c r="I1749" s="124">
        <v>60</v>
      </c>
    </row>
    <row r="1750" spans="1:9" ht="15.75" thickBot="1" x14ac:dyDescent="0.3">
      <c r="A1750" t="s">
        <v>180</v>
      </c>
      <c r="B1750" s="153" t="s">
        <v>2452</v>
      </c>
      <c r="C1750" s="12"/>
      <c r="D1750" s="123">
        <v>610000004783</v>
      </c>
      <c r="E1750" s="123"/>
      <c r="F1750" s="124" t="s">
        <v>2462</v>
      </c>
      <c r="G1750" s="387" t="s">
        <v>129</v>
      </c>
      <c r="H1750" s="102" t="s">
        <v>155</v>
      </c>
      <c r="I1750" s="124">
        <v>60</v>
      </c>
    </row>
    <row r="1751" spans="1:9" ht="15.75" thickBot="1" x14ac:dyDescent="0.3">
      <c r="A1751" t="s">
        <v>180</v>
      </c>
      <c r="B1751" s="153" t="s">
        <v>2452</v>
      </c>
      <c r="C1751" s="12"/>
      <c r="D1751" s="103">
        <v>610000004783</v>
      </c>
      <c r="E1751" s="103"/>
      <c r="F1751" s="85" t="s">
        <v>2462</v>
      </c>
      <c r="G1751" s="388" t="s">
        <v>137</v>
      </c>
      <c r="H1751" s="81" t="s">
        <v>2464</v>
      </c>
      <c r="I1751" s="85">
        <v>60</v>
      </c>
    </row>
    <row r="1752" spans="1:9" ht="15.75" thickBot="1" x14ac:dyDescent="0.3">
      <c r="A1752" t="s">
        <v>180</v>
      </c>
      <c r="B1752" s="153" t="s">
        <v>2452</v>
      </c>
      <c r="C1752" s="12"/>
      <c r="D1752" s="100">
        <v>610000004784</v>
      </c>
      <c r="E1752" s="100"/>
      <c r="F1752" s="101" t="s">
        <v>2465</v>
      </c>
      <c r="G1752" s="102" t="s">
        <v>273</v>
      </c>
      <c r="H1752" s="102" t="s">
        <v>2466</v>
      </c>
      <c r="I1752" s="101">
        <v>60</v>
      </c>
    </row>
    <row r="1753" spans="1:9" ht="15.75" thickBot="1" x14ac:dyDescent="0.3">
      <c r="A1753" t="s">
        <v>180</v>
      </c>
      <c r="B1753" s="153" t="s">
        <v>2452</v>
      </c>
      <c r="C1753" s="12"/>
      <c r="D1753" s="103">
        <v>610000004784</v>
      </c>
      <c r="E1753" s="103"/>
      <c r="F1753" s="85" t="s">
        <v>2465</v>
      </c>
      <c r="G1753" s="84" t="s">
        <v>271</v>
      </c>
      <c r="H1753" s="84" t="s">
        <v>2467</v>
      </c>
      <c r="I1753" s="85">
        <v>60</v>
      </c>
    </row>
    <row r="1754" spans="1:9" ht="15.75" thickBot="1" x14ac:dyDescent="0.3">
      <c r="A1754" t="s">
        <v>180</v>
      </c>
      <c r="B1754" s="153" t="s">
        <v>2452</v>
      </c>
      <c r="C1754" s="12"/>
      <c r="D1754" s="100">
        <v>610000004785</v>
      </c>
      <c r="E1754" s="100"/>
      <c r="F1754" s="101" t="s">
        <v>2468</v>
      </c>
      <c r="G1754" s="102" t="s">
        <v>273</v>
      </c>
      <c r="H1754" s="102" t="s">
        <v>2469</v>
      </c>
      <c r="I1754" s="101">
        <v>60</v>
      </c>
    </row>
    <row r="1755" spans="1:9" ht="15.75" thickBot="1" x14ac:dyDescent="0.3">
      <c r="A1755" t="s">
        <v>180</v>
      </c>
      <c r="B1755" s="153" t="s">
        <v>2452</v>
      </c>
      <c r="C1755" s="12"/>
      <c r="D1755" s="103">
        <v>610000004785</v>
      </c>
      <c r="E1755" s="103"/>
      <c r="F1755" s="85" t="s">
        <v>2468</v>
      </c>
      <c r="G1755" s="84" t="s">
        <v>271</v>
      </c>
      <c r="H1755" s="84" t="s">
        <v>2470</v>
      </c>
      <c r="I1755" s="85">
        <v>60</v>
      </c>
    </row>
    <row r="1756" spans="1:9" ht="15.75" thickBot="1" x14ac:dyDescent="0.3">
      <c r="A1756" t="s">
        <v>180</v>
      </c>
      <c r="B1756" s="153" t="s">
        <v>2452</v>
      </c>
      <c r="C1756" s="12"/>
      <c r="D1756" s="389"/>
      <c r="E1756" s="389"/>
      <c r="F1756" s="390" t="s">
        <v>2471</v>
      </c>
      <c r="G1756" s="391" t="s">
        <v>273</v>
      </c>
      <c r="H1756" s="391" t="s">
        <v>298</v>
      </c>
      <c r="I1756" s="390">
        <v>180</v>
      </c>
    </row>
    <row r="1757" spans="1:9" ht="15.75" thickBot="1" x14ac:dyDescent="0.3">
      <c r="A1757" t="s">
        <v>180</v>
      </c>
      <c r="B1757" s="153" t="s">
        <v>2452</v>
      </c>
      <c r="C1757" s="12"/>
      <c r="D1757" s="392">
        <v>342841</v>
      </c>
      <c r="E1757" s="392"/>
      <c r="F1757" s="393" t="s">
        <v>2472</v>
      </c>
      <c r="G1757" s="394" t="s">
        <v>273</v>
      </c>
      <c r="H1757" s="394" t="s">
        <v>300</v>
      </c>
      <c r="I1757" s="393">
        <v>180</v>
      </c>
    </row>
    <row r="1758" spans="1:9" ht="15.75" thickBot="1" x14ac:dyDescent="0.3">
      <c r="A1758" t="s">
        <v>180</v>
      </c>
      <c r="B1758" s="153" t="s">
        <v>2473</v>
      </c>
      <c r="C1758" s="154"/>
      <c r="D1758" s="100">
        <v>610000004788</v>
      </c>
      <c r="E1758" s="100"/>
      <c r="F1758" s="101" t="s">
        <v>2474</v>
      </c>
      <c r="G1758" s="102" t="s">
        <v>386</v>
      </c>
      <c r="H1758" s="102" t="s">
        <v>388</v>
      </c>
      <c r="I1758" s="101">
        <v>30</v>
      </c>
    </row>
    <row r="1759" spans="1:9" ht="15.75" thickBot="1" x14ac:dyDescent="0.3">
      <c r="A1759" t="s">
        <v>180</v>
      </c>
      <c r="B1759" s="153" t="s">
        <v>2473</v>
      </c>
      <c r="C1759" s="12"/>
      <c r="D1759" s="123">
        <v>610000004788</v>
      </c>
      <c r="E1759" s="123"/>
      <c r="F1759" s="124" t="s">
        <v>2474</v>
      </c>
      <c r="G1759" s="107" t="s">
        <v>389</v>
      </c>
      <c r="H1759" s="102" t="s">
        <v>390</v>
      </c>
      <c r="I1759" s="124">
        <v>30</v>
      </c>
    </row>
    <row r="1760" spans="1:9" ht="15.75" thickBot="1" x14ac:dyDescent="0.3">
      <c r="A1760" t="s">
        <v>180</v>
      </c>
      <c r="B1760" s="153" t="s">
        <v>2473</v>
      </c>
      <c r="C1760" s="12"/>
      <c r="D1760" s="123">
        <v>610000004788</v>
      </c>
      <c r="E1760" s="123"/>
      <c r="F1760" s="124" t="s">
        <v>2474</v>
      </c>
      <c r="G1760" s="107" t="s">
        <v>391</v>
      </c>
      <c r="H1760" s="107" t="s">
        <v>392</v>
      </c>
      <c r="I1760" s="124">
        <v>30</v>
      </c>
    </row>
    <row r="1761" spans="1:9" ht="15.75" thickBot="1" x14ac:dyDescent="0.3">
      <c r="A1761" t="s">
        <v>180</v>
      </c>
      <c r="B1761" s="153" t="s">
        <v>2473</v>
      </c>
      <c r="C1761" s="12"/>
      <c r="D1761" s="123">
        <v>610000004788</v>
      </c>
      <c r="E1761" s="123"/>
      <c r="F1761" s="124" t="s">
        <v>2474</v>
      </c>
      <c r="G1761" s="107" t="s">
        <v>393</v>
      </c>
      <c r="H1761" s="107" t="s">
        <v>394</v>
      </c>
      <c r="I1761" s="124">
        <v>30</v>
      </c>
    </row>
    <row r="1762" spans="1:9" ht="15.75" thickBot="1" x14ac:dyDescent="0.3">
      <c r="A1762" t="s">
        <v>180</v>
      </c>
      <c r="B1762" s="153" t="s">
        <v>2473</v>
      </c>
      <c r="C1762" s="12"/>
      <c r="D1762" s="123">
        <v>610000004788</v>
      </c>
      <c r="E1762" s="123"/>
      <c r="F1762" s="124" t="s">
        <v>2474</v>
      </c>
      <c r="G1762" s="107" t="s">
        <v>395</v>
      </c>
      <c r="H1762" s="106" t="s">
        <v>396</v>
      </c>
      <c r="I1762" s="124">
        <v>30</v>
      </c>
    </row>
    <row r="1763" spans="1:9" ht="15.75" thickBot="1" x14ac:dyDescent="0.3">
      <c r="A1763" t="s">
        <v>180</v>
      </c>
      <c r="B1763" s="153" t="s">
        <v>2473</v>
      </c>
      <c r="C1763" s="12"/>
      <c r="D1763" s="104">
        <v>610000004788</v>
      </c>
      <c r="E1763" s="104"/>
      <c r="F1763" s="105" t="s">
        <v>2474</v>
      </c>
      <c r="G1763" s="106" t="s">
        <v>397</v>
      </c>
      <c r="H1763" s="106" t="s">
        <v>398</v>
      </c>
      <c r="I1763" s="105">
        <v>30</v>
      </c>
    </row>
    <row r="1764" spans="1:9" ht="15.75" thickBot="1" x14ac:dyDescent="0.3">
      <c r="A1764" t="s">
        <v>180</v>
      </c>
      <c r="B1764" s="153" t="s">
        <v>2473</v>
      </c>
      <c r="C1764" s="12"/>
      <c r="D1764" s="117">
        <v>610000004789</v>
      </c>
      <c r="E1764" s="117"/>
      <c r="F1764" s="118" t="s">
        <v>2475</v>
      </c>
      <c r="G1764" s="119" t="s">
        <v>386</v>
      </c>
      <c r="H1764" s="119" t="s">
        <v>407</v>
      </c>
      <c r="I1764" s="118">
        <v>60</v>
      </c>
    </row>
    <row r="1765" spans="1:9" ht="15.75" thickBot="1" x14ac:dyDescent="0.3">
      <c r="A1765" t="s">
        <v>180</v>
      </c>
      <c r="B1765" s="153" t="s">
        <v>2473</v>
      </c>
      <c r="C1765" s="12"/>
      <c r="D1765" s="104">
        <v>610000004789</v>
      </c>
      <c r="E1765" s="104"/>
      <c r="F1765" s="105" t="s">
        <v>2475</v>
      </c>
      <c r="G1765" s="106" t="s">
        <v>389</v>
      </c>
      <c r="H1765" s="102" t="s">
        <v>408</v>
      </c>
      <c r="I1765" s="105">
        <v>60</v>
      </c>
    </row>
    <row r="1766" spans="1:9" ht="15.75" thickBot="1" x14ac:dyDescent="0.3">
      <c r="A1766" t="s">
        <v>180</v>
      </c>
      <c r="B1766" s="153" t="s">
        <v>2473</v>
      </c>
      <c r="C1766" s="12"/>
      <c r="D1766" s="104">
        <v>610000004789</v>
      </c>
      <c r="E1766" s="104"/>
      <c r="F1766" s="105" t="s">
        <v>2475</v>
      </c>
      <c r="G1766" s="106" t="s">
        <v>391</v>
      </c>
      <c r="H1766" s="102" t="s">
        <v>409</v>
      </c>
      <c r="I1766" s="105">
        <v>60</v>
      </c>
    </row>
    <row r="1767" spans="1:9" ht="15.75" thickBot="1" x14ac:dyDescent="0.3">
      <c r="A1767" t="s">
        <v>180</v>
      </c>
      <c r="B1767" s="153" t="s">
        <v>2473</v>
      </c>
      <c r="C1767" s="12"/>
      <c r="D1767" s="104">
        <v>610000004789</v>
      </c>
      <c r="E1767" s="104"/>
      <c r="F1767" s="105" t="s">
        <v>2475</v>
      </c>
      <c r="G1767" s="106" t="s">
        <v>393</v>
      </c>
      <c r="H1767" s="102" t="s">
        <v>410</v>
      </c>
      <c r="I1767" s="105">
        <v>60</v>
      </c>
    </row>
    <row r="1768" spans="1:9" ht="15.75" thickBot="1" x14ac:dyDescent="0.3">
      <c r="A1768" t="s">
        <v>180</v>
      </c>
      <c r="B1768" s="153" t="s">
        <v>2473</v>
      </c>
      <c r="C1768" s="12"/>
      <c r="D1768" s="104">
        <v>610000004789</v>
      </c>
      <c r="E1768" s="104"/>
      <c r="F1768" s="105" t="s">
        <v>2475</v>
      </c>
      <c r="G1768" s="106" t="s">
        <v>395</v>
      </c>
      <c r="H1768" s="102" t="s">
        <v>411</v>
      </c>
      <c r="I1768" s="105">
        <v>60</v>
      </c>
    </row>
    <row r="1769" spans="1:9" ht="15.75" thickBot="1" x14ac:dyDescent="0.3">
      <c r="A1769" t="s">
        <v>180</v>
      </c>
      <c r="B1769" s="153" t="s">
        <v>2473</v>
      </c>
      <c r="C1769" s="12"/>
      <c r="D1769" s="147">
        <v>610000004789</v>
      </c>
      <c r="E1769" s="147"/>
      <c r="F1769" s="148" t="s">
        <v>2475</v>
      </c>
      <c r="G1769" s="149" t="s">
        <v>397</v>
      </c>
      <c r="H1769" s="149" t="s">
        <v>412</v>
      </c>
      <c r="I1769" s="148">
        <v>60</v>
      </c>
    </row>
    <row r="1770" spans="1:9" ht="15.75" thickBot="1" x14ac:dyDescent="0.3">
      <c r="A1770" t="s">
        <v>180</v>
      </c>
      <c r="B1770" s="153" t="s">
        <v>2476</v>
      </c>
      <c r="C1770" s="154"/>
      <c r="D1770" s="36">
        <v>342271</v>
      </c>
      <c r="E1770" s="36"/>
      <c r="F1770" s="45" t="s">
        <v>2477</v>
      </c>
      <c r="G1770" s="46" t="s">
        <v>687</v>
      </c>
      <c r="H1770" s="46" t="s">
        <v>688</v>
      </c>
      <c r="I1770" s="45">
        <v>15</v>
      </c>
    </row>
    <row r="1771" spans="1:9" ht="15.75" thickBot="1" x14ac:dyDescent="0.3">
      <c r="A1771" t="s">
        <v>180</v>
      </c>
      <c r="B1771" s="153" t="s">
        <v>2476</v>
      </c>
      <c r="C1771" s="12"/>
      <c r="D1771" s="156">
        <v>610000004792</v>
      </c>
      <c r="E1771" s="156"/>
      <c r="F1771" s="157" t="s">
        <v>2478</v>
      </c>
      <c r="G1771" s="158" t="s">
        <v>429</v>
      </c>
      <c r="H1771" s="158" t="s">
        <v>2479</v>
      </c>
      <c r="I1771" s="157">
        <v>30</v>
      </c>
    </row>
    <row r="1772" spans="1:9" ht="15.75" thickBot="1" x14ac:dyDescent="0.3">
      <c r="A1772" t="s">
        <v>180</v>
      </c>
      <c r="B1772" s="153" t="s">
        <v>2476</v>
      </c>
      <c r="C1772" s="12"/>
      <c r="D1772" s="162"/>
      <c r="E1772" s="162"/>
      <c r="F1772" s="163" t="s">
        <v>2478</v>
      </c>
      <c r="G1772" s="164" t="s">
        <v>429</v>
      </c>
      <c r="H1772" s="164" t="s">
        <v>2480</v>
      </c>
      <c r="I1772" s="163">
        <v>30</v>
      </c>
    </row>
    <row r="1773" spans="1:9" ht="15.75" thickBot="1" x14ac:dyDescent="0.3">
      <c r="A1773" t="s">
        <v>180</v>
      </c>
      <c r="B1773" s="153" t="s">
        <v>2476</v>
      </c>
      <c r="C1773" s="12"/>
      <c r="D1773" s="100">
        <v>610000004793</v>
      </c>
      <c r="E1773" s="100"/>
      <c r="F1773" s="101" t="s">
        <v>2481</v>
      </c>
      <c r="G1773" s="102" t="s">
        <v>687</v>
      </c>
      <c r="H1773" s="102" t="s">
        <v>699</v>
      </c>
      <c r="I1773" s="101">
        <v>30</v>
      </c>
    </row>
    <row r="1774" spans="1:9" ht="15.75" thickBot="1" x14ac:dyDescent="0.3">
      <c r="A1774" t="s">
        <v>180</v>
      </c>
      <c r="B1774" s="153" t="s">
        <v>2476</v>
      </c>
      <c r="C1774" s="12"/>
      <c r="D1774" s="123">
        <v>610000004793</v>
      </c>
      <c r="E1774" s="123"/>
      <c r="F1774" s="124" t="s">
        <v>2481</v>
      </c>
      <c r="G1774" s="107" t="s">
        <v>414</v>
      </c>
      <c r="H1774" s="102" t="s">
        <v>425</v>
      </c>
      <c r="I1774" s="124">
        <v>30</v>
      </c>
    </row>
    <row r="1775" spans="1:9" ht="15.75" thickBot="1" x14ac:dyDescent="0.3">
      <c r="A1775" t="s">
        <v>180</v>
      </c>
      <c r="B1775" s="153" t="s">
        <v>2476</v>
      </c>
      <c r="C1775" s="12"/>
      <c r="D1775" s="123">
        <v>610000004793</v>
      </c>
      <c r="E1775" s="123"/>
      <c r="F1775" s="124" t="s">
        <v>2481</v>
      </c>
      <c r="G1775" s="107" t="s">
        <v>417</v>
      </c>
      <c r="H1775" s="107" t="s">
        <v>427</v>
      </c>
      <c r="I1775" s="124">
        <v>30</v>
      </c>
    </row>
    <row r="1776" spans="1:9" ht="15.75" thickBot="1" x14ac:dyDescent="0.3">
      <c r="A1776" t="s">
        <v>180</v>
      </c>
      <c r="B1776" s="153" t="s">
        <v>2476</v>
      </c>
      <c r="C1776" s="12"/>
      <c r="D1776" s="123">
        <v>610000004793</v>
      </c>
      <c r="E1776" s="123"/>
      <c r="F1776" s="124" t="s">
        <v>2481</v>
      </c>
      <c r="G1776" s="107" t="s">
        <v>419</v>
      </c>
      <c r="H1776" s="107" t="s">
        <v>428</v>
      </c>
      <c r="I1776" s="124">
        <v>30</v>
      </c>
    </row>
    <row r="1777" spans="1:9" ht="15.75" thickBot="1" x14ac:dyDescent="0.3">
      <c r="A1777" t="s">
        <v>180</v>
      </c>
      <c r="B1777" s="153" t="s">
        <v>2476</v>
      </c>
      <c r="C1777" s="12"/>
      <c r="D1777" s="123">
        <v>610000004793</v>
      </c>
      <c r="E1777" s="123"/>
      <c r="F1777" s="124" t="s">
        <v>2481</v>
      </c>
      <c r="G1777" s="107" t="s">
        <v>426</v>
      </c>
      <c r="H1777" s="107" t="s">
        <v>430</v>
      </c>
      <c r="I1777" s="124">
        <v>30</v>
      </c>
    </row>
    <row r="1778" spans="1:9" ht="15.75" thickBot="1" x14ac:dyDescent="0.3">
      <c r="A1778" t="s">
        <v>180</v>
      </c>
      <c r="B1778" s="153" t="s">
        <v>2476</v>
      </c>
      <c r="C1778" s="12"/>
      <c r="D1778" s="117">
        <v>610000004794</v>
      </c>
      <c r="E1778" s="117"/>
      <c r="F1778" s="118" t="s">
        <v>2482</v>
      </c>
      <c r="G1778" s="119" t="s">
        <v>687</v>
      </c>
      <c r="H1778" s="395" t="s">
        <v>708</v>
      </c>
      <c r="I1778" s="118">
        <v>60</v>
      </c>
    </row>
    <row r="1779" spans="1:9" ht="15.75" thickBot="1" x14ac:dyDescent="0.3">
      <c r="A1779" t="s">
        <v>180</v>
      </c>
      <c r="B1779" s="153" t="s">
        <v>2476</v>
      </c>
      <c r="C1779" s="12"/>
      <c r="D1779" s="123">
        <v>610000004794</v>
      </c>
      <c r="E1779" s="123"/>
      <c r="F1779" s="124" t="s">
        <v>2482</v>
      </c>
      <c r="G1779" s="107" t="s">
        <v>414</v>
      </c>
      <c r="H1779" s="107" t="s">
        <v>438</v>
      </c>
      <c r="I1779" s="124">
        <v>60</v>
      </c>
    </row>
    <row r="1780" spans="1:9" ht="15.75" thickBot="1" x14ac:dyDescent="0.3">
      <c r="A1780" t="s">
        <v>180</v>
      </c>
      <c r="B1780" s="153" t="s">
        <v>2476</v>
      </c>
      <c r="C1780" s="12"/>
      <c r="D1780" s="123">
        <v>610000004794</v>
      </c>
      <c r="E1780" s="123"/>
      <c r="F1780" s="124" t="s">
        <v>2482</v>
      </c>
      <c r="G1780" s="107" t="s">
        <v>417</v>
      </c>
      <c r="H1780" s="107" t="s">
        <v>439</v>
      </c>
      <c r="I1780" s="124">
        <v>60</v>
      </c>
    </row>
    <row r="1781" spans="1:9" ht="15.75" thickBot="1" x14ac:dyDescent="0.3">
      <c r="A1781" t="s">
        <v>180</v>
      </c>
      <c r="B1781" s="153" t="s">
        <v>2476</v>
      </c>
      <c r="C1781" s="12"/>
      <c r="D1781" s="123">
        <v>610000004794</v>
      </c>
      <c r="E1781" s="123"/>
      <c r="F1781" s="124" t="s">
        <v>2482</v>
      </c>
      <c r="G1781" s="107" t="s">
        <v>419</v>
      </c>
      <c r="H1781" s="107" t="s">
        <v>440</v>
      </c>
      <c r="I1781" s="124">
        <v>60</v>
      </c>
    </row>
    <row r="1782" spans="1:9" ht="15.75" thickBot="1" x14ac:dyDescent="0.3">
      <c r="A1782" t="s">
        <v>180</v>
      </c>
      <c r="B1782" s="153" t="s">
        <v>2476</v>
      </c>
      <c r="C1782" s="12"/>
      <c r="D1782" s="103">
        <v>610000004794</v>
      </c>
      <c r="E1782" s="103"/>
      <c r="F1782" s="85" t="s">
        <v>2482</v>
      </c>
      <c r="G1782" s="84" t="s">
        <v>426</v>
      </c>
      <c r="H1782" s="84" t="s">
        <v>441</v>
      </c>
      <c r="I1782" s="85">
        <v>60</v>
      </c>
    </row>
    <row r="1783" spans="1:9" ht="15.75" thickBot="1" x14ac:dyDescent="0.3">
      <c r="A1783" t="s">
        <v>180</v>
      </c>
      <c r="B1783" s="153" t="s">
        <v>2476</v>
      </c>
      <c r="C1783" s="12"/>
      <c r="D1783" s="103">
        <v>342851</v>
      </c>
      <c r="E1783" s="103"/>
      <c r="F1783" s="85" t="s">
        <v>2483</v>
      </c>
      <c r="G1783" s="84" t="s">
        <v>429</v>
      </c>
      <c r="H1783" s="84" t="s">
        <v>448</v>
      </c>
      <c r="I1783" s="85">
        <v>180</v>
      </c>
    </row>
    <row r="1784" spans="1:9" ht="15.75" thickBot="1" x14ac:dyDescent="0.3">
      <c r="A1784" t="s">
        <v>180</v>
      </c>
      <c r="B1784" s="153" t="s">
        <v>2476</v>
      </c>
      <c r="C1784" s="12"/>
      <c r="D1784" s="396"/>
      <c r="E1784" s="396"/>
      <c r="F1784" s="397" t="s">
        <v>2484</v>
      </c>
      <c r="G1784" s="398" t="s">
        <v>687</v>
      </c>
      <c r="H1784" s="398" t="s">
        <v>444</v>
      </c>
      <c r="I1784" s="399">
        <v>180</v>
      </c>
    </row>
    <row r="1785" spans="1:9" ht="15.75" thickBot="1" x14ac:dyDescent="0.3">
      <c r="A1785" t="s">
        <v>180</v>
      </c>
      <c r="B1785" s="153" t="s">
        <v>2476</v>
      </c>
      <c r="C1785" s="12"/>
      <c r="D1785" s="167">
        <v>342286</v>
      </c>
      <c r="E1785" s="167"/>
      <c r="F1785" s="168" t="s">
        <v>2485</v>
      </c>
      <c r="G1785" s="169" t="s">
        <v>687</v>
      </c>
      <c r="H1785" s="169" t="s">
        <v>446</v>
      </c>
      <c r="I1785" s="168">
        <v>180</v>
      </c>
    </row>
    <row r="1786" spans="1:9" ht="15.75" thickBot="1" x14ac:dyDescent="0.3">
      <c r="A1786" t="s">
        <v>180</v>
      </c>
      <c r="B1786" s="153" t="s">
        <v>2486</v>
      </c>
      <c r="C1786" s="154"/>
      <c r="D1786" s="100">
        <v>610000004797</v>
      </c>
      <c r="E1786" s="100"/>
      <c r="F1786" s="101" t="s">
        <v>2487</v>
      </c>
      <c r="G1786" s="102" t="s">
        <v>399</v>
      </c>
      <c r="H1786" s="102" t="s">
        <v>456</v>
      </c>
      <c r="I1786" s="101">
        <v>30</v>
      </c>
    </row>
    <row r="1787" spans="1:9" ht="15.75" thickBot="1" x14ac:dyDescent="0.3">
      <c r="A1787" t="s">
        <v>180</v>
      </c>
      <c r="B1787" s="153" t="s">
        <v>2486</v>
      </c>
      <c r="C1787" s="12"/>
      <c r="D1787" s="103">
        <v>610000004797</v>
      </c>
      <c r="E1787" s="103"/>
      <c r="F1787" s="85" t="s">
        <v>2487</v>
      </c>
      <c r="G1787" s="84" t="s">
        <v>457</v>
      </c>
      <c r="H1787" s="84" t="s">
        <v>458</v>
      </c>
      <c r="I1787" s="85">
        <v>30</v>
      </c>
    </row>
    <row r="1788" spans="1:9" ht="15.75" thickBot="1" x14ac:dyDescent="0.3">
      <c r="A1788" t="s">
        <v>180</v>
      </c>
      <c r="B1788" s="153" t="s">
        <v>2486</v>
      </c>
      <c r="C1788" s="12"/>
      <c r="D1788" s="117">
        <v>610000004798</v>
      </c>
      <c r="E1788" s="117"/>
      <c r="F1788" s="118" t="s">
        <v>2488</v>
      </c>
      <c r="G1788" s="119" t="s">
        <v>2489</v>
      </c>
      <c r="H1788" s="119" t="s">
        <v>2490</v>
      </c>
      <c r="I1788" s="118">
        <v>30</v>
      </c>
    </row>
    <row r="1789" spans="1:9" ht="15.75" thickBot="1" x14ac:dyDescent="0.3">
      <c r="A1789" t="s">
        <v>180</v>
      </c>
      <c r="B1789" s="153" t="s">
        <v>2486</v>
      </c>
      <c r="C1789" s="12"/>
      <c r="D1789" s="140">
        <v>610000004798</v>
      </c>
      <c r="E1789" s="140"/>
      <c r="F1789" s="141" t="s">
        <v>2488</v>
      </c>
      <c r="G1789" s="142" t="s">
        <v>399</v>
      </c>
      <c r="H1789" s="142" t="s">
        <v>2491</v>
      </c>
      <c r="I1789" s="141">
        <v>30</v>
      </c>
    </row>
    <row r="1790" spans="1:9" ht="15.75" thickBot="1" x14ac:dyDescent="0.3">
      <c r="A1790" t="s">
        <v>180</v>
      </c>
      <c r="B1790" s="153" t="s">
        <v>2486</v>
      </c>
      <c r="C1790" s="12"/>
      <c r="D1790" s="103">
        <v>610000004798</v>
      </c>
      <c r="E1790" s="103"/>
      <c r="F1790" s="85" t="s">
        <v>2488</v>
      </c>
      <c r="G1790" s="84" t="s">
        <v>2492</v>
      </c>
      <c r="H1790" s="84" t="s">
        <v>2493</v>
      </c>
      <c r="I1790" s="85">
        <v>30</v>
      </c>
    </row>
    <row r="1791" spans="1:9" ht="15.75" thickBot="1" x14ac:dyDescent="0.3">
      <c r="A1791" t="s">
        <v>180</v>
      </c>
      <c r="B1791" s="153" t="s">
        <v>2486</v>
      </c>
      <c r="C1791" s="12"/>
      <c r="D1791" s="117">
        <v>610000004799</v>
      </c>
      <c r="E1791" s="117"/>
      <c r="F1791" s="118" t="s">
        <v>2494</v>
      </c>
      <c r="G1791" s="119" t="s">
        <v>399</v>
      </c>
      <c r="H1791" s="119" t="s">
        <v>462</v>
      </c>
      <c r="I1791" s="118">
        <v>60</v>
      </c>
    </row>
    <row r="1792" spans="1:9" ht="15.75" thickBot="1" x14ac:dyDescent="0.3">
      <c r="A1792" t="s">
        <v>180</v>
      </c>
      <c r="B1792" s="153" t="s">
        <v>2486</v>
      </c>
      <c r="C1792" s="12"/>
      <c r="D1792" s="103">
        <v>610000004799</v>
      </c>
      <c r="E1792" s="103"/>
      <c r="F1792" s="85" t="s">
        <v>2494</v>
      </c>
      <c r="G1792" s="84" t="s">
        <v>457</v>
      </c>
      <c r="H1792" s="84" t="s">
        <v>2495</v>
      </c>
      <c r="I1792" s="85">
        <v>60</v>
      </c>
    </row>
    <row r="1793" spans="1:9" ht="15.75" thickBot="1" x14ac:dyDescent="0.3">
      <c r="A1793" t="s">
        <v>180</v>
      </c>
      <c r="B1793" s="153" t="s">
        <v>2486</v>
      </c>
      <c r="C1793" s="12"/>
      <c r="D1793" s="156">
        <v>342726</v>
      </c>
      <c r="E1793" s="156"/>
      <c r="F1793" s="157" t="s">
        <v>2496</v>
      </c>
      <c r="G1793" s="158" t="s">
        <v>454</v>
      </c>
      <c r="H1793" s="158" t="s">
        <v>465</v>
      </c>
      <c r="I1793" s="157">
        <v>180</v>
      </c>
    </row>
    <row r="1794" spans="1:9" ht="15.75" thickBot="1" x14ac:dyDescent="0.3">
      <c r="A1794" t="s">
        <v>180</v>
      </c>
      <c r="B1794" s="153" t="s">
        <v>2486</v>
      </c>
      <c r="C1794" s="12"/>
      <c r="D1794" s="167">
        <v>342727</v>
      </c>
      <c r="E1794" s="167"/>
      <c r="F1794" s="168" t="s">
        <v>2497</v>
      </c>
      <c r="G1794" s="169" t="s">
        <v>454</v>
      </c>
      <c r="H1794" s="169" t="s">
        <v>467</v>
      </c>
      <c r="I1794" s="168">
        <v>365</v>
      </c>
    </row>
    <row r="1795" spans="1:9" ht="15.75" thickBot="1" x14ac:dyDescent="0.3">
      <c r="A1795" t="s">
        <v>180</v>
      </c>
      <c r="B1795" s="153" t="s">
        <v>2498</v>
      </c>
      <c r="C1795" s="154"/>
      <c r="D1795" s="160">
        <v>610000004801</v>
      </c>
      <c r="E1795" s="160"/>
      <c r="F1795" s="82" t="s">
        <v>2499</v>
      </c>
      <c r="G1795" s="81" t="s">
        <v>302</v>
      </c>
      <c r="H1795" s="81" t="s">
        <v>2500</v>
      </c>
      <c r="I1795" s="82">
        <v>28</v>
      </c>
    </row>
    <row r="1796" spans="1:9" ht="15.75" thickBot="1" x14ac:dyDescent="0.3">
      <c r="A1796" t="s">
        <v>180</v>
      </c>
      <c r="B1796" s="153" t="s">
        <v>2498</v>
      </c>
      <c r="C1796" s="12"/>
      <c r="D1796" s="100">
        <v>610000004802</v>
      </c>
      <c r="E1796" s="100"/>
      <c r="F1796" s="101" t="s">
        <v>2501</v>
      </c>
      <c r="G1796" s="102" t="s">
        <v>302</v>
      </c>
      <c r="H1796" s="102" t="s">
        <v>307</v>
      </c>
      <c r="I1796" s="101">
        <v>30</v>
      </c>
    </row>
    <row r="1797" spans="1:9" ht="15.75" thickBot="1" x14ac:dyDescent="0.3">
      <c r="A1797" t="s">
        <v>180</v>
      </c>
      <c r="B1797" s="153" t="s">
        <v>2498</v>
      </c>
      <c r="C1797" s="12"/>
      <c r="D1797" s="100">
        <v>610000004802</v>
      </c>
      <c r="E1797" s="100"/>
      <c r="F1797" s="101" t="s">
        <v>2501</v>
      </c>
      <c r="G1797" s="102" t="s">
        <v>305</v>
      </c>
      <c r="H1797" s="102" t="s">
        <v>309</v>
      </c>
      <c r="I1797" s="101">
        <v>30</v>
      </c>
    </row>
    <row r="1798" spans="1:9" ht="15.75" thickBot="1" x14ac:dyDescent="0.3">
      <c r="A1798" t="s">
        <v>180</v>
      </c>
      <c r="B1798" s="153" t="s">
        <v>2498</v>
      </c>
      <c r="C1798" s="12"/>
      <c r="D1798" s="100">
        <v>610000004802</v>
      </c>
      <c r="E1798" s="100"/>
      <c r="F1798" s="101" t="s">
        <v>2501</v>
      </c>
      <c r="G1798" s="102" t="s">
        <v>308</v>
      </c>
      <c r="H1798" s="102" t="s">
        <v>311</v>
      </c>
      <c r="I1798" s="101">
        <v>30</v>
      </c>
    </row>
    <row r="1799" spans="1:9" ht="15.75" thickBot="1" x14ac:dyDescent="0.3">
      <c r="A1799" t="s">
        <v>180</v>
      </c>
      <c r="B1799" s="153" t="s">
        <v>2498</v>
      </c>
      <c r="C1799" s="12"/>
      <c r="D1799" s="100">
        <v>610000004802</v>
      </c>
      <c r="E1799" s="100"/>
      <c r="F1799" s="101" t="s">
        <v>2501</v>
      </c>
      <c r="G1799" s="102" t="s">
        <v>310</v>
      </c>
      <c r="H1799" s="102" t="s">
        <v>313</v>
      </c>
      <c r="I1799" s="101">
        <v>30</v>
      </c>
    </row>
    <row r="1800" spans="1:9" ht="15.75" thickBot="1" x14ac:dyDescent="0.3">
      <c r="A1800" t="s">
        <v>180</v>
      </c>
      <c r="B1800" s="153" t="s">
        <v>2498</v>
      </c>
      <c r="C1800" s="12"/>
      <c r="D1800" s="140">
        <v>610000004802</v>
      </c>
      <c r="E1800" s="140"/>
      <c r="F1800" s="141" t="s">
        <v>2501</v>
      </c>
      <c r="G1800" s="142" t="s">
        <v>312</v>
      </c>
      <c r="H1800" s="106" t="s">
        <v>314</v>
      </c>
      <c r="I1800" s="141">
        <v>30</v>
      </c>
    </row>
    <row r="1801" spans="1:9" ht="15.75" thickBot="1" x14ac:dyDescent="0.3">
      <c r="A1801" t="s">
        <v>180</v>
      </c>
      <c r="B1801" s="153" t="s">
        <v>2498</v>
      </c>
      <c r="C1801" s="12"/>
      <c r="D1801" s="117">
        <v>610000004803</v>
      </c>
      <c r="E1801" s="117"/>
      <c r="F1801" s="118" t="s">
        <v>2502</v>
      </c>
      <c r="G1801" s="119" t="s">
        <v>302</v>
      </c>
      <c r="H1801" s="119" t="s">
        <v>317</v>
      </c>
      <c r="I1801" s="118">
        <v>60</v>
      </c>
    </row>
    <row r="1802" spans="1:9" ht="15.75" thickBot="1" x14ac:dyDescent="0.3">
      <c r="A1802" t="s">
        <v>180</v>
      </c>
      <c r="B1802" s="153" t="s">
        <v>2498</v>
      </c>
      <c r="C1802" s="12"/>
      <c r="D1802" s="123">
        <v>610000004803</v>
      </c>
      <c r="E1802" s="123"/>
      <c r="F1802" s="124" t="s">
        <v>2502</v>
      </c>
      <c r="G1802" s="107" t="s">
        <v>305</v>
      </c>
      <c r="H1802" s="107" t="s">
        <v>318</v>
      </c>
      <c r="I1802" s="124">
        <v>60</v>
      </c>
    </row>
    <row r="1803" spans="1:9" ht="15.75" thickBot="1" x14ac:dyDescent="0.3">
      <c r="A1803" t="s">
        <v>180</v>
      </c>
      <c r="B1803" s="153" t="s">
        <v>2498</v>
      </c>
      <c r="C1803" s="12"/>
      <c r="D1803" s="123">
        <v>610000004803</v>
      </c>
      <c r="E1803" s="123"/>
      <c r="F1803" s="124" t="s">
        <v>2502</v>
      </c>
      <c r="G1803" s="107" t="s">
        <v>308</v>
      </c>
      <c r="H1803" s="107" t="s">
        <v>319</v>
      </c>
      <c r="I1803" s="124">
        <v>60</v>
      </c>
    </row>
    <row r="1804" spans="1:9" ht="15.75" thickBot="1" x14ac:dyDescent="0.3">
      <c r="A1804" t="s">
        <v>180</v>
      </c>
      <c r="B1804" s="153" t="s">
        <v>2498</v>
      </c>
      <c r="C1804" s="12"/>
      <c r="D1804" s="104">
        <v>610000004803</v>
      </c>
      <c r="E1804" s="104"/>
      <c r="F1804" s="105" t="s">
        <v>2502</v>
      </c>
      <c r="G1804" s="106" t="s">
        <v>312</v>
      </c>
      <c r="H1804" s="106" t="s">
        <v>321</v>
      </c>
      <c r="I1804" s="105">
        <v>60</v>
      </c>
    </row>
    <row r="1805" spans="1:9" ht="15.75" thickBot="1" x14ac:dyDescent="0.3">
      <c r="A1805" t="s">
        <v>180</v>
      </c>
      <c r="B1805" s="153" t="s">
        <v>2498</v>
      </c>
      <c r="C1805" s="12"/>
      <c r="D1805" s="117">
        <v>610000004804</v>
      </c>
      <c r="E1805" s="117"/>
      <c r="F1805" s="118" t="s">
        <v>2503</v>
      </c>
      <c r="G1805" s="119" t="s">
        <v>305</v>
      </c>
      <c r="H1805" s="119" t="s">
        <v>324</v>
      </c>
      <c r="I1805" s="118">
        <v>365</v>
      </c>
    </row>
    <row r="1806" spans="1:9" ht="15.75" thickBot="1" x14ac:dyDescent="0.3">
      <c r="A1806" t="s">
        <v>180</v>
      </c>
      <c r="B1806" s="153" t="s">
        <v>2498</v>
      </c>
      <c r="C1806" s="27"/>
      <c r="D1806" s="147">
        <v>610000004804</v>
      </c>
      <c r="E1806" s="147"/>
      <c r="F1806" s="148" t="s">
        <v>2503</v>
      </c>
      <c r="G1806" s="149" t="s">
        <v>308</v>
      </c>
      <c r="H1806" s="149" t="s">
        <v>324</v>
      </c>
      <c r="I1806" s="148">
        <v>365</v>
      </c>
    </row>
    <row r="1807" spans="1:9" ht="15.75" thickBot="1" x14ac:dyDescent="0.3">
      <c r="A1807" t="s">
        <v>180</v>
      </c>
      <c r="B1807" s="153" t="s">
        <v>2504</v>
      </c>
      <c r="C1807" s="400"/>
      <c r="D1807" s="100">
        <v>610000004806</v>
      </c>
      <c r="E1807" s="100"/>
      <c r="F1807" s="101" t="s">
        <v>2505</v>
      </c>
      <c r="G1807" s="102" t="s">
        <v>333</v>
      </c>
      <c r="H1807" s="102" t="s">
        <v>2506</v>
      </c>
      <c r="I1807" s="101">
        <v>30</v>
      </c>
    </row>
    <row r="1808" spans="1:9" ht="15.75" thickBot="1" x14ac:dyDescent="0.3">
      <c r="A1808" t="s">
        <v>180</v>
      </c>
      <c r="B1808" s="153" t="s">
        <v>2504</v>
      </c>
      <c r="C1808" s="12"/>
      <c r="D1808" s="104">
        <v>610000004806</v>
      </c>
      <c r="E1808" s="104"/>
      <c r="F1808" s="105" t="s">
        <v>2505</v>
      </c>
      <c r="G1808" s="106" t="s">
        <v>328</v>
      </c>
      <c r="H1808" s="106" t="s">
        <v>2507</v>
      </c>
      <c r="I1808" s="105">
        <v>30</v>
      </c>
    </row>
    <row r="1809" spans="1:9" ht="15.75" thickBot="1" x14ac:dyDescent="0.3">
      <c r="A1809" t="s">
        <v>180</v>
      </c>
      <c r="B1809" s="153" t="s">
        <v>2504</v>
      </c>
      <c r="C1809" s="12"/>
      <c r="D1809" s="117">
        <v>610000004807</v>
      </c>
      <c r="E1809" s="117"/>
      <c r="F1809" s="118" t="s">
        <v>2508</v>
      </c>
      <c r="G1809" s="119" t="s">
        <v>326</v>
      </c>
      <c r="H1809" s="119" t="s">
        <v>332</v>
      </c>
      <c r="I1809" s="118">
        <v>30</v>
      </c>
    </row>
    <row r="1810" spans="1:9" ht="15.75" thickBot="1" x14ac:dyDescent="0.3">
      <c r="A1810" t="s">
        <v>180</v>
      </c>
      <c r="B1810" s="153" t="s">
        <v>2504</v>
      </c>
      <c r="C1810" s="12"/>
      <c r="D1810" s="100">
        <v>610000004807</v>
      </c>
      <c r="E1810" s="100"/>
      <c r="F1810" s="101" t="s">
        <v>2508</v>
      </c>
      <c r="G1810" s="102" t="s">
        <v>333</v>
      </c>
      <c r="H1810" s="102" t="s">
        <v>335</v>
      </c>
      <c r="I1810" s="101">
        <v>30</v>
      </c>
    </row>
    <row r="1811" spans="1:9" ht="15.75" thickBot="1" x14ac:dyDescent="0.3">
      <c r="A1811" t="s">
        <v>180</v>
      </c>
      <c r="B1811" s="153" t="s">
        <v>2504</v>
      </c>
      <c r="C1811" s="401"/>
      <c r="D1811" s="104">
        <v>610000004807</v>
      </c>
      <c r="E1811" s="104"/>
      <c r="F1811" s="105" t="s">
        <v>2508</v>
      </c>
      <c r="G1811" s="106" t="s">
        <v>328</v>
      </c>
      <c r="H1811" s="102" t="s">
        <v>336</v>
      </c>
      <c r="I1811" s="105">
        <v>30</v>
      </c>
    </row>
    <row r="1812" spans="1:9" ht="15.75" thickBot="1" x14ac:dyDescent="0.3">
      <c r="A1812" t="s">
        <v>180</v>
      </c>
      <c r="B1812" s="153" t="s">
        <v>2504</v>
      </c>
      <c r="C1812" s="228"/>
      <c r="D1812" s="117">
        <v>610000004808</v>
      </c>
      <c r="E1812" s="117"/>
      <c r="F1812" s="118" t="s">
        <v>2509</v>
      </c>
      <c r="G1812" s="119" t="s">
        <v>326</v>
      </c>
      <c r="H1812" s="119" t="s">
        <v>338</v>
      </c>
      <c r="I1812" s="118">
        <v>60</v>
      </c>
    </row>
    <row r="1813" spans="1:9" ht="15.75" thickBot="1" x14ac:dyDescent="0.3">
      <c r="A1813" t="s">
        <v>180</v>
      </c>
      <c r="B1813" s="153" t="s">
        <v>2504</v>
      </c>
      <c r="C1813" s="402"/>
      <c r="D1813" s="147">
        <v>610000004808</v>
      </c>
      <c r="E1813" s="213"/>
      <c r="F1813" s="201" t="s">
        <v>2509</v>
      </c>
      <c r="G1813" s="202" t="s">
        <v>333</v>
      </c>
      <c r="H1813" s="149" t="s">
        <v>340</v>
      </c>
      <c r="I1813" s="201">
        <v>60</v>
      </c>
    </row>
    <row r="1814" spans="1:9" x14ac:dyDescent="0.25">
      <c r="A1814" t="s">
        <v>180</v>
      </c>
      <c r="B1814" s="4" t="s">
        <v>2510</v>
      </c>
      <c r="C1814" s="5"/>
      <c r="D1814" s="117">
        <v>610000004214</v>
      </c>
      <c r="E1814" s="118" t="s">
        <v>2511</v>
      </c>
      <c r="F1814" s="118" t="s">
        <v>2512</v>
      </c>
      <c r="G1814" s="220" t="s">
        <v>330</v>
      </c>
      <c r="H1814" s="220" t="s">
        <v>2513</v>
      </c>
      <c r="I1814" s="221" t="e">
        <f>VLOOKUP(MID(#REF!,5,1),$K$5:$K$11,2,0)</f>
        <v>#REF!</v>
      </c>
    </row>
    <row r="1815" spans="1:9" x14ac:dyDescent="0.25">
      <c r="A1815" t="s">
        <v>180</v>
      </c>
      <c r="B1815" s="4" t="s">
        <v>2510</v>
      </c>
      <c r="C1815" s="12"/>
      <c r="D1815" s="140">
        <v>610000004214</v>
      </c>
      <c r="E1815" s="124" t="s">
        <v>2514</v>
      </c>
      <c r="F1815" s="141" t="s">
        <v>2512</v>
      </c>
      <c r="G1815" s="293" t="s">
        <v>349</v>
      </c>
      <c r="H1815" s="180" t="s">
        <v>2515</v>
      </c>
      <c r="I1815" s="181">
        <v>15</v>
      </c>
    </row>
    <row r="1816" spans="1:9" x14ac:dyDescent="0.25">
      <c r="A1816" t="s">
        <v>180</v>
      </c>
      <c r="B1816" s="4" t="s">
        <v>2510</v>
      </c>
      <c r="C1816" s="12"/>
      <c r="D1816" s="123">
        <v>610000004214</v>
      </c>
      <c r="E1816" s="124" t="s">
        <v>2517</v>
      </c>
      <c r="F1816" s="124" t="s">
        <v>2512</v>
      </c>
      <c r="G1816" s="180" t="s">
        <v>2518</v>
      </c>
      <c r="H1816" s="180" t="s">
        <v>2519</v>
      </c>
      <c r="I1816" s="181">
        <v>15</v>
      </c>
    </row>
    <row r="1817" spans="1:9" x14ac:dyDescent="0.25">
      <c r="A1817" t="s">
        <v>180</v>
      </c>
      <c r="B1817" s="4" t="s">
        <v>2510</v>
      </c>
      <c r="C1817" s="12"/>
      <c r="D1817" s="123">
        <v>610000004214</v>
      </c>
      <c r="E1817" s="124" t="s">
        <v>2520</v>
      </c>
      <c r="F1817" s="124" t="s">
        <v>2512</v>
      </c>
      <c r="G1817" s="180" t="s">
        <v>2521</v>
      </c>
      <c r="H1817" s="180" t="s">
        <v>2522</v>
      </c>
      <c r="I1817" s="181">
        <v>15</v>
      </c>
    </row>
    <row r="1818" spans="1:9" x14ac:dyDescent="0.25">
      <c r="A1818" t="s">
        <v>180</v>
      </c>
      <c r="B1818" s="4" t="s">
        <v>2510</v>
      </c>
      <c r="C1818" s="12"/>
      <c r="D1818" s="123">
        <v>610000004214</v>
      </c>
      <c r="E1818" s="124" t="s">
        <v>2523</v>
      </c>
      <c r="F1818" s="124" t="s">
        <v>2512</v>
      </c>
      <c r="G1818" s="180" t="s">
        <v>2524</v>
      </c>
      <c r="H1818" s="180" t="s">
        <v>2525</v>
      </c>
      <c r="I1818" s="181">
        <v>15</v>
      </c>
    </row>
    <row r="1819" spans="1:9" x14ac:dyDescent="0.25">
      <c r="A1819" t="s">
        <v>180</v>
      </c>
      <c r="B1819" s="4" t="s">
        <v>2510</v>
      </c>
      <c r="C1819" s="12"/>
      <c r="D1819" s="123">
        <v>610000004214</v>
      </c>
      <c r="E1819" s="124" t="s">
        <v>2526</v>
      </c>
      <c r="F1819" s="124" t="s">
        <v>2512</v>
      </c>
      <c r="G1819" s="180" t="s">
        <v>2527</v>
      </c>
      <c r="H1819" s="180" t="s">
        <v>2528</v>
      </c>
      <c r="I1819" s="181">
        <v>15</v>
      </c>
    </row>
    <row r="1820" spans="1:9" x14ac:dyDescent="0.25">
      <c r="A1820" t="s">
        <v>180</v>
      </c>
      <c r="B1820" s="4" t="s">
        <v>2510</v>
      </c>
      <c r="C1820" s="12"/>
      <c r="D1820" s="123">
        <v>610000004214</v>
      </c>
      <c r="E1820" s="124" t="s">
        <v>2529</v>
      </c>
      <c r="F1820" s="124" t="s">
        <v>2512</v>
      </c>
      <c r="G1820" s="180" t="s">
        <v>1085</v>
      </c>
      <c r="H1820" s="180" t="s">
        <v>2530</v>
      </c>
      <c r="I1820" s="181">
        <v>15</v>
      </c>
    </row>
    <row r="1821" spans="1:9" x14ac:dyDescent="0.25">
      <c r="A1821" t="s">
        <v>180</v>
      </c>
      <c r="B1821" s="4" t="s">
        <v>2510</v>
      </c>
      <c r="C1821" s="12"/>
      <c r="D1821" s="123">
        <v>610000004214</v>
      </c>
      <c r="E1821" s="124" t="s">
        <v>2531</v>
      </c>
      <c r="F1821" s="124" t="s">
        <v>2512</v>
      </c>
      <c r="G1821" s="180" t="s">
        <v>2532</v>
      </c>
      <c r="H1821" s="180" t="s">
        <v>2533</v>
      </c>
      <c r="I1821" s="181">
        <v>15</v>
      </c>
    </row>
    <row r="1822" spans="1:9" x14ac:dyDescent="0.25">
      <c r="A1822" t="s">
        <v>180</v>
      </c>
      <c r="B1822" s="4" t="s">
        <v>2510</v>
      </c>
      <c r="C1822" s="12"/>
      <c r="D1822" s="123">
        <v>610000004214</v>
      </c>
      <c r="E1822" s="124" t="s">
        <v>2535</v>
      </c>
      <c r="F1822" s="124" t="s">
        <v>2512</v>
      </c>
      <c r="G1822" s="180" t="s">
        <v>1090</v>
      </c>
      <c r="H1822" s="180" t="s">
        <v>2536</v>
      </c>
      <c r="I1822" s="181">
        <v>15</v>
      </c>
    </row>
    <row r="1823" spans="1:9" x14ac:dyDescent="0.25">
      <c r="A1823" t="s">
        <v>180</v>
      </c>
      <c r="B1823" s="4" t="s">
        <v>2510</v>
      </c>
      <c r="C1823" s="12"/>
      <c r="D1823" s="103">
        <v>610000004214</v>
      </c>
      <c r="E1823" s="85" t="s">
        <v>2537</v>
      </c>
      <c r="F1823" s="85" t="s">
        <v>2512</v>
      </c>
      <c r="G1823" s="182" t="s">
        <v>1092</v>
      </c>
      <c r="H1823" s="182" t="s">
        <v>2538</v>
      </c>
      <c r="I1823" s="183">
        <v>15</v>
      </c>
    </row>
    <row r="1824" spans="1:9" x14ac:dyDescent="0.25">
      <c r="A1824" t="s">
        <v>180</v>
      </c>
      <c r="B1824" s="4" t="s">
        <v>2510</v>
      </c>
      <c r="C1824" s="12"/>
      <c r="D1824" s="156">
        <v>610000004215</v>
      </c>
      <c r="E1824" s="157" t="s">
        <v>2539</v>
      </c>
      <c r="F1824" s="157" t="s">
        <v>2540</v>
      </c>
      <c r="G1824" s="62" t="s">
        <v>330</v>
      </c>
      <c r="H1824" s="62" t="s">
        <v>334</v>
      </c>
      <c r="I1824" s="195">
        <v>30</v>
      </c>
    </row>
    <row r="1825" spans="1:9" x14ac:dyDescent="0.25">
      <c r="A1825" t="s">
        <v>180</v>
      </c>
      <c r="B1825" s="4" t="s">
        <v>2510</v>
      </c>
      <c r="C1825" s="12"/>
      <c r="D1825" s="140">
        <v>610000004216</v>
      </c>
      <c r="E1825" s="101" t="s">
        <v>2541</v>
      </c>
      <c r="F1825" s="141" t="s">
        <v>2542</v>
      </c>
      <c r="G1825" s="293" t="s">
        <v>349</v>
      </c>
      <c r="H1825" s="178" t="s">
        <v>2543</v>
      </c>
      <c r="I1825" s="179">
        <v>60</v>
      </c>
    </row>
    <row r="1826" spans="1:9" x14ac:dyDescent="0.25">
      <c r="A1826" t="s">
        <v>180</v>
      </c>
      <c r="B1826" s="4" t="s">
        <v>2510</v>
      </c>
      <c r="C1826" s="12"/>
      <c r="D1826" s="123">
        <v>610000004216</v>
      </c>
      <c r="E1826" s="124" t="s">
        <v>2544</v>
      </c>
      <c r="F1826" s="124" t="s">
        <v>2542</v>
      </c>
      <c r="G1826" s="180" t="s">
        <v>2518</v>
      </c>
      <c r="H1826" s="180" t="s">
        <v>2545</v>
      </c>
      <c r="I1826" s="181">
        <v>60</v>
      </c>
    </row>
    <row r="1827" spans="1:9" x14ac:dyDescent="0.25">
      <c r="A1827" t="s">
        <v>180</v>
      </c>
      <c r="B1827" s="4" t="s">
        <v>2510</v>
      </c>
      <c r="C1827" s="12"/>
      <c r="D1827" s="123">
        <v>610000004216</v>
      </c>
      <c r="E1827" s="124" t="s">
        <v>2546</v>
      </c>
      <c r="F1827" s="124" t="s">
        <v>2542</v>
      </c>
      <c r="G1827" s="180" t="s">
        <v>2521</v>
      </c>
      <c r="H1827" s="180" t="s">
        <v>2547</v>
      </c>
      <c r="I1827" s="181">
        <v>60</v>
      </c>
    </row>
    <row r="1828" spans="1:9" x14ac:dyDescent="0.25">
      <c r="A1828" t="s">
        <v>180</v>
      </c>
      <c r="B1828" s="4" t="s">
        <v>2510</v>
      </c>
      <c r="C1828" s="12"/>
      <c r="D1828" s="123">
        <v>610000004216</v>
      </c>
      <c r="E1828" s="124" t="s">
        <v>2548</v>
      </c>
      <c r="F1828" s="124" t="s">
        <v>2542</v>
      </c>
      <c r="G1828" s="180" t="s">
        <v>2524</v>
      </c>
      <c r="H1828" s="180" t="s">
        <v>2549</v>
      </c>
      <c r="I1828" s="181">
        <v>60</v>
      </c>
    </row>
    <row r="1829" spans="1:9" x14ac:dyDescent="0.25">
      <c r="A1829" t="s">
        <v>180</v>
      </c>
      <c r="B1829" s="4" t="s">
        <v>2510</v>
      </c>
      <c r="C1829" s="12"/>
      <c r="D1829" s="123">
        <v>610000004216</v>
      </c>
      <c r="E1829" s="124" t="s">
        <v>2550</v>
      </c>
      <c r="F1829" s="124" t="s">
        <v>2542</v>
      </c>
      <c r="G1829" s="180" t="s">
        <v>2527</v>
      </c>
      <c r="H1829" s="180" t="s">
        <v>2551</v>
      </c>
      <c r="I1829" s="181">
        <v>60</v>
      </c>
    </row>
    <row r="1830" spans="1:9" x14ac:dyDescent="0.25">
      <c r="A1830" t="s">
        <v>180</v>
      </c>
      <c r="B1830" s="4" t="s">
        <v>2510</v>
      </c>
      <c r="C1830" s="12"/>
      <c r="D1830" s="123">
        <v>610000004216</v>
      </c>
      <c r="E1830" s="124" t="s">
        <v>2552</v>
      </c>
      <c r="F1830" s="124" t="s">
        <v>2542</v>
      </c>
      <c r="G1830" s="180" t="s">
        <v>1085</v>
      </c>
      <c r="H1830" s="180" t="s">
        <v>1091</v>
      </c>
      <c r="I1830" s="181">
        <v>60</v>
      </c>
    </row>
    <row r="1831" spans="1:9" x14ac:dyDescent="0.25">
      <c r="A1831" t="s">
        <v>180</v>
      </c>
      <c r="B1831" s="4" t="s">
        <v>2510</v>
      </c>
      <c r="C1831" s="12"/>
      <c r="D1831" s="123">
        <v>610000004216</v>
      </c>
      <c r="E1831" s="124" t="s">
        <v>2553</v>
      </c>
      <c r="F1831" s="124" t="s">
        <v>2542</v>
      </c>
      <c r="G1831" s="180" t="s">
        <v>2532</v>
      </c>
      <c r="H1831" s="180" t="s">
        <v>2554</v>
      </c>
      <c r="I1831" s="181">
        <v>60</v>
      </c>
    </row>
    <row r="1832" spans="1:9" x14ac:dyDescent="0.25">
      <c r="A1832" t="s">
        <v>180</v>
      </c>
      <c r="B1832" s="4" t="s">
        <v>2510</v>
      </c>
      <c r="C1832" s="12"/>
      <c r="D1832" s="123">
        <v>610000004216</v>
      </c>
      <c r="E1832" s="124" t="s">
        <v>2555</v>
      </c>
      <c r="F1832" s="124" t="s">
        <v>2542</v>
      </c>
      <c r="G1832" s="180" t="s">
        <v>1090</v>
      </c>
      <c r="H1832" s="180" t="s">
        <v>1115</v>
      </c>
      <c r="I1832" s="181">
        <v>60</v>
      </c>
    </row>
    <row r="1833" spans="1:9" x14ac:dyDescent="0.25">
      <c r="A1833" t="s">
        <v>180</v>
      </c>
      <c r="B1833" s="4" t="s">
        <v>2510</v>
      </c>
      <c r="C1833" s="12"/>
      <c r="D1833" s="103">
        <v>610000004216</v>
      </c>
      <c r="E1833" s="85" t="s">
        <v>2556</v>
      </c>
      <c r="F1833" s="85" t="s">
        <v>2542</v>
      </c>
      <c r="G1833" s="182" t="s">
        <v>1092</v>
      </c>
      <c r="H1833" s="182" t="s">
        <v>1117</v>
      </c>
      <c r="I1833" s="183">
        <v>60</v>
      </c>
    </row>
    <row r="1834" spans="1:9" x14ac:dyDescent="0.25">
      <c r="A1834" t="s">
        <v>180</v>
      </c>
      <c r="B1834" s="4" t="s">
        <v>2510</v>
      </c>
      <c r="C1834" s="12"/>
      <c r="D1834" s="100">
        <v>610000004217</v>
      </c>
      <c r="E1834" s="101" t="s">
        <v>2557</v>
      </c>
      <c r="F1834" s="101" t="s">
        <v>2558</v>
      </c>
      <c r="G1834" s="178" t="s">
        <v>330</v>
      </c>
      <c r="H1834" s="178" t="s">
        <v>2559</v>
      </c>
      <c r="I1834" s="179">
        <v>60</v>
      </c>
    </row>
    <row r="1835" spans="1:9" x14ac:dyDescent="0.25">
      <c r="A1835" t="s">
        <v>180</v>
      </c>
      <c r="B1835" s="4" t="s">
        <v>2510</v>
      </c>
      <c r="C1835" s="12"/>
      <c r="D1835" s="140">
        <v>610000004217</v>
      </c>
      <c r="E1835" s="124" t="s">
        <v>2560</v>
      </c>
      <c r="F1835" s="141" t="s">
        <v>2558</v>
      </c>
      <c r="G1835" s="293" t="s">
        <v>349</v>
      </c>
      <c r="H1835" s="180" t="s">
        <v>2561</v>
      </c>
      <c r="I1835" s="181">
        <v>60</v>
      </c>
    </row>
    <row r="1836" spans="1:9" x14ac:dyDescent="0.25">
      <c r="A1836" t="s">
        <v>180</v>
      </c>
      <c r="B1836" s="4" t="s">
        <v>2510</v>
      </c>
      <c r="C1836" s="12"/>
      <c r="D1836" s="123">
        <v>610000004217</v>
      </c>
      <c r="E1836" s="124" t="s">
        <v>2562</v>
      </c>
      <c r="F1836" s="124" t="s">
        <v>2558</v>
      </c>
      <c r="G1836" s="180" t="s">
        <v>2518</v>
      </c>
      <c r="H1836" s="180" t="s">
        <v>2563</v>
      </c>
      <c r="I1836" s="181">
        <v>60</v>
      </c>
    </row>
    <row r="1837" spans="1:9" x14ac:dyDescent="0.25">
      <c r="A1837" t="s">
        <v>180</v>
      </c>
      <c r="B1837" s="4" t="s">
        <v>2510</v>
      </c>
      <c r="C1837" s="12"/>
      <c r="D1837" s="123">
        <v>610000004217</v>
      </c>
      <c r="E1837" s="124" t="s">
        <v>2564</v>
      </c>
      <c r="F1837" s="124" t="s">
        <v>2558</v>
      </c>
      <c r="G1837" s="180" t="s">
        <v>2521</v>
      </c>
      <c r="H1837" s="180" t="s">
        <v>2565</v>
      </c>
      <c r="I1837" s="181">
        <v>60</v>
      </c>
    </row>
    <row r="1838" spans="1:9" x14ac:dyDescent="0.25">
      <c r="A1838" t="s">
        <v>180</v>
      </c>
      <c r="B1838" s="4" t="s">
        <v>2510</v>
      </c>
      <c r="C1838" s="12"/>
      <c r="D1838" s="123">
        <v>610000004217</v>
      </c>
      <c r="E1838" s="124" t="s">
        <v>2566</v>
      </c>
      <c r="F1838" s="124" t="s">
        <v>2558</v>
      </c>
      <c r="G1838" s="180" t="s">
        <v>2524</v>
      </c>
      <c r="H1838" s="180" t="s">
        <v>2567</v>
      </c>
      <c r="I1838" s="181">
        <v>60</v>
      </c>
    </row>
    <row r="1839" spans="1:9" x14ac:dyDescent="0.25">
      <c r="A1839" t="s">
        <v>180</v>
      </c>
      <c r="B1839" s="4" t="s">
        <v>2510</v>
      </c>
      <c r="C1839" s="12"/>
      <c r="D1839" s="123">
        <v>610000004217</v>
      </c>
      <c r="E1839" s="124" t="s">
        <v>2568</v>
      </c>
      <c r="F1839" s="124" t="s">
        <v>2558</v>
      </c>
      <c r="G1839" s="180" t="s">
        <v>2527</v>
      </c>
      <c r="H1839" s="180" t="s">
        <v>2569</v>
      </c>
      <c r="I1839" s="181">
        <v>60</v>
      </c>
    </row>
    <row r="1840" spans="1:9" x14ac:dyDescent="0.25">
      <c r="A1840" t="s">
        <v>180</v>
      </c>
      <c r="B1840" s="4" t="s">
        <v>2510</v>
      </c>
      <c r="C1840" s="12"/>
      <c r="D1840" s="123">
        <v>610000004217</v>
      </c>
      <c r="E1840" s="124" t="s">
        <v>2570</v>
      </c>
      <c r="F1840" s="124" t="s">
        <v>2558</v>
      </c>
      <c r="G1840" s="180" t="s">
        <v>1085</v>
      </c>
      <c r="H1840" s="180" t="s">
        <v>1102</v>
      </c>
      <c r="I1840" s="181">
        <v>60</v>
      </c>
    </row>
    <row r="1841" spans="1:9" x14ac:dyDescent="0.25">
      <c r="A1841" t="s">
        <v>180</v>
      </c>
      <c r="B1841" s="4" t="s">
        <v>2510</v>
      </c>
      <c r="C1841" s="12"/>
      <c r="D1841" s="123">
        <v>610000004217</v>
      </c>
      <c r="E1841" s="124" t="s">
        <v>2571</v>
      </c>
      <c r="F1841" s="124" t="s">
        <v>2558</v>
      </c>
      <c r="G1841" s="180" t="s">
        <v>2532</v>
      </c>
      <c r="H1841" s="180" t="s">
        <v>2572</v>
      </c>
      <c r="I1841" s="181">
        <v>60</v>
      </c>
    </row>
    <row r="1842" spans="1:9" x14ac:dyDescent="0.25">
      <c r="A1842" t="s">
        <v>180</v>
      </c>
      <c r="B1842" s="4" t="s">
        <v>2510</v>
      </c>
      <c r="C1842" s="12"/>
      <c r="D1842" s="123">
        <v>610000004217</v>
      </c>
      <c r="E1842" s="124" t="s">
        <v>2573</v>
      </c>
      <c r="F1842" s="124" t="s">
        <v>2558</v>
      </c>
      <c r="G1842" s="180" t="s">
        <v>1090</v>
      </c>
      <c r="H1842" s="180" t="s">
        <v>1124</v>
      </c>
      <c r="I1842" s="181">
        <v>60</v>
      </c>
    </row>
    <row r="1843" spans="1:9" x14ac:dyDescent="0.25">
      <c r="A1843" t="s">
        <v>180</v>
      </c>
      <c r="B1843" s="4" t="s">
        <v>2510</v>
      </c>
      <c r="C1843" s="12"/>
      <c r="D1843" s="103">
        <v>610000004217</v>
      </c>
      <c r="E1843" s="85" t="s">
        <v>2574</v>
      </c>
      <c r="F1843" s="85" t="s">
        <v>2558</v>
      </c>
      <c r="G1843" s="182" t="s">
        <v>1092</v>
      </c>
      <c r="H1843" s="182" t="s">
        <v>1125</v>
      </c>
      <c r="I1843" s="183">
        <v>60</v>
      </c>
    </row>
    <row r="1844" spans="1:9" x14ac:dyDescent="0.25">
      <c r="A1844" t="s">
        <v>180</v>
      </c>
      <c r="B1844" s="4" t="s">
        <v>2510</v>
      </c>
      <c r="C1844" s="12"/>
      <c r="D1844" s="17">
        <v>610000004218</v>
      </c>
      <c r="E1844" s="18" t="s">
        <v>2575</v>
      </c>
      <c r="F1844" s="18" t="s">
        <v>2576</v>
      </c>
      <c r="G1844" s="19" t="s">
        <v>330</v>
      </c>
      <c r="H1844" s="19" t="s">
        <v>2577</v>
      </c>
      <c r="I1844" s="18">
        <v>60</v>
      </c>
    </row>
    <row r="1845" spans="1:9" x14ac:dyDescent="0.25">
      <c r="A1845" t="s">
        <v>180</v>
      </c>
      <c r="B1845" s="4" t="s">
        <v>2510</v>
      </c>
      <c r="C1845" s="12"/>
      <c r="D1845" s="57">
        <v>610000004218</v>
      </c>
      <c r="E1845" s="18" t="s">
        <v>2578</v>
      </c>
      <c r="F1845" s="58" t="s">
        <v>2576</v>
      </c>
      <c r="G1845" s="59" t="s">
        <v>349</v>
      </c>
      <c r="H1845" s="19" t="s">
        <v>2579</v>
      </c>
      <c r="I1845" s="18">
        <v>60</v>
      </c>
    </row>
    <row r="1846" spans="1:9" x14ac:dyDescent="0.25">
      <c r="A1846" t="s">
        <v>180</v>
      </c>
      <c r="B1846" s="4" t="s">
        <v>2510</v>
      </c>
      <c r="C1846" s="12"/>
      <c r="D1846" s="17">
        <v>610000004218</v>
      </c>
      <c r="E1846" s="18" t="s">
        <v>2580</v>
      </c>
      <c r="F1846" s="18" t="s">
        <v>2576</v>
      </c>
      <c r="G1846" s="19" t="s">
        <v>2518</v>
      </c>
      <c r="H1846" s="19" t="s">
        <v>2581</v>
      </c>
      <c r="I1846" s="18">
        <v>60</v>
      </c>
    </row>
    <row r="1847" spans="1:9" x14ac:dyDescent="0.25">
      <c r="A1847" t="s">
        <v>180</v>
      </c>
      <c r="B1847" s="4" t="s">
        <v>2510</v>
      </c>
      <c r="C1847" s="12"/>
      <c r="D1847" s="17">
        <v>610000004218</v>
      </c>
      <c r="E1847" s="18" t="s">
        <v>2582</v>
      </c>
      <c r="F1847" s="18" t="s">
        <v>2576</v>
      </c>
      <c r="G1847" s="19" t="s">
        <v>2521</v>
      </c>
      <c r="H1847" s="19" t="s">
        <v>2583</v>
      </c>
      <c r="I1847" s="18">
        <v>60</v>
      </c>
    </row>
    <row r="1848" spans="1:9" x14ac:dyDescent="0.25">
      <c r="A1848" t="s">
        <v>180</v>
      </c>
      <c r="B1848" s="4" t="s">
        <v>2510</v>
      </c>
      <c r="C1848" s="12"/>
      <c r="D1848" s="17">
        <v>610000004218</v>
      </c>
      <c r="E1848" s="18" t="s">
        <v>2584</v>
      </c>
      <c r="F1848" s="18" t="s">
        <v>2576</v>
      </c>
      <c r="G1848" s="19" t="s">
        <v>2524</v>
      </c>
      <c r="H1848" s="19" t="s">
        <v>2585</v>
      </c>
      <c r="I1848" s="18">
        <v>60</v>
      </c>
    </row>
    <row r="1849" spans="1:9" x14ac:dyDescent="0.25">
      <c r="A1849" t="s">
        <v>180</v>
      </c>
      <c r="B1849" s="4" t="s">
        <v>2510</v>
      </c>
      <c r="C1849" s="12"/>
      <c r="D1849" s="17">
        <v>610000004218</v>
      </c>
      <c r="E1849" s="18" t="s">
        <v>2586</v>
      </c>
      <c r="F1849" s="18" t="s">
        <v>2576</v>
      </c>
      <c r="G1849" s="19" t="s">
        <v>2527</v>
      </c>
      <c r="H1849" s="19" t="s">
        <v>2587</v>
      </c>
      <c r="I1849" s="18">
        <v>60</v>
      </c>
    </row>
    <row r="1850" spans="1:9" x14ac:dyDescent="0.25">
      <c r="A1850" t="s">
        <v>180</v>
      </c>
      <c r="B1850" s="4" t="s">
        <v>2510</v>
      </c>
      <c r="C1850" s="12"/>
      <c r="D1850" s="17">
        <v>610000004218</v>
      </c>
      <c r="E1850" s="18" t="s">
        <v>2588</v>
      </c>
      <c r="F1850" s="18" t="s">
        <v>2576</v>
      </c>
      <c r="G1850" s="19" t="s">
        <v>1085</v>
      </c>
      <c r="H1850" s="19" t="s">
        <v>2589</v>
      </c>
      <c r="I1850" s="18">
        <v>60</v>
      </c>
    </row>
    <row r="1851" spans="1:9" x14ac:dyDescent="0.25">
      <c r="A1851" t="s">
        <v>180</v>
      </c>
      <c r="B1851" s="4" t="s">
        <v>2510</v>
      </c>
      <c r="C1851" s="12"/>
      <c r="D1851" s="17">
        <v>610000004218</v>
      </c>
      <c r="E1851" s="18" t="s">
        <v>2590</v>
      </c>
      <c r="F1851" s="18" t="s">
        <v>2576</v>
      </c>
      <c r="G1851" s="19" t="s">
        <v>2532</v>
      </c>
      <c r="H1851" s="19" t="s">
        <v>2591</v>
      </c>
      <c r="I1851" s="18">
        <v>60</v>
      </c>
    </row>
    <row r="1852" spans="1:9" x14ac:dyDescent="0.25">
      <c r="A1852" t="s">
        <v>180</v>
      </c>
      <c r="B1852" s="4" t="s">
        <v>2510</v>
      </c>
      <c r="C1852" s="12"/>
      <c r="D1852" s="17">
        <v>610000004218</v>
      </c>
      <c r="E1852" s="18" t="s">
        <v>2592</v>
      </c>
      <c r="F1852" s="18" t="s">
        <v>2576</v>
      </c>
      <c r="G1852" s="19" t="s">
        <v>1090</v>
      </c>
      <c r="H1852" s="19" t="s">
        <v>2593</v>
      </c>
      <c r="I1852" s="18">
        <v>60</v>
      </c>
    </row>
    <row r="1853" spans="1:9" x14ac:dyDescent="0.25">
      <c r="A1853" t="s">
        <v>180</v>
      </c>
      <c r="B1853" s="4" t="s">
        <v>2510</v>
      </c>
      <c r="C1853" s="12"/>
      <c r="D1853" s="17">
        <v>610000004218</v>
      </c>
      <c r="E1853" s="18" t="s">
        <v>2594</v>
      </c>
      <c r="F1853" s="18" t="s">
        <v>2576</v>
      </c>
      <c r="G1853" s="19" t="s">
        <v>1092</v>
      </c>
      <c r="H1853" s="19" t="s">
        <v>2595</v>
      </c>
      <c r="I1853" s="18">
        <v>60</v>
      </c>
    </row>
    <row r="1854" spans="1:9" x14ac:dyDescent="0.25">
      <c r="A1854" t="s">
        <v>180</v>
      </c>
      <c r="B1854" s="4" t="s">
        <v>2510</v>
      </c>
      <c r="C1854" s="12"/>
      <c r="D1854" s="123">
        <v>610000004219</v>
      </c>
      <c r="E1854" s="124" t="s">
        <v>2596</v>
      </c>
      <c r="F1854" s="124" t="s">
        <v>2597</v>
      </c>
      <c r="G1854" s="180" t="s">
        <v>330</v>
      </c>
      <c r="H1854" s="180" t="s">
        <v>339</v>
      </c>
      <c r="I1854" s="181">
        <v>90</v>
      </c>
    </row>
    <row r="1855" spans="1:9" x14ac:dyDescent="0.25">
      <c r="A1855" t="s">
        <v>180</v>
      </c>
      <c r="B1855" s="4" t="s">
        <v>2510</v>
      </c>
      <c r="C1855" s="12"/>
      <c r="D1855" s="140">
        <v>610000004219</v>
      </c>
      <c r="E1855" s="124" t="s">
        <v>2598</v>
      </c>
      <c r="F1855" s="141" t="s">
        <v>2597</v>
      </c>
      <c r="G1855" s="293" t="s">
        <v>349</v>
      </c>
      <c r="H1855" s="180" t="s">
        <v>2599</v>
      </c>
      <c r="I1855" s="181">
        <v>90</v>
      </c>
    </row>
    <row r="1856" spans="1:9" x14ac:dyDescent="0.25">
      <c r="A1856" t="s">
        <v>180</v>
      </c>
      <c r="B1856" s="4" t="s">
        <v>2510</v>
      </c>
      <c r="C1856" s="12"/>
      <c r="D1856" s="123">
        <v>610000004219</v>
      </c>
      <c r="E1856" s="124" t="s">
        <v>2600</v>
      </c>
      <c r="F1856" s="124" t="s">
        <v>2597</v>
      </c>
      <c r="G1856" s="180" t="s">
        <v>2518</v>
      </c>
      <c r="H1856" s="180" t="s">
        <v>2601</v>
      </c>
      <c r="I1856" s="181">
        <v>90</v>
      </c>
    </row>
    <row r="1857" spans="1:9" x14ac:dyDescent="0.25">
      <c r="A1857" t="s">
        <v>180</v>
      </c>
      <c r="B1857" s="4" t="s">
        <v>2510</v>
      </c>
      <c r="C1857" s="12"/>
      <c r="D1857" s="123">
        <v>610000004219</v>
      </c>
      <c r="E1857" s="124" t="s">
        <v>2602</v>
      </c>
      <c r="F1857" s="124" t="s">
        <v>2597</v>
      </c>
      <c r="G1857" s="180" t="s">
        <v>2521</v>
      </c>
      <c r="H1857" s="180" t="s">
        <v>2603</v>
      </c>
      <c r="I1857" s="181">
        <v>90</v>
      </c>
    </row>
    <row r="1858" spans="1:9" x14ac:dyDescent="0.25">
      <c r="A1858" t="s">
        <v>180</v>
      </c>
      <c r="B1858" s="4" t="s">
        <v>2510</v>
      </c>
      <c r="C1858" s="12"/>
      <c r="D1858" s="123">
        <v>610000004219</v>
      </c>
      <c r="E1858" s="124" t="s">
        <v>2604</v>
      </c>
      <c r="F1858" s="124" t="s">
        <v>2597</v>
      </c>
      <c r="G1858" s="180" t="s">
        <v>2524</v>
      </c>
      <c r="H1858" s="180" t="s">
        <v>2605</v>
      </c>
      <c r="I1858" s="181">
        <v>90</v>
      </c>
    </row>
    <row r="1859" spans="1:9" x14ac:dyDescent="0.25">
      <c r="A1859" t="s">
        <v>180</v>
      </c>
      <c r="B1859" s="4" t="s">
        <v>2510</v>
      </c>
      <c r="C1859" s="12"/>
      <c r="D1859" s="123">
        <v>610000004219</v>
      </c>
      <c r="E1859" s="124" t="s">
        <v>2606</v>
      </c>
      <c r="F1859" s="124" t="s">
        <v>2597</v>
      </c>
      <c r="G1859" s="180" t="s">
        <v>2527</v>
      </c>
      <c r="H1859" s="180" t="s">
        <v>2607</v>
      </c>
      <c r="I1859" s="181">
        <v>90</v>
      </c>
    </row>
    <row r="1860" spans="1:9" x14ac:dyDescent="0.25">
      <c r="A1860" t="s">
        <v>180</v>
      </c>
      <c r="B1860" s="4" t="s">
        <v>2510</v>
      </c>
      <c r="C1860" s="12"/>
      <c r="D1860" s="123">
        <v>610000004219</v>
      </c>
      <c r="E1860" s="124" t="s">
        <v>2608</v>
      </c>
      <c r="F1860" s="124" t="s">
        <v>2597</v>
      </c>
      <c r="G1860" s="180" t="s">
        <v>1085</v>
      </c>
      <c r="H1860" s="180" t="s">
        <v>1110</v>
      </c>
      <c r="I1860" s="181">
        <v>90</v>
      </c>
    </row>
    <row r="1861" spans="1:9" x14ac:dyDescent="0.25">
      <c r="A1861" t="s">
        <v>180</v>
      </c>
      <c r="B1861" s="4" t="s">
        <v>2510</v>
      </c>
      <c r="C1861" s="12"/>
      <c r="D1861" s="123">
        <v>610000004219</v>
      </c>
      <c r="E1861" s="124" t="s">
        <v>2609</v>
      </c>
      <c r="F1861" s="124" t="s">
        <v>2597</v>
      </c>
      <c r="G1861" s="180" t="s">
        <v>2532</v>
      </c>
      <c r="H1861" s="180" t="s">
        <v>2610</v>
      </c>
      <c r="I1861" s="181">
        <v>90</v>
      </c>
    </row>
    <row r="1862" spans="1:9" x14ac:dyDescent="0.25">
      <c r="A1862" t="s">
        <v>180</v>
      </c>
      <c r="B1862" s="4" t="s">
        <v>2510</v>
      </c>
      <c r="C1862" s="12"/>
      <c r="D1862" s="123">
        <v>610000004219</v>
      </c>
      <c r="E1862" s="124" t="s">
        <v>2611</v>
      </c>
      <c r="F1862" s="124" t="s">
        <v>2597</v>
      </c>
      <c r="G1862" s="180" t="s">
        <v>1090</v>
      </c>
      <c r="H1862" s="180" t="s">
        <v>2612</v>
      </c>
      <c r="I1862" s="181">
        <v>90</v>
      </c>
    </row>
    <row r="1863" spans="1:9" x14ac:dyDescent="0.25">
      <c r="A1863" t="s">
        <v>180</v>
      </c>
      <c r="B1863" s="4" t="s">
        <v>2510</v>
      </c>
      <c r="C1863" s="12"/>
      <c r="D1863" s="103">
        <v>610000004219</v>
      </c>
      <c r="E1863" s="85" t="s">
        <v>2613</v>
      </c>
      <c r="F1863" s="85" t="s">
        <v>2597</v>
      </c>
      <c r="G1863" s="182" t="s">
        <v>1092</v>
      </c>
      <c r="H1863" s="182" t="s">
        <v>2614</v>
      </c>
      <c r="I1863" s="183">
        <v>90</v>
      </c>
    </row>
    <row r="1864" spans="1:9" x14ac:dyDescent="0.25">
      <c r="A1864" t="s">
        <v>180</v>
      </c>
      <c r="B1864" s="4" t="s">
        <v>2510</v>
      </c>
      <c r="C1864" s="12"/>
      <c r="D1864" s="117">
        <v>610000004220</v>
      </c>
      <c r="E1864" s="118" t="s">
        <v>2615</v>
      </c>
      <c r="F1864" s="118" t="s">
        <v>2616</v>
      </c>
      <c r="G1864" s="220" t="s">
        <v>330</v>
      </c>
      <c r="H1864" s="220" t="s">
        <v>2617</v>
      </c>
      <c r="I1864" s="221">
        <v>90</v>
      </c>
    </row>
    <row r="1865" spans="1:9" x14ac:dyDescent="0.25">
      <c r="A1865" t="s">
        <v>180</v>
      </c>
      <c r="B1865" s="4" t="s">
        <v>2510</v>
      </c>
      <c r="C1865" s="12"/>
      <c r="D1865" s="123">
        <v>610000004220</v>
      </c>
      <c r="E1865" s="124" t="s">
        <v>2618</v>
      </c>
      <c r="F1865" s="124" t="s">
        <v>2616</v>
      </c>
      <c r="G1865" s="180" t="s">
        <v>2619</v>
      </c>
      <c r="H1865" s="180" t="s">
        <v>2620</v>
      </c>
      <c r="I1865" s="181">
        <v>90</v>
      </c>
    </row>
    <row r="1866" spans="1:9" x14ac:dyDescent="0.25">
      <c r="A1866" t="s">
        <v>180</v>
      </c>
      <c r="B1866" s="4" t="s">
        <v>2510</v>
      </c>
      <c r="C1866" s="12"/>
      <c r="D1866" s="123">
        <v>610000004220</v>
      </c>
      <c r="E1866" s="124" t="s">
        <v>2621</v>
      </c>
      <c r="F1866" s="124" t="s">
        <v>2616</v>
      </c>
      <c r="G1866" s="180" t="s">
        <v>2518</v>
      </c>
      <c r="H1866" s="180" t="s">
        <v>2622</v>
      </c>
      <c r="I1866" s="181">
        <v>90</v>
      </c>
    </row>
    <row r="1867" spans="1:9" x14ac:dyDescent="0.25">
      <c r="A1867" t="s">
        <v>180</v>
      </c>
      <c r="B1867" s="4" t="s">
        <v>2510</v>
      </c>
      <c r="C1867" s="12"/>
      <c r="D1867" s="123">
        <v>610000004220</v>
      </c>
      <c r="E1867" s="124" t="s">
        <v>2623</v>
      </c>
      <c r="F1867" s="124" t="s">
        <v>2616</v>
      </c>
      <c r="G1867" s="180" t="s">
        <v>2521</v>
      </c>
      <c r="H1867" s="180" t="s">
        <v>2624</v>
      </c>
      <c r="I1867" s="181">
        <v>90</v>
      </c>
    </row>
    <row r="1868" spans="1:9" x14ac:dyDescent="0.25">
      <c r="A1868" t="s">
        <v>180</v>
      </c>
      <c r="B1868" s="4" t="s">
        <v>2510</v>
      </c>
      <c r="C1868" s="12"/>
      <c r="D1868" s="123">
        <v>610000004220</v>
      </c>
      <c r="E1868" s="124" t="s">
        <v>2625</v>
      </c>
      <c r="F1868" s="124" t="s">
        <v>2616</v>
      </c>
      <c r="G1868" s="180" t="s">
        <v>2524</v>
      </c>
      <c r="H1868" s="180" t="s">
        <v>2626</v>
      </c>
      <c r="I1868" s="181">
        <v>90</v>
      </c>
    </row>
    <row r="1869" spans="1:9" x14ac:dyDescent="0.25">
      <c r="A1869" t="s">
        <v>180</v>
      </c>
      <c r="B1869" s="4" t="s">
        <v>2510</v>
      </c>
      <c r="C1869" s="12"/>
      <c r="D1869" s="123">
        <v>610000004220</v>
      </c>
      <c r="E1869" s="124" t="s">
        <v>2627</v>
      </c>
      <c r="F1869" s="124" t="s">
        <v>2616</v>
      </c>
      <c r="G1869" s="180" t="s">
        <v>2527</v>
      </c>
      <c r="H1869" s="180" t="s">
        <v>2628</v>
      </c>
      <c r="I1869" s="181">
        <v>90</v>
      </c>
    </row>
    <row r="1870" spans="1:9" x14ac:dyDescent="0.25">
      <c r="A1870" t="s">
        <v>180</v>
      </c>
      <c r="B1870" s="4" t="s">
        <v>2510</v>
      </c>
      <c r="C1870" s="12"/>
      <c r="D1870" s="123">
        <v>610000004220</v>
      </c>
      <c r="E1870" s="124" t="s">
        <v>2629</v>
      </c>
      <c r="F1870" s="124" t="s">
        <v>2616</v>
      </c>
      <c r="G1870" s="180" t="s">
        <v>1085</v>
      </c>
      <c r="H1870" s="180" t="s">
        <v>2630</v>
      </c>
      <c r="I1870" s="181">
        <v>90</v>
      </c>
    </row>
    <row r="1871" spans="1:9" x14ac:dyDescent="0.25">
      <c r="A1871" t="s">
        <v>180</v>
      </c>
      <c r="B1871" s="4" t="s">
        <v>2510</v>
      </c>
      <c r="C1871" s="12"/>
      <c r="D1871" s="123">
        <v>610000004220</v>
      </c>
      <c r="E1871" s="124" t="s">
        <v>2631</v>
      </c>
      <c r="F1871" s="124" t="s">
        <v>2616</v>
      </c>
      <c r="G1871" s="180" t="s">
        <v>2532</v>
      </c>
      <c r="H1871" s="180" t="s">
        <v>2632</v>
      </c>
      <c r="I1871" s="181">
        <v>90</v>
      </c>
    </row>
    <row r="1872" spans="1:9" x14ac:dyDescent="0.25">
      <c r="A1872" t="s">
        <v>180</v>
      </c>
      <c r="B1872" s="4" t="s">
        <v>2510</v>
      </c>
      <c r="C1872" s="12"/>
      <c r="D1872" s="123">
        <v>610000004220</v>
      </c>
      <c r="E1872" s="124" t="s">
        <v>2633</v>
      </c>
      <c r="F1872" s="124" t="s">
        <v>2616</v>
      </c>
      <c r="G1872" s="180" t="s">
        <v>1090</v>
      </c>
      <c r="H1872" s="180" t="s">
        <v>2634</v>
      </c>
      <c r="I1872" s="181">
        <v>90</v>
      </c>
    </row>
    <row r="1873" spans="1:9" x14ac:dyDescent="0.25">
      <c r="A1873" t="s">
        <v>180</v>
      </c>
      <c r="B1873" s="4" t="s">
        <v>2510</v>
      </c>
      <c r="C1873" s="12"/>
      <c r="D1873" s="103">
        <v>610000004220</v>
      </c>
      <c r="E1873" s="85" t="s">
        <v>2635</v>
      </c>
      <c r="F1873" s="85" t="s">
        <v>2616</v>
      </c>
      <c r="G1873" s="182" t="s">
        <v>1092</v>
      </c>
      <c r="H1873" s="182" t="s">
        <v>2636</v>
      </c>
      <c r="I1873" s="183">
        <v>90</v>
      </c>
    </row>
    <row r="1874" spans="1:9" ht="15.75" thickBot="1" x14ac:dyDescent="0.3">
      <c r="A1874" t="s">
        <v>180</v>
      </c>
      <c r="B1874" s="4" t="s">
        <v>2510</v>
      </c>
      <c r="C1874" s="27"/>
      <c r="D1874" s="167">
        <v>610000004221</v>
      </c>
      <c r="E1874" s="168" t="s">
        <v>2637</v>
      </c>
      <c r="F1874" s="168" t="s">
        <v>2638</v>
      </c>
      <c r="G1874" s="215" t="s">
        <v>2518</v>
      </c>
      <c r="H1874" s="215" t="s">
        <v>2639</v>
      </c>
      <c r="I1874" s="403">
        <v>180</v>
      </c>
    </row>
    <row r="1875" spans="1:9" x14ac:dyDescent="0.25">
      <c r="A1875" t="s">
        <v>180</v>
      </c>
      <c r="B1875" s="11" t="s">
        <v>2640</v>
      </c>
      <c r="C1875" s="12"/>
      <c r="D1875" s="100">
        <v>610000004222</v>
      </c>
      <c r="E1875" s="101" t="s">
        <v>2641</v>
      </c>
      <c r="F1875" s="101" t="s">
        <v>2642</v>
      </c>
      <c r="G1875" s="178" t="s">
        <v>1161</v>
      </c>
      <c r="H1875" s="178" t="s">
        <v>1163</v>
      </c>
      <c r="I1875" s="179">
        <v>15</v>
      </c>
    </row>
    <row r="1876" spans="1:9" x14ac:dyDescent="0.25">
      <c r="A1876" t="s">
        <v>180</v>
      </c>
      <c r="B1876" s="11" t="s">
        <v>2640</v>
      </c>
      <c r="C1876" s="12"/>
      <c r="D1876" s="123">
        <v>610000004222</v>
      </c>
      <c r="E1876" s="124" t="s">
        <v>2643</v>
      </c>
      <c r="F1876" s="124" t="s">
        <v>2642</v>
      </c>
      <c r="G1876" s="180" t="s">
        <v>1164</v>
      </c>
      <c r="H1876" s="180" t="s">
        <v>1165</v>
      </c>
      <c r="I1876" s="181">
        <v>15</v>
      </c>
    </row>
    <row r="1877" spans="1:9" x14ac:dyDescent="0.25">
      <c r="A1877" t="s">
        <v>180</v>
      </c>
      <c r="B1877" s="11" t="s">
        <v>2640</v>
      </c>
      <c r="C1877" s="12"/>
      <c r="D1877" s="123">
        <v>610000004222</v>
      </c>
      <c r="E1877" s="124" t="s">
        <v>2644</v>
      </c>
      <c r="F1877" s="124" t="s">
        <v>2642</v>
      </c>
      <c r="G1877" s="180" t="s">
        <v>1175</v>
      </c>
      <c r="H1877" s="180" t="s">
        <v>2645</v>
      </c>
      <c r="I1877" s="181">
        <v>15</v>
      </c>
    </row>
    <row r="1878" spans="1:9" x14ac:dyDescent="0.25">
      <c r="A1878" t="s">
        <v>180</v>
      </c>
      <c r="B1878" s="11" t="s">
        <v>2640</v>
      </c>
      <c r="C1878" s="12"/>
      <c r="D1878" s="123">
        <v>610000004222</v>
      </c>
      <c r="E1878" s="124" t="s">
        <v>2646</v>
      </c>
      <c r="F1878" s="124" t="s">
        <v>2642</v>
      </c>
      <c r="G1878" s="180" t="s">
        <v>2647</v>
      </c>
      <c r="H1878" s="180" t="s">
        <v>2648</v>
      </c>
      <c r="I1878" s="181">
        <v>15</v>
      </c>
    </row>
    <row r="1879" spans="1:9" x14ac:dyDescent="0.25">
      <c r="A1879" t="s">
        <v>180</v>
      </c>
      <c r="B1879" s="11" t="s">
        <v>2640</v>
      </c>
      <c r="C1879" s="12"/>
      <c r="D1879" s="123">
        <v>610000004222</v>
      </c>
      <c r="E1879" s="124" t="s">
        <v>2650</v>
      </c>
      <c r="F1879" s="124" t="s">
        <v>2642</v>
      </c>
      <c r="G1879" s="180" t="s">
        <v>2649</v>
      </c>
      <c r="H1879" s="180" t="s">
        <v>2651</v>
      </c>
      <c r="I1879" s="181">
        <v>15</v>
      </c>
    </row>
    <row r="1880" spans="1:9" x14ac:dyDescent="0.25">
      <c r="A1880" t="s">
        <v>180</v>
      </c>
      <c r="B1880" s="11" t="s">
        <v>2640</v>
      </c>
      <c r="C1880" s="12"/>
      <c r="D1880" s="103">
        <v>610000004222</v>
      </c>
      <c r="E1880" s="85" t="s">
        <v>2652</v>
      </c>
      <c r="F1880" s="85" t="s">
        <v>2642</v>
      </c>
      <c r="G1880" s="182" t="s">
        <v>1167</v>
      </c>
      <c r="H1880" s="182" t="s">
        <v>1168</v>
      </c>
      <c r="I1880" s="183">
        <v>15</v>
      </c>
    </row>
    <row r="1881" spans="1:9" x14ac:dyDescent="0.25">
      <c r="A1881" t="s">
        <v>180</v>
      </c>
      <c r="B1881" s="11" t="s">
        <v>2640</v>
      </c>
      <c r="C1881" s="12"/>
      <c r="D1881" s="100">
        <v>610000004223</v>
      </c>
      <c r="E1881" s="101" t="s">
        <v>2653</v>
      </c>
      <c r="F1881" s="101" t="s">
        <v>2654</v>
      </c>
      <c r="G1881" s="178" t="s">
        <v>1161</v>
      </c>
      <c r="H1881" s="178" t="s">
        <v>1181</v>
      </c>
      <c r="I1881" s="179">
        <v>60</v>
      </c>
    </row>
    <row r="1882" spans="1:9" x14ac:dyDescent="0.25">
      <c r="A1882" t="s">
        <v>180</v>
      </c>
      <c r="B1882" s="11" t="s">
        <v>2640</v>
      </c>
      <c r="C1882" s="12"/>
      <c r="D1882" s="123">
        <v>610000004223</v>
      </c>
      <c r="E1882" s="124" t="s">
        <v>2655</v>
      </c>
      <c r="F1882" s="124" t="s">
        <v>2654</v>
      </c>
      <c r="G1882" s="180" t="s">
        <v>1164</v>
      </c>
      <c r="H1882" s="180" t="s">
        <v>1182</v>
      </c>
      <c r="I1882" s="181">
        <v>60</v>
      </c>
    </row>
    <row r="1883" spans="1:9" x14ac:dyDescent="0.25">
      <c r="A1883" t="s">
        <v>180</v>
      </c>
      <c r="B1883" s="11" t="s">
        <v>2640</v>
      </c>
      <c r="C1883" s="12"/>
      <c r="D1883" s="123">
        <v>610000004223</v>
      </c>
      <c r="E1883" s="124" t="s">
        <v>2656</v>
      </c>
      <c r="F1883" s="124" t="s">
        <v>2654</v>
      </c>
      <c r="G1883" s="180" t="s">
        <v>1175</v>
      </c>
      <c r="H1883" s="180" t="s">
        <v>1176</v>
      </c>
      <c r="I1883" s="181">
        <v>60</v>
      </c>
    </row>
    <row r="1884" spans="1:9" x14ac:dyDescent="0.25">
      <c r="A1884" t="s">
        <v>180</v>
      </c>
      <c r="B1884" s="11" t="s">
        <v>2640</v>
      </c>
      <c r="C1884" s="12"/>
      <c r="D1884" s="123">
        <v>610000004223</v>
      </c>
      <c r="E1884" s="124" t="s">
        <v>2657</v>
      </c>
      <c r="F1884" s="124" t="s">
        <v>2654</v>
      </c>
      <c r="G1884" s="180" t="s">
        <v>2647</v>
      </c>
      <c r="H1884" s="180" t="s">
        <v>2658</v>
      </c>
      <c r="I1884" s="181">
        <v>60</v>
      </c>
    </row>
    <row r="1885" spans="1:9" x14ac:dyDescent="0.25">
      <c r="A1885" t="s">
        <v>180</v>
      </c>
      <c r="B1885" s="11" t="s">
        <v>2640</v>
      </c>
      <c r="C1885" s="12"/>
      <c r="D1885" s="123">
        <v>610000004223</v>
      </c>
      <c r="E1885" s="124" t="s">
        <v>2659</v>
      </c>
      <c r="F1885" s="124" t="s">
        <v>2654</v>
      </c>
      <c r="G1885" s="180" t="s">
        <v>2649</v>
      </c>
      <c r="H1885" s="180" t="s">
        <v>2660</v>
      </c>
      <c r="I1885" s="181">
        <v>60</v>
      </c>
    </row>
    <row r="1886" spans="1:9" x14ac:dyDescent="0.25">
      <c r="A1886" t="s">
        <v>180</v>
      </c>
      <c r="B1886" s="11" t="s">
        <v>2640</v>
      </c>
      <c r="C1886" s="12"/>
      <c r="D1886" s="103">
        <v>610000004223</v>
      </c>
      <c r="E1886" s="85" t="s">
        <v>2661</v>
      </c>
      <c r="F1886" s="85" t="s">
        <v>2654</v>
      </c>
      <c r="G1886" s="182" t="s">
        <v>1167</v>
      </c>
      <c r="H1886" s="182" t="s">
        <v>1180</v>
      </c>
      <c r="I1886" s="183">
        <v>60</v>
      </c>
    </row>
    <row r="1887" spans="1:9" x14ac:dyDescent="0.25">
      <c r="A1887" t="s">
        <v>180</v>
      </c>
      <c r="B1887" s="11" t="s">
        <v>2640</v>
      </c>
      <c r="C1887" s="12"/>
      <c r="D1887" s="100">
        <v>610000004224</v>
      </c>
      <c r="E1887" s="101" t="s">
        <v>2662</v>
      </c>
      <c r="F1887" s="101" t="s">
        <v>2663</v>
      </c>
      <c r="G1887" s="178" t="s">
        <v>1167</v>
      </c>
      <c r="H1887" s="178" t="s">
        <v>2664</v>
      </c>
      <c r="I1887" s="179">
        <v>60</v>
      </c>
    </row>
    <row r="1888" spans="1:9" x14ac:dyDescent="0.25">
      <c r="A1888" t="s">
        <v>180</v>
      </c>
      <c r="B1888" s="11" t="s">
        <v>2640</v>
      </c>
      <c r="C1888" s="12"/>
      <c r="D1888" s="123">
        <v>610000004224</v>
      </c>
      <c r="E1888" s="124" t="s">
        <v>2665</v>
      </c>
      <c r="F1888" s="124" t="s">
        <v>2663</v>
      </c>
      <c r="G1888" s="180" t="s">
        <v>1161</v>
      </c>
      <c r="H1888" s="180" t="s">
        <v>1183</v>
      </c>
      <c r="I1888" s="181">
        <v>60</v>
      </c>
    </row>
    <row r="1889" spans="1:9" x14ac:dyDescent="0.25">
      <c r="A1889" t="s">
        <v>180</v>
      </c>
      <c r="B1889" s="11" t="s">
        <v>2640</v>
      </c>
      <c r="C1889" s="12"/>
      <c r="D1889" s="123">
        <v>610000004224</v>
      </c>
      <c r="E1889" s="124" t="s">
        <v>2666</v>
      </c>
      <c r="F1889" s="124" t="s">
        <v>2663</v>
      </c>
      <c r="G1889" s="180" t="s">
        <v>1164</v>
      </c>
      <c r="H1889" s="180" t="s">
        <v>1184</v>
      </c>
      <c r="I1889" s="181">
        <v>60</v>
      </c>
    </row>
    <row r="1890" spans="1:9" x14ac:dyDescent="0.25">
      <c r="A1890" t="s">
        <v>180</v>
      </c>
      <c r="B1890" s="11" t="s">
        <v>2640</v>
      </c>
      <c r="C1890" s="12"/>
      <c r="D1890" s="123">
        <v>610000004224</v>
      </c>
      <c r="E1890" s="124" t="s">
        <v>2667</v>
      </c>
      <c r="F1890" s="124" t="s">
        <v>2663</v>
      </c>
      <c r="G1890" s="180" t="s">
        <v>1175</v>
      </c>
      <c r="H1890" s="180" t="s">
        <v>1191</v>
      </c>
      <c r="I1890" s="181">
        <v>60</v>
      </c>
    </row>
    <row r="1891" spans="1:9" x14ac:dyDescent="0.25">
      <c r="A1891" t="s">
        <v>180</v>
      </c>
      <c r="B1891" s="11" t="s">
        <v>2640</v>
      </c>
      <c r="C1891" s="12"/>
      <c r="D1891" s="123">
        <v>610000004224</v>
      </c>
      <c r="E1891" s="124" t="s">
        <v>2668</v>
      </c>
      <c r="F1891" s="124" t="s">
        <v>2663</v>
      </c>
      <c r="G1891" s="180" t="s">
        <v>2647</v>
      </c>
      <c r="H1891" s="180" t="s">
        <v>2669</v>
      </c>
      <c r="I1891" s="181">
        <v>60</v>
      </c>
    </row>
    <row r="1892" spans="1:9" x14ac:dyDescent="0.25">
      <c r="A1892" t="s">
        <v>180</v>
      </c>
      <c r="B1892" s="11" t="s">
        <v>2640</v>
      </c>
      <c r="C1892" s="12"/>
      <c r="D1892" s="123">
        <v>610000004224</v>
      </c>
      <c r="E1892" s="124" t="s">
        <v>2670</v>
      </c>
      <c r="F1892" s="124" t="s">
        <v>2663</v>
      </c>
      <c r="G1892" s="180" t="s">
        <v>2649</v>
      </c>
      <c r="H1892" s="180" t="s">
        <v>2671</v>
      </c>
      <c r="I1892" s="181">
        <v>60</v>
      </c>
    </row>
    <row r="1893" spans="1:9" x14ac:dyDescent="0.25">
      <c r="A1893" t="s">
        <v>180</v>
      </c>
      <c r="B1893" s="11" t="s">
        <v>2640</v>
      </c>
      <c r="C1893" s="12"/>
      <c r="D1893" s="103">
        <v>610000004224</v>
      </c>
      <c r="E1893" s="85" t="s">
        <v>2672</v>
      </c>
      <c r="F1893" s="85" t="s">
        <v>2663</v>
      </c>
      <c r="G1893" s="182" t="s">
        <v>1167</v>
      </c>
      <c r="H1893" s="182" t="s">
        <v>1193</v>
      </c>
      <c r="I1893" s="183">
        <v>60</v>
      </c>
    </row>
    <row r="1894" spans="1:9" x14ac:dyDescent="0.25">
      <c r="A1894" t="s">
        <v>180</v>
      </c>
      <c r="B1894" s="11" t="s">
        <v>2640</v>
      </c>
      <c r="C1894" s="12"/>
      <c r="D1894" s="17">
        <v>610000004225</v>
      </c>
      <c r="E1894" s="18" t="s">
        <v>2673</v>
      </c>
      <c r="F1894" s="18" t="s">
        <v>2674</v>
      </c>
      <c r="G1894" s="19" t="s">
        <v>1161</v>
      </c>
      <c r="H1894" s="19" t="s">
        <v>2675</v>
      </c>
      <c r="I1894" s="18">
        <v>60</v>
      </c>
    </row>
    <row r="1895" spans="1:9" x14ac:dyDescent="0.25">
      <c r="A1895" t="s">
        <v>180</v>
      </c>
      <c r="B1895" s="11" t="s">
        <v>2640</v>
      </c>
      <c r="C1895" s="12"/>
      <c r="D1895" s="17">
        <v>610000004225</v>
      </c>
      <c r="E1895" s="18" t="s">
        <v>2676</v>
      </c>
      <c r="F1895" s="18" t="s">
        <v>2674</v>
      </c>
      <c r="G1895" s="19" t="s">
        <v>1164</v>
      </c>
      <c r="H1895" s="19" t="s">
        <v>2677</v>
      </c>
      <c r="I1895" s="18">
        <v>60</v>
      </c>
    </row>
    <row r="1896" spans="1:9" x14ac:dyDescent="0.25">
      <c r="A1896" t="s">
        <v>180</v>
      </c>
      <c r="B1896" s="11" t="s">
        <v>2640</v>
      </c>
      <c r="C1896" s="12"/>
      <c r="D1896" s="17">
        <v>610000004225</v>
      </c>
      <c r="E1896" s="18" t="s">
        <v>2678</v>
      </c>
      <c r="F1896" s="18" t="s">
        <v>2674</v>
      </c>
      <c r="G1896" s="19" t="s">
        <v>1175</v>
      </c>
      <c r="H1896" s="19" t="s">
        <v>2679</v>
      </c>
      <c r="I1896" s="18">
        <v>60</v>
      </c>
    </row>
    <row r="1897" spans="1:9" x14ac:dyDescent="0.25">
      <c r="A1897" t="s">
        <v>180</v>
      </c>
      <c r="B1897" s="11" t="s">
        <v>2640</v>
      </c>
      <c r="C1897" s="12"/>
      <c r="D1897" s="17">
        <v>610000004225</v>
      </c>
      <c r="E1897" s="18" t="s">
        <v>2680</v>
      </c>
      <c r="F1897" s="18" t="s">
        <v>2674</v>
      </c>
      <c r="G1897" s="19" t="s">
        <v>2647</v>
      </c>
      <c r="H1897" s="19" t="s">
        <v>2681</v>
      </c>
      <c r="I1897" s="18">
        <v>60</v>
      </c>
    </row>
    <row r="1898" spans="1:9" x14ac:dyDescent="0.25">
      <c r="A1898" t="s">
        <v>180</v>
      </c>
      <c r="B1898" s="11" t="s">
        <v>2640</v>
      </c>
      <c r="C1898" s="12"/>
      <c r="D1898" s="17">
        <v>610000004225</v>
      </c>
      <c r="E1898" s="18" t="s">
        <v>2682</v>
      </c>
      <c r="F1898" s="18" t="s">
        <v>2674</v>
      </c>
      <c r="G1898" s="19" t="s">
        <v>2649</v>
      </c>
      <c r="H1898" s="19" t="s">
        <v>2683</v>
      </c>
      <c r="I1898" s="18">
        <v>60</v>
      </c>
    </row>
    <row r="1899" spans="1:9" x14ac:dyDescent="0.25">
      <c r="A1899" t="s">
        <v>180</v>
      </c>
      <c r="B1899" s="11" t="s">
        <v>2640</v>
      </c>
      <c r="C1899" s="12"/>
      <c r="D1899" s="22">
        <v>610000004225</v>
      </c>
      <c r="E1899" s="23" t="s">
        <v>2684</v>
      </c>
      <c r="F1899" s="23" t="s">
        <v>2674</v>
      </c>
      <c r="G1899" s="24" t="s">
        <v>1167</v>
      </c>
      <c r="H1899" s="24" t="s">
        <v>2685</v>
      </c>
      <c r="I1899" s="23">
        <v>60</v>
      </c>
    </row>
    <row r="1900" spans="1:9" x14ac:dyDescent="0.25">
      <c r="A1900" t="s">
        <v>180</v>
      </c>
      <c r="B1900" s="11" t="s">
        <v>2640</v>
      </c>
      <c r="C1900" s="12"/>
      <c r="D1900" s="100">
        <v>610000004226</v>
      </c>
      <c r="E1900" s="101" t="s">
        <v>2686</v>
      </c>
      <c r="F1900" s="101" t="s">
        <v>2687</v>
      </c>
      <c r="G1900" s="178" t="s">
        <v>1161</v>
      </c>
      <c r="H1900" s="178" t="s">
        <v>1195</v>
      </c>
      <c r="I1900" s="179">
        <v>90</v>
      </c>
    </row>
    <row r="1901" spans="1:9" x14ac:dyDescent="0.25">
      <c r="A1901" t="s">
        <v>180</v>
      </c>
      <c r="B1901" s="11" t="s">
        <v>2640</v>
      </c>
      <c r="C1901" s="12"/>
      <c r="D1901" s="123">
        <v>610000004226</v>
      </c>
      <c r="E1901" s="124" t="s">
        <v>2688</v>
      </c>
      <c r="F1901" s="124" t="s">
        <v>2687</v>
      </c>
      <c r="G1901" s="180" t="s">
        <v>1164</v>
      </c>
      <c r="H1901" s="180" t="s">
        <v>1196</v>
      </c>
      <c r="I1901" s="181">
        <v>90</v>
      </c>
    </row>
    <row r="1902" spans="1:9" x14ac:dyDescent="0.25">
      <c r="A1902" t="s">
        <v>180</v>
      </c>
      <c r="B1902" s="11" t="s">
        <v>2640</v>
      </c>
      <c r="C1902" s="12"/>
      <c r="D1902" s="123">
        <v>610000004226</v>
      </c>
      <c r="E1902" s="124" t="s">
        <v>2689</v>
      </c>
      <c r="F1902" s="124" t="s">
        <v>2687</v>
      </c>
      <c r="G1902" s="180" t="s">
        <v>1175</v>
      </c>
      <c r="H1902" s="180" t="s">
        <v>1202</v>
      </c>
      <c r="I1902" s="181">
        <v>90</v>
      </c>
    </row>
    <row r="1903" spans="1:9" x14ac:dyDescent="0.25">
      <c r="A1903" t="s">
        <v>180</v>
      </c>
      <c r="B1903" s="11" t="s">
        <v>2640</v>
      </c>
      <c r="C1903" s="12"/>
      <c r="D1903" s="123">
        <v>610000004226</v>
      </c>
      <c r="E1903" s="124" t="s">
        <v>2690</v>
      </c>
      <c r="F1903" s="124" t="s">
        <v>2687</v>
      </c>
      <c r="G1903" s="180" t="s">
        <v>2647</v>
      </c>
      <c r="H1903" s="180" t="s">
        <v>2691</v>
      </c>
      <c r="I1903" s="181">
        <v>90</v>
      </c>
    </row>
    <row r="1904" spans="1:9" x14ac:dyDescent="0.25">
      <c r="A1904" t="s">
        <v>180</v>
      </c>
      <c r="B1904" s="11" t="s">
        <v>2640</v>
      </c>
      <c r="C1904" s="12"/>
      <c r="D1904" s="123">
        <v>610000004226</v>
      </c>
      <c r="E1904" s="124" t="s">
        <v>2692</v>
      </c>
      <c r="F1904" s="124" t="s">
        <v>2687</v>
      </c>
      <c r="G1904" s="180" t="s">
        <v>2649</v>
      </c>
      <c r="H1904" s="180" t="s">
        <v>2693</v>
      </c>
      <c r="I1904" s="181">
        <v>90</v>
      </c>
    </row>
    <row r="1905" spans="1:9" x14ac:dyDescent="0.25">
      <c r="A1905" t="s">
        <v>180</v>
      </c>
      <c r="B1905" s="11" t="s">
        <v>2640</v>
      </c>
      <c r="C1905" s="12"/>
      <c r="D1905" s="103">
        <v>610000004226</v>
      </c>
      <c r="E1905" s="85" t="s">
        <v>2694</v>
      </c>
      <c r="F1905" s="85" t="s">
        <v>2687</v>
      </c>
      <c r="G1905" s="182" t="s">
        <v>1167</v>
      </c>
      <c r="H1905" s="182" t="s">
        <v>1204</v>
      </c>
      <c r="I1905" s="183">
        <v>90</v>
      </c>
    </row>
    <row r="1906" spans="1:9" x14ac:dyDescent="0.25">
      <c r="A1906" t="s">
        <v>180</v>
      </c>
      <c r="B1906" s="11" t="s">
        <v>2640</v>
      </c>
      <c r="C1906" s="12"/>
      <c r="D1906" s="100">
        <v>610000004227</v>
      </c>
      <c r="E1906" s="101" t="s">
        <v>2695</v>
      </c>
      <c r="F1906" s="101" t="s">
        <v>2696</v>
      </c>
      <c r="G1906" s="178" t="s">
        <v>1161</v>
      </c>
      <c r="H1906" s="178" t="s">
        <v>2697</v>
      </c>
      <c r="I1906" s="179">
        <v>90</v>
      </c>
    </row>
    <row r="1907" spans="1:9" x14ac:dyDescent="0.25">
      <c r="A1907" t="s">
        <v>180</v>
      </c>
      <c r="B1907" s="11" t="s">
        <v>2640</v>
      </c>
      <c r="C1907" s="12"/>
      <c r="D1907" s="123">
        <v>610000004227</v>
      </c>
      <c r="E1907" s="124" t="s">
        <v>2698</v>
      </c>
      <c r="F1907" s="124" t="s">
        <v>2696</v>
      </c>
      <c r="G1907" s="180" t="s">
        <v>1164</v>
      </c>
      <c r="H1907" s="180" t="s">
        <v>2699</v>
      </c>
      <c r="I1907" s="181">
        <v>90</v>
      </c>
    </row>
    <row r="1908" spans="1:9" x14ac:dyDescent="0.25">
      <c r="A1908" t="s">
        <v>180</v>
      </c>
      <c r="B1908" s="11" t="s">
        <v>2640</v>
      </c>
      <c r="C1908" s="12"/>
      <c r="D1908" s="123">
        <v>610000004227</v>
      </c>
      <c r="E1908" s="124" t="s">
        <v>2700</v>
      </c>
      <c r="F1908" s="124" t="s">
        <v>2696</v>
      </c>
      <c r="G1908" s="180" t="s">
        <v>1175</v>
      </c>
      <c r="H1908" s="180" t="s">
        <v>2701</v>
      </c>
      <c r="I1908" s="181">
        <v>90</v>
      </c>
    </row>
    <row r="1909" spans="1:9" x14ac:dyDescent="0.25">
      <c r="A1909" t="s">
        <v>180</v>
      </c>
      <c r="B1909" s="11" t="s">
        <v>2640</v>
      </c>
      <c r="C1909" s="12"/>
      <c r="D1909" s="123">
        <v>610000004227</v>
      </c>
      <c r="E1909" s="124" t="s">
        <v>2702</v>
      </c>
      <c r="F1909" s="124" t="s">
        <v>2696</v>
      </c>
      <c r="G1909" s="180" t="s">
        <v>2647</v>
      </c>
      <c r="H1909" s="180" t="s">
        <v>2703</v>
      </c>
      <c r="I1909" s="181">
        <v>90</v>
      </c>
    </row>
    <row r="1910" spans="1:9" x14ac:dyDescent="0.25">
      <c r="A1910" t="s">
        <v>180</v>
      </c>
      <c r="B1910" s="11" t="s">
        <v>2640</v>
      </c>
      <c r="C1910" s="12"/>
      <c r="D1910" s="123">
        <v>610000004227</v>
      </c>
      <c r="E1910" s="124" t="s">
        <v>2704</v>
      </c>
      <c r="F1910" s="124" t="s">
        <v>2696</v>
      </c>
      <c r="G1910" s="180" t="s">
        <v>1161</v>
      </c>
      <c r="H1910" s="180" t="s">
        <v>2705</v>
      </c>
      <c r="I1910" s="181">
        <v>90</v>
      </c>
    </row>
    <row r="1911" spans="1:9" x14ac:dyDescent="0.25">
      <c r="A1911" t="s">
        <v>180</v>
      </c>
      <c r="B1911" s="11" t="s">
        <v>2640</v>
      </c>
      <c r="C1911" s="12"/>
      <c r="D1911" s="123">
        <v>610000004227</v>
      </c>
      <c r="E1911" s="124" t="s">
        <v>2706</v>
      </c>
      <c r="F1911" s="124" t="s">
        <v>2696</v>
      </c>
      <c r="G1911" s="180" t="s">
        <v>1164</v>
      </c>
      <c r="H1911" s="180" t="s">
        <v>2707</v>
      </c>
      <c r="I1911" s="181">
        <v>90</v>
      </c>
    </row>
    <row r="1912" spans="1:9" x14ac:dyDescent="0.25">
      <c r="A1912" t="s">
        <v>180</v>
      </c>
      <c r="B1912" s="11" t="s">
        <v>2640</v>
      </c>
      <c r="C1912" s="12"/>
      <c r="D1912" s="123">
        <v>610000004227</v>
      </c>
      <c r="E1912" s="124" t="s">
        <v>2708</v>
      </c>
      <c r="F1912" s="124" t="s">
        <v>2696</v>
      </c>
      <c r="G1912" s="180" t="s">
        <v>1175</v>
      </c>
      <c r="H1912" s="180" t="s">
        <v>2709</v>
      </c>
      <c r="I1912" s="181">
        <v>90</v>
      </c>
    </row>
    <row r="1913" spans="1:9" x14ac:dyDescent="0.25">
      <c r="A1913" t="s">
        <v>180</v>
      </c>
      <c r="B1913" s="11" t="s">
        <v>2640</v>
      </c>
      <c r="C1913" s="12"/>
      <c r="D1913" s="123">
        <v>610000004227</v>
      </c>
      <c r="E1913" s="124" t="s">
        <v>2710</v>
      </c>
      <c r="F1913" s="124" t="s">
        <v>2696</v>
      </c>
      <c r="G1913" s="180" t="s">
        <v>2647</v>
      </c>
      <c r="H1913" s="180" t="s">
        <v>2711</v>
      </c>
      <c r="I1913" s="181">
        <v>90</v>
      </c>
    </row>
    <row r="1914" spans="1:9" x14ac:dyDescent="0.25">
      <c r="A1914" t="s">
        <v>180</v>
      </c>
      <c r="B1914" s="11" t="s">
        <v>2640</v>
      </c>
      <c r="C1914" s="12"/>
      <c r="D1914" s="123">
        <v>610000004227</v>
      </c>
      <c r="E1914" s="124" t="s">
        <v>2712</v>
      </c>
      <c r="F1914" s="124" t="s">
        <v>2696</v>
      </c>
      <c r="G1914" s="180" t="s">
        <v>2649</v>
      </c>
      <c r="H1914" s="180" t="s">
        <v>2713</v>
      </c>
      <c r="I1914" s="181">
        <v>90</v>
      </c>
    </row>
    <row r="1915" spans="1:9" x14ac:dyDescent="0.25">
      <c r="A1915" t="s">
        <v>180</v>
      </c>
      <c r="B1915" s="11" t="s">
        <v>2640</v>
      </c>
      <c r="C1915" s="12"/>
      <c r="D1915" s="123">
        <v>610000004227</v>
      </c>
      <c r="E1915" s="124" t="s">
        <v>2714</v>
      </c>
      <c r="F1915" s="124" t="s">
        <v>2696</v>
      </c>
      <c r="G1915" s="180" t="s">
        <v>1167</v>
      </c>
      <c r="H1915" s="180" t="s">
        <v>2715</v>
      </c>
      <c r="I1915" s="181">
        <v>90</v>
      </c>
    </row>
    <row r="1916" spans="1:9" x14ac:dyDescent="0.25">
      <c r="A1916" t="s">
        <v>180</v>
      </c>
      <c r="B1916" s="11" t="s">
        <v>2640</v>
      </c>
      <c r="C1916" s="12"/>
      <c r="D1916" s="123">
        <v>610000004227</v>
      </c>
      <c r="E1916" s="124" t="s">
        <v>2716</v>
      </c>
      <c r="F1916" s="124" t="s">
        <v>2696</v>
      </c>
      <c r="G1916" s="180" t="s">
        <v>1161</v>
      </c>
      <c r="H1916" s="180" t="s">
        <v>2717</v>
      </c>
      <c r="I1916" s="181">
        <v>90</v>
      </c>
    </row>
    <row r="1917" spans="1:9" x14ac:dyDescent="0.25">
      <c r="A1917" t="s">
        <v>180</v>
      </c>
      <c r="B1917" s="11" t="s">
        <v>2640</v>
      </c>
      <c r="C1917" s="12"/>
      <c r="D1917" s="123">
        <v>610000004227</v>
      </c>
      <c r="E1917" s="124" t="s">
        <v>2718</v>
      </c>
      <c r="F1917" s="124" t="s">
        <v>2696</v>
      </c>
      <c r="G1917" s="180" t="s">
        <v>1164</v>
      </c>
      <c r="H1917" s="180" t="s">
        <v>2719</v>
      </c>
      <c r="I1917" s="181">
        <v>90</v>
      </c>
    </row>
    <row r="1918" spans="1:9" x14ac:dyDescent="0.25">
      <c r="A1918" t="s">
        <v>180</v>
      </c>
      <c r="B1918" s="11" t="s">
        <v>2640</v>
      </c>
      <c r="C1918" s="12"/>
      <c r="D1918" s="123">
        <v>610000004227</v>
      </c>
      <c r="E1918" s="124" t="s">
        <v>2720</v>
      </c>
      <c r="F1918" s="124" t="s">
        <v>2696</v>
      </c>
      <c r="G1918" s="180" t="s">
        <v>1175</v>
      </c>
      <c r="H1918" s="180" t="s">
        <v>2721</v>
      </c>
      <c r="I1918" s="181">
        <v>90</v>
      </c>
    </row>
    <row r="1919" spans="1:9" x14ac:dyDescent="0.25">
      <c r="A1919" t="s">
        <v>180</v>
      </c>
      <c r="B1919" s="11" t="s">
        <v>2640</v>
      </c>
      <c r="C1919" s="12"/>
      <c r="D1919" s="123">
        <v>610000004227</v>
      </c>
      <c r="E1919" s="124" t="s">
        <v>2722</v>
      </c>
      <c r="F1919" s="124" t="s">
        <v>2696</v>
      </c>
      <c r="G1919" s="180" t="s">
        <v>2647</v>
      </c>
      <c r="H1919" s="180" t="s">
        <v>2723</v>
      </c>
      <c r="I1919" s="181">
        <v>90</v>
      </c>
    </row>
    <row r="1920" spans="1:9" x14ac:dyDescent="0.25">
      <c r="A1920" t="s">
        <v>180</v>
      </c>
      <c r="B1920" s="11" t="s">
        <v>2640</v>
      </c>
      <c r="C1920" s="12"/>
      <c r="D1920" s="123">
        <v>610000004227</v>
      </c>
      <c r="E1920" s="124" t="s">
        <v>2724</v>
      </c>
      <c r="F1920" s="124" t="s">
        <v>2696</v>
      </c>
      <c r="G1920" s="180" t="s">
        <v>2649</v>
      </c>
      <c r="H1920" s="180" t="s">
        <v>2725</v>
      </c>
      <c r="I1920" s="181">
        <v>90</v>
      </c>
    </row>
    <row r="1921" spans="1:9" ht="15.75" thickBot="1" x14ac:dyDescent="0.3">
      <c r="A1921" t="s">
        <v>180</v>
      </c>
      <c r="B1921" s="11" t="s">
        <v>2640</v>
      </c>
      <c r="C1921" s="27"/>
      <c r="D1921" s="140">
        <v>610000004227</v>
      </c>
      <c r="E1921" s="141" t="s">
        <v>2726</v>
      </c>
      <c r="F1921" s="141" t="s">
        <v>2696</v>
      </c>
      <c r="G1921" s="233" t="s">
        <v>1167</v>
      </c>
      <c r="H1921" s="233" t="s">
        <v>2727</v>
      </c>
      <c r="I1921" s="234">
        <v>90</v>
      </c>
    </row>
    <row r="1922" spans="1:9" x14ac:dyDescent="0.25">
      <c r="A1922" t="s">
        <v>180</v>
      </c>
      <c r="B1922" s="11" t="s">
        <v>2728</v>
      </c>
      <c r="C1922" s="12"/>
      <c r="D1922" s="173">
        <v>610000004228</v>
      </c>
      <c r="E1922" s="174" t="s">
        <v>2729</v>
      </c>
      <c r="F1922" s="174" t="s">
        <v>2730</v>
      </c>
      <c r="G1922" s="404" t="s">
        <v>422</v>
      </c>
      <c r="H1922" s="404" t="s">
        <v>274</v>
      </c>
      <c r="I1922" s="405">
        <v>15</v>
      </c>
    </row>
    <row r="1923" spans="1:9" x14ac:dyDescent="0.25">
      <c r="A1923" t="s">
        <v>180</v>
      </c>
      <c r="B1923" s="11" t="s">
        <v>2728</v>
      </c>
      <c r="C1923" s="12"/>
      <c r="D1923" s="100">
        <v>610000004229</v>
      </c>
      <c r="E1923" s="101" t="s">
        <v>2732</v>
      </c>
      <c r="F1923" s="101" t="s">
        <v>2733</v>
      </c>
      <c r="G1923" s="178" t="s">
        <v>414</v>
      </c>
      <c r="H1923" s="178" t="s">
        <v>2734</v>
      </c>
      <c r="I1923" s="179">
        <v>15</v>
      </c>
    </row>
    <row r="1924" spans="1:9" x14ac:dyDescent="0.25">
      <c r="A1924" t="s">
        <v>180</v>
      </c>
      <c r="B1924" s="11" t="s">
        <v>2728</v>
      </c>
      <c r="C1924" s="12"/>
      <c r="D1924" s="123">
        <v>610000004229</v>
      </c>
      <c r="E1924" s="124" t="s">
        <v>2735</v>
      </c>
      <c r="F1924" s="124" t="s">
        <v>2733</v>
      </c>
      <c r="G1924" s="180" t="s">
        <v>2731</v>
      </c>
      <c r="H1924" s="180" t="s">
        <v>2736</v>
      </c>
      <c r="I1924" s="181">
        <v>15</v>
      </c>
    </row>
    <row r="1925" spans="1:9" x14ac:dyDescent="0.25">
      <c r="A1925" t="s">
        <v>180</v>
      </c>
      <c r="B1925" s="11" t="s">
        <v>2728</v>
      </c>
      <c r="C1925" s="12"/>
      <c r="D1925" s="123">
        <v>610000004229</v>
      </c>
      <c r="E1925" s="124" t="s">
        <v>2737</v>
      </c>
      <c r="F1925" s="124" t="s">
        <v>2733</v>
      </c>
      <c r="G1925" s="180" t="s">
        <v>419</v>
      </c>
      <c r="H1925" s="180" t="s">
        <v>420</v>
      </c>
      <c r="I1925" s="181">
        <v>15</v>
      </c>
    </row>
    <row r="1926" spans="1:9" x14ac:dyDescent="0.25">
      <c r="A1926" t="s">
        <v>180</v>
      </c>
      <c r="B1926" s="11" t="s">
        <v>2728</v>
      </c>
      <c r="C1926" s="12"/>
      <c r="D1926" s="123">
        <v>610000004229</v>
      </c>
      <c r="E1926" s="124" t="s">
        <v>2738</v>
      </c>
      <c r="F1926" s="124" t="s">
        <v>2733</v>
      </c>
      <c r="G1926" s="180" t="s">
        <v>426</v>
      </c>
      <c r="H1926" s="180" t="s">
        <v>2739</v>
      </c>
      <c r="I1926" s="181">
        <v>15</v>
      </c>
    </row>
    <row r="1927" spans="1:9" x14ac:dyDescent="0.25">
      <c r="A1927" t="s">
        <v>180</v>
      </c>
      <c r="B1927" s="11" t="s">
        <v>2728</v>
      </c>
      <c r="C1927" s="12"/>
      <c r="D1927" s="123">
        <v>610000004229</v>
      </c>
      <c r="E1927" s="124" t="s">
        <v>2740</v>
      </c>
      <c r="F1927" s="124" t="s">
        <v>2733</v>
      </c>
      <c r="G1927" s="180" t="s">
        <v>2741</v>
      </c>
      <c r="H1927" s="180" t="s">
        <v>2742</v>
      </c>
      <c r="I1927" s="181">
        <v>15</v>
      </c>
    </row>
    <row r="1928" spans="1:9" x14ac:dyDescent="0.25">
      <c r="A1928" t="s">
        <v>180</v>
      </c>
      <c r="B1928" s="11" t="s">
        <v>2728</v>
      </c>
      <c r="C1928" s="12"/>
      <c r="D1928" s="123">
        <v>610000004229</v>
      </c>
      <c r="E1928" s="124" t="s">
        <v>2743</v>
      </c>
      <c r="F1928" s="124" t="s">
        <v>2733</v>
      </c>
      <c r="G1928" s="180" t="s">
        <v>417</v>
      </c>
      <c r="H1928" s="180" t="s">
        <v>2744</v>
      </c>
      <c r="I1928" s="181">
        <v>15</v>
      </c>
    </row>
    <row r="1929" spans="1:9" x14ac:dyDescent="0.25">
      <c r="A1929" t="s">
        <v>180</v>
      </c>
      <c r="B1929" s="11" t="s">
        <v>2728</v>
      </c>
      <c r="C1929" s="12"/>
      <c r="D1929" s="103">
        <v>610000004229</v>
      </c>
      <c r="E1929" s="85" t="s">
        <v>2745</v>
      </c>
      <c r="F1929" s="85" t="s">
        <v>2733</v>
      </c>
      <c r="G1929" s="182" t="s">
        <v>422</v>
      </c>
      <c r="H1929" s="182" t="s">
        <v>2746</v>
      </c>
      <c r="I1929" s="183">
        <v>15</v>
      </c>
    </row>
    <row r="1930" spans="1:9" x14ac:dyDescent="0.25">
      <c r="A1930" t="s">
        <v>180</v>
      </c>
      <c r="B1930" s="11" t="s">
        <v>2728</v>
      </c>
      <c r="C1930" s="12"/>
      <c r="D1930" s="156">
        <v>610000004230</v>
      </c>
      <c r="E1930" s="157" t="s">
        <v>2747</v>
      </c>
      <c r="F1930" s="157" t="s">
        <v>2748</v>
      </c>
      <c r="G1930" s="158" t="s">
        <v>422</v>
      </c>
      <c r="H1930" s="158" t="s">
        <v>692</v>
      </c>
      <c r="I1930" s="157">
        <v>30</v>
      </c>
    </row>
    <row r="1931" spans="1:9" x14ac:dyDescent="0.25">
      <c r="A1931" t="s">
        <v>180</v>
      </c>
      <c r="B1931" s="11" t="s">
        <v>2728</v>
      </c>
      <c r="C1931" s="12"/>
      <c r="D1931" s="100">
        <v>610000004231</v>
      </c>
      <c r="E1931" s="101" t="s">
        <v>2749</v>
      </c>
      <c r="F1931" s="101" t="s">
        <v>2750</v>
      </c>
      <c r="G1931" s="178" t="s">
        <v>414</v>
      </c>
      <c r="H1931" s="178" t="s">
        <v>425</v>
      </c>
      <c r="I1931" s="179">
        <v>60</v>
      </c>
    </row>
    <row r="1932" spans="1:9" x14ac:dyDescent="0.25">
      <c r="A1932" t="s">
        <v>180</v>
      </c>
      <c r="B1932" s="11" t="s">
        <v>2728</v>
      </c>
      <c r="C1932" s="12"/>
      <c r="D1932" s="123">
        <v>610000004231</v>
      </c>
      <c r="E1932" s="124" t="s">
        <v>2751</v>
      </c>
      <c r="F1932" s="124" t="s">
        <v>2750</v>
      </c>
      <c r="G1932" s="180" t="s">
        <v>2731</v>
      </c>
      <c r="H1932" s="180" t="s">
        <v>2752</v>
      </c>
      <c r="I1932" s="181">
        <v>60</v>
      </c>
    </row>
    <row r="1933" spans="1:9" x14ac:dyDescent="0.25">
      <c r="A1933" t="s">
        <v>180</v>
      </c>
      <c r="B1933" s="11" t="s">
        <v>2728</v>
      </c>
      <c r="C1933" s="12"/>
      <c r="D1933" s="123">
        <v>610000004231</v>
      </c>
      <c r="E1933" s="124" t="s">
        <v>2753</v>
      </c>
      <c r="F1933" s="124" t="s">
        <v>2750</v>
      </c>
      <c r="G1933" s="180" t="s">
        <v>419</v>
      </c>
      <c r="H1933" s="180" t="s">
        <v>428</v>
      </c>
      <c r="I1933" s="181">
        <v>60</v>
      </c>
    </row>
    <row r="1934" spans="1:9" x14ac:dyDescent="0.25">
      <c r="A1934" t="s">
        <v>180</v>
      </c>
      <c r="B1934" s="11" t="s">
        <v>2728</v>
      </c>
      <c r="C1934" s="12"/>
      <c r="D1934" s="123">
        <v>610000004231</v>
      </c>
      <c r="E1934" s="124" t="s">
        <v>2754</v>
      </c>
      <c r="F1934" s="124" t="s">
        <v>2750</v>
      </c>
      <c r="G1934" s="180" t="s">
        <v>426</v>
      </c>
      <c r="H1934" s="180" t="s">
        <v>430</v>
      </c>
      <c r="I1934" s="181">
        <v>60</v>
      </c>
    </row>
    <row r="1935" spans="1:9" x14ac:dyDescent="0.25">
      <c r="A1935" t="s">
        <v>180</v>
      </c>
      <c r="B1935" s="11" t="s">
        <v>2728</v>
      </c>
      <c r="C1935" s="12"/>
      <c r="D1935" s="123">
        <v>610000004231</v>
      </c>
      <c r="E1935" s="124" t="s">
        <v>2755</v>
      </c>
      <c r="F1935" s="124" t="s">
        <v>2750</v>
      </c>
      <c r="G1935" s="180" t="s">
        <v>2741</v>
      </c>
      <c r="H1935" s="180" t="s">
        <v>2756</v>
      </c>
      <c r="I1935" s="181">
        <v>60</v>
      </c>
    </row>
    <row r="1936" spans="1:9" x14ac:dyDescent="0.25">
      <c r="A1936" t="s">
        <v>180</v>
      </c>
      <c r="B1936" s="11" t="s">
        <v>2728</v>
      </c>
      <c r="C1936" s="12"/>
      <c r="D1936" s="123">
        <v>610000004231</v>
      </c>
      <c r="E1936" s="124" t="s">
        <v>2757</v>
      </c>
      <c r="F1936" s="124" t="s">
        <v>2750</v>
      </c>
      <c r="G1936" s="180" t="s">
        <v>417</v>
      </c>
      <c r="H1936" s="180" t="s">
        <v>427</v>
      </c>
      <c r="I1936" s="181">
        <v>60</v>
      </c>
    </row>
    <row r="1937" spans="1:9" x14ac:dyDescent="0.25">
      <c r="A1937" t="s">
        <v>180</v>
      </c>
      <c r="B1937" s="11" t="s">
        <v>2728</v>
      </c>
      <c r="C1937" s="12"/>
      <c r="D1937" s="103">
        <v>610000004231</v>
      </c>
      <c r="E1937" s="85" t="s">
        <v>2758</v>
      </c>
      <c r="F1937" s="85" t="s">
        <v>2750</v>
      </c>
      <c r="G1937" s="182" t="s">
        <v>422</v>
      </c>
      <c r="H1937" s="182" t="s">
        <v>431</v>
      </c>
      <c r="I1937" s="183">
        <v>60</v>
      </c>
    </row>
    <row r="1938" spans="1:9" x14ac:dyDescent="0.25">
      <c r="A1938" t="s">
        <v>180</v>
      </c>
      <c r="B1938" s="11" t="s">
        <v>2728</v>
      </c>
      <c r="C1938" s="12"/>
      <c r="D1938" s="100">
        <v>610000004232</v>
      </c>
      <c r="E1938" s="101" t="s">
        <v>2759</v>
      </c>
      <c r="F1938" s="101" t="s">
        <v>2760</v>
      </c>
      <c r="G1938" s="178" t="s">
        <v>414</v>
      </c>
      <c r="H1938" s="178" t="s">
        <v>432</v>
      </c>
      <c r="I1938" s="179">
        <v>60</v>
      </c>
    </row>
    <row r="1939" spans="1:9" x14ac:dyDescent="0.25">
      <c r="A1939" t="s">
        <v>180</v>
      </c>
      <c r="B1939" s="11" t="s">
        <v>2728</v>
      </c>
      <c r="C1939" s="12"/>
      <c r="D1939" s="123">
        <v>610000004232</v>
      </c>
      <c r="E1939" s="124" t="s">
        <v>2761</v>
      </c>
      <c r="F1939" s="124" t="s">
        <v>2760</v>
      </c>
      <c r="G1939" s="180" t="s">
        <v>2731</v>
      </c>
      <c r="H1939" s="180" t="s">
        <v>2762</v>
      </c>
      <c r="I1939" s="181">
        <v>60</v>
      </c>
    </row>
    <row r="1940" spans="1:9" x14ac:dyDescent="0.25">
      <c r="A1940" t="s">
        <v>180</v>
      </c>
      <c r="B1940" s="11" t="s">
        <v>2728</v>
      </c>
      <c r="C1940" s="12"/>
      <c r="D1940" s="123">
        <v>610000004232</v>
      </c>
      <c r="E1940" s="124" t="s">
        <v>2763</v>
      </c>
      <c r="F1940" s="124" t="s">
        <v>2760</v>
      </c>
      <c r="G1940" s="180" t="s">
        <v>419</v>
      </c>
      <c r="H1940" s="180" t="s">
        <v>434</v>
      </c>
      <c r="I1940" s="181">
        <v>60</v>
      </c>
    </row>
    <row r="1941" spans="1:9" x14ac:dyDescent="0.25">
      <c r="A1941" t="s">
        <v>180</v>
      </c>
      <c r="B1941" s="11" t="s">
        <v>2728</v>
      </c>
      <c r="C1941" s="12"/>
      <c r="D1941" s="123">
        <v>610000004232</v>
      </c>
      <c r="E1941" s="124" t="s">
        <v>2764</v>
      </c>
      <c r="F1941" s="124" t="s">
        <v>2760</v>
      </c>
      <c r="G1941" s="180" t="s">
        <v>426</v>
      </c>
      <c r="H1941" s="180" t="s">
        <v>435</v>
      </c>
      <c r="I1941" s="181">
        <v>60</v>
      </c>
    </row>
    <row r="1942" spans="1:9" x14ac:dyDescent="0.25">
      <c r="A1942" t="s">
        <v>180</v>
      </c>
      <c r="B1942" s="11" t="s">
        <v>2728</v>
      </c>
      <c r="C1942" s="12"/>
      <c r="D1942" s="123">
        <v>610000004232</v>
      </c>
      <c r="E1942" s="124" t="s">
        <v>2765</v>
      </c>
      <c r="F1942" s="124" t="s">
        <v>2760</v>
      </c>
      <c r="G1942" s="180" t="s">
        <v>2741</v>
      </c>
      <c r="H1942" s="180" t="s">
        <v>2766</v>
      </c>
      <c r="I1942" s="181">
        <v>60</v>
      </c>
    </row>
    <row r="1943" spans="1:9" x14ac:dyDescent="0.25">
      <c r="A1943" t="s">
        <v>180</v>
      </c>
      <c r="B1943" s="11" t="s">
        <v>2728</v>
      </c>
      <c r="C1943" s="12"/>
      <c r="D1943" s="123">
        <v>610000004232</v>
      </c>
      <c r="E1943" s="124" t="s">
        <v>2767</v>
      </c>
      <c r="F1943" s="124" t="s">
        <v>2760</v>
      </c>
      <c r="G1943" s="180" t="s">
        <v>417</v>
      </c>
      <c r="H1943" s="180" t="s">
        <v>433</v>
      </c>
      <c r="I1943" s="181">
        <v>60</v>
      </c>
    </row>
    <row r="1944" spans="1:9" x14ac:dyDescent="0.25">
      <c r="A1944" t="s">
        <v>180</v>
      </c>
      <c r="B1944" s="11" t="s">
        <v>2728</v>
      </c>
      <c r="C1944" s="12"/>
      <c r="D1944" s="103">
        <v>610000004232</v>
      </c>
      <c r="E1944" s="85" t="s">
        <v>2768</v>
      </c>
      <c r="F1944" s="85" t="s">
        <v>2760</v>
      </c>
      <c r="G1944" s="182" t="s">
        <v>422</v>
      </c>
      <c r="H1944" s="182" t="s">
        <v>436</v>
      </c>
      <c r="I1944" s="183">
        <v>60</v>
      </c>
    </row>
    <row r="1945" spans="1:9" x14ac:dyDescent="0.25">
      <c r="A1945" t="s">
        <v>180</v>
      </c>
      <c r="B1945" s="11" t="s">
        <v>2728</v>
      </c>
      <c r="C1945" s="12"/>
      <c r="D1945" s="17">
        <v>610000004233</v>
      </c>
      <c r="E1945" s="18" t="s">
        <v>2769</v>
      </c>
      <c r="F1945" s="18" t="s">
        <v>2770</v>
      </c>
      <c r="G1945" s="19" t="s">
        <v>414</v>
      </c>
      <c r="H1945" s="19" t="s">
        <v>2771</v>
      </c>
      <c r="I1945" s="18">
        <v>60</v>
      </c>
    </row>
    <row r="1946" spans="1:9" x14ac:dyDescent="0.25">
      <c r="A1946" t="s">
        <v>180</v>
      </c>
      <c r="B1946" s="11" t="s">
        <v>2728</v>
      </c>
      <c r="C1946" s="12"/>
      <c r="D1946" s="17">
        <v>610000004233</v>
      </c>
      <c r="E1946" s="18" t="s">
        <v>2772</v>
      </c>
      <c r="F1946" s="18" t="s">
        <v>2770</v>
      </c>
      <c r="G1946" s="19" t="s">
        <v>2731</v>
      </c>
      <c r="H1946" s="19" t="s">
        <v>2773</v>
      </c>
      <c r="I1946" s="18">
        <v>60</v>
      </c>
    </row>
    <row r="1947" spans="1:9" x14ac:dyDescent="0.25">
      <c r="A1947" t="s">
        <v>180</v>
      </c>
      <c r="B1947" s="11" t="s">
        <v>2728</v>
      </c>
      <c r="C1947" s="12"/>
      <c r="D1947" s="17">
        <v>610000004233</v>
      </c>
      <c r="E1947" s="18" t="s">
        <v>2774</v>
      </c>
      <c r="F1947" s="18" t="s">
        <v>2770</v>
      </c>
      <c r="G1947" s="19" t="s">
        <v>419</v>
      </c>
      <c r="H1947" s="19" t="s">
        <v>2775</v>
      </c>
      <c r="I1947" s="18">
        <v>60</v>
      </c>
    </row>
    <row r="1948" spans="1:9" x14ac:dyDescent="0.25">
      <c r="A1948" t="s">
        <v>180</v>
      </c>
      <c r="B1948" s="11" t="s">
        <v>2728</v>
      </c>
      <c r="C1948" s="12"/>
      <c r="D1948" s="17">
        <v>610000004233</v>
      </c>
      <c r="E1948" s="18" t="s">
        <v>2776</v>
      </c>
      <c r="F1948" s="18" t="s">
        <v>2770</v>
      </c>
      <c r="G1948" s="19" t="s">
        <v>426</v>
      </c>
      <c r="H1948" s="19" t="s">
        <v>2777</v>
      </c>
      <c r="I1948" s="18">
        <v>60</v>
      </c>
    </row>
    <row r="1949" spans="1:9" x14ac:dyDescent="0.25">
      <c r="A1949" t="s">
        <v>180</v>
      </c>
      <c r="B1949" s="11" t="s">
        <v>2728</v>
      </c>
      <c r="C1949" s="12"/>
      <c r="D1949" s="17">
        <v>610000004233</v>
      </c>
      <c r="E1949" s="18" t="s">
        <v>2778</v>
      </c>
      <c r="F1949" s="18" t="s">
        <v>2770</v>
      </c>
      <c r="G1949" s="19" t="s">
        <v>2741</v>
      </c>
      <c r="H1949" s="19" t="s">
        <v>2779</v>
      </c>
      <c r="I1949" s="18">
        <v>60</v>
      </c>
    </row>
    <row r="1950" spans="1:9" x14ac:dyDescent="0.25">
      <c r="A1950" t="s">
        <v>180</v>
      </c>
      <c r="B1950" s="11" t="s">
        <v>2728</v>
      </c>
      <c r="C1950" s="12"/>
      <c r="D1950" s="17">
        <v>610000004233</v>
      </c>
      <c r="E1950" s="18" t="s">
        <v>2780</v>
      </c>
      <c r="F1950" s="18" t="s">
        <v>2770</v>
      </c>
      <c r="G1950" s="19" t="s">
        <v>417</v>
      </c>
      <c r="H1950" s="19" t="s">
        <v>2781</v>
      </c>
      <c r="I1950" s="18">
        <v>60</v>
      </c>
    </row>
    <row r="1951" spans="1:9" x14ac:dyDescent="0.25">
      <c r="A1951" t="s">
        <v>180</v>
      </c>
      <c r="B1951" s="11" t="s">
        <v>2728</v>
      </c>
      <c r="C1951" s="12"/>
      <c r="D1951" s="103">
        <v>610000004233</v>
      </c>
      <c r="E1951" s="85" t="s">
        <v>2782</v>
      </c>
      <c r="F1951" s="85" t="s">
        <v>2770</v>
      </c>
      <c r="G1951" s="182" t="s">
        <v>422</v>
      </c>
      <c r="H1951" s="182" t="s">
        <v>2783</v>
      </c>
      <c r="I1951" s="183">
        <v>60</v>
      </c>
    </row>
    <row r="1952" spans="1:9" x14ac:dyDescent="0.25">
      <c r="A1952" t="s">
        <v>180</v>
      </c>
      <c r="B1952" s="11" t="s">
        <v>2728</v>
      </c>
      <c r="C1952" s="12"/>
      <c r="D1952" s="100">
        <v>610000004234</v>
      </c>
      <c r="E1952" s="101" t="s">
        <v>2784</v>
      </c>
      <c r="F1952" s="101" t="s">
        <v>2785</v>
      </c>
      <c r="G1952" s="178" t="s">
        <v>414</v>
      </c>
      <c r="H1952" s="178" t="s">
        <v>438</v>
      </c>
      <c r="I1952" s="179">
        <v>90</v>
      </c>
    </row>
    <row r="1953" spans="1:9" x14ac:dyDescent="0.25">
      <c r="A1953" t="s">
        <v>180</v>
      </c>
      <c r="B1953" s="11" t="s">
        <v>2728</v>
      </c>
      <c r="C1953" s="12"/>
      <c r="D1953" s="123">
        <v>610000004234</v>
      </c>
      <c r="E1953" s="124" t="s">
        <v>2786</v>
      </c>
      <c r="F1953" s="124" t="s">
        <v>2785</v>
      </c>
      <c r="G1953" s="180" t="s">
        <v>2731</v>
      </c>
      <c r="H1953" s="180" t="s">
        <v>2787</v>
      </c>
      <c r="I1953" s="181">
        <v>90</v>
      </c>
    </row>
    <row r="1954" spans="1:9" x14ac:dyDescent="0.25">
      <c r="A1954" t="s">
        <v>180</v>
      </c>
      <c r="B1954" s="11" t="s">
        <v>2728</v>
      </c>
      <c r="C1954" s="12"/>
      <c r="D1954" s="123">
        <v>610000004234</v>
      </c>
      <c r="E1954" s="124" t="s">
        <v>2788</v>
      </c>
      <c r="F1954" s="124" t="s">
        <v>2785</v>
      </c>
      <c r="G1954" s="180" t="s">
        <v>419</v>
      </c>
      <c r="H1954" s="180" t="s">
        <v>440</v>
      </c>
      <c r="I1954" s="181">
        <v>90</v>
      </c>
    </row>
    <row r="1955" spans="1:9" x14ac:dyDescent="0.25">
      <c r="A1955" t="s">
        <v>180</v>
      </c>
      <c r="B1955" s="11" t="s">
        <v>2728</v>
      </c>
      <c r="C1955" s="12"/>
      <c r="D1955" s="123">
        <v>610000004234</v>
      </c>
      <c r="E1955" s="124" t="s">
        <v>2789</v>
      </c>
      <c r="F1955" s="124" t="s">
        <v>2785</v>
      </c>
      <c r="G1955" s="180" t="s">
        <v>426</v>
      </c>
      <c r="H1955" s="180" t="s">
        <v>441</v>
      </c>
      <c r="I1955" s="181">
        <v>90</v>
      </c>
    </row>
    <row r="1956" spans="1:9" x14ac:dyDescent="0.25">
      <c r="A1956" t="s">
        <v>180</v>
      </c>
      <c r="B1956" s="11" t="s">
        <v>2728</v>
      </c>
      <c r="C1956" s="12"/>
      <c r="D1956" s="123">
        <v>610000004234</v>
      </c>
      <c r="E1956" s="124" t="s">
        <v>2790</v>
      </c>
      <c r="F1956" s="124" t="s">
        <v>2785</v>
      </c>
      <c r="G1956" s="180" t="s">
        <v>2741</v>
      </c>
      <c r="H1956" s="180" t="s">
        <v>2791</v>
      </c>
      <c r="I1956" s="181">
        <v>90</v>
      </c>
    </row>
    <row r="1957" spans="1:9" x14ac:dyDescent="0.25">
      <c r="A1957" t="s">
        <v>180</v>
      </c>
      <c r="B1957" s="11" t="s">
        <v>2728</v>
      </c>
      <c r="C1957" s="12"/>
      <c r="D1957" s="123">
        <v>610000004234</v>
      </c>
      <c r="E1957" s="124" t="s">
        <v>2792</v>
      </c>
      <c r="F1957" s="124" t="s">
        <v>2785</v>
      </c>
      <c r="G1957" s="180" t="s">
        <v>417</v>
      </c>
      <c r="H1957" s="180" t="s">
        <v>439</v>
      </c>
      <c r="I1957" s="181">
        <v>90</v>
      </c>
    </row>
    <row r="1958" spans="1:9" x14ac:dyDescent="0.25">
      <c r="A1958" t="s">
        <v>180</v>
      </c>
      <c r="B1958" s="11" t="s">
        <v>2728</v>
      </c>
      <c r="C1958" s="12"/>
      <c r="D1958" s="103">
        <v>610000004234</v>
      </c>
      <c r="E1958" s="85" t="s">
        <v>2793</v>
      </c>
      <c r="F1958" s="85" t="s">
        <v>2785</v>
      </c>
      <c r="G1958" s="182" t="s">
        <v>422</v>
      </c>
      <c r="H1958" s="182" t="s">
        <v>442</v>
      </c>
      <c r="I1958" s="183">
        <v>90</v>
      </c>
    </row>
    <row r="1959" spans="1:9" x14ac:dyDescent="0.25">
      <c r="A1959" t="s">
        <v>180</v>
      </c>
      <c r="B1959" s="11" t="s">
        <v>2728</v>
      </c>
      <c r="C1959" s="12"/>
      <c r="D1959" s="117">
        <v>610000004235</v>
      </c>
      <c r="E1959" s="118" t="s">
        <v>2794</v>
      </c>
      <c r="F1959" s="118" t="s">
        <v>2795</v>
      </c>
      <c r="G1959" s="220" t="s">
        <v>419</v>
      </c>
      <c r="H1959" s="220" t="s">
        <v>2796</v>
      </c>
      <c r="I1959" s="221">
        <v>90</v>
      </c>
    </row>
    <row r="1960" spans="1:9" x14ac:dyDescent="0.25">
      <c r="A1960" t="s">
        <v>180</v>
      </c>
      <c r="B1960" s="11" t="s">
        <v>2728</v>
      </c>
      <c r="C1960" s="12"/>
      <c r="D1960" s="123">
        <v>610000004235</v>
      </c>
      <c r="E1960" s="124" t="s">
        <v>2797</v>
      </c>
      <c r="F1960" s="124" t="s">
        <v>2795</v>
      </c>
      <c r="G1960" s="180" t="s">
        <v>414</v>
      </c>
      <c r="H1960" s="180" t="s">
        <v>2798</v>
      </c>
      <c r="I1960" s="181">
        <v>90</v>
      </c>
    </row>
    <row r="1961" spans="1:9" x14ac:dyDescent="0.25">
      <c r="A1961" t="s">
        <v>180</v>
      </c>
      <c r="B1961" s="11" t="s">
        <v>2728</v>
      </c>
      <c r="C1961" s="12"/>
      <c r="D1961" s="123">
        <v>610000004235</v>
      </c>
      <c r="E1961" s="124" t="s">
        <v>2799</v>
      </c>
      <c r="F1961" s="124" t="s">
        <v>2795</v>
      </c>
      <c r="G1961" s="180" t="s">
        <v>2731</v>
      </c>
      <c r="H1961" s="180" t="s">
        <v>2800</v>
      </c>
      <c r="I1961" s="181">
        <v>90</v>
      </c>
    </row>
    <row r="1962" spans="1:9" x14ac:dyDescent="0.25">
      <c r="A1962" t="s">
        <v>180</v>
      </c>
      <c r="B1962" s="11" t="s">
        <v>2728</v>
      </c>
      <c r="C1962" s="12"/>
      <c r="D1962" s="123">
        <v>610000004235</v>
      </c>
      <c r="E1962" s="124" t="s">
        <v>2801</v>
      </c>
      <c r="F1962" s="124" t="s">
        <v>2795</v>
      </c>
      <c r="G1962" s="180" t="s">
        <v>419</v>
      </c>
      <c r="H1962" s="180" t="s">
        <v>2802</v>
      </c>
      <c r="I1962" s="181">
        <v>90</v>
      </c>
    </row>
    <row r="1963" spans="1:9" x14ac:dyDescent="0.25">
      <c r="A1963" t="s">
        <v>180</v>
      </c>
      <c r="B1963" s="11" t="s">
        <v>2728</v>
      </c>
      <c r="C1963" s="12"/>
      <c r="D1963" s="123">
        <v>610000004235</v>
      </c>
      <c r="E1963" s="124" t="s">
        <v>2803</v>
      </c>
      <c r="F1963" s="124" t="s">
        <v>2795</v>
      </c>
      <c r="G1963" s="180" t="s">
        <v>426</v>
      </c>
      <c r="H1963" s="180" t="s">
        <v>2804</v>
      </c>
      <c r="I1963" s="181">
        <v>90</v>
      </c>
    </row>
    <row r="1964" spans="1:9" x14ac:dyDescent="0.25">
      <c r="A1964" t="s">
        <v>180</v>
      </c>
      <c r="B1964" s="11" t="s">
        <v>2728</v>
      </c>
      <c r="C1964" s="12"/>
      <c r="D1964" s="123">
        <v>610000004235</v>
      </c>
      <c r="E1964" s="124" t="s">
        <v>2805</v>
      </c>
      <c r="F1964" s="124" t="s">
        <v>2795</v>
      </c>
      <c r="G1964" s="180" t="s">
        <v>2741</v>
      </c>
      <c r="H1964" s="180" t="s">
        <v>2806</v>
      </c>
      <c r="I1964" s="181">
        <v>90</v>
      </c>
    </row>
    <row r="1965" spans="1:9" x14ac:dyDescent="0.25">
      <c r="A1965" t="s">
        <v>180</v>
      </c>
      <c r="B1965" s="11" t="s">
        <v>2728</v>
      </c>
      <c r="C1965" s="12"/>
      <c r="D1965" s="123">
        <v>610000004235</v>
      </c>
      <c r="E1965" s="124" t="s">
        <v>2807</v>
      </c>
      <c r="F1965" s="124" t="s">
        <v>2795</v>
      </c>
      <c r="G1965" s="180" t="s">
        <v>417</v>
      </c>
      <c r="H1965" s="180" t="s">
        <v>2808</v>
      </c>
      <c r="I1965" s="181">
        <v>90</v>
      </c>
    </row>
    <row r="1966" spans="1:9" x14ac:dyDescent="0.25">
      <c r="A1966" t="s">
        <v>180</v>
      </c>
      <c r="B1966" s="11" t="s">
        <v>2728</v>
      </c>
      <c r="C1966" s="12"/>
      <c r="D1966" s="123">
        <v>610000004235</v>
      </c>
      <c r="E1966" s="124" t="s">
        <v>2809</v>
      </c>
      <c r="F1966" s="124" t="s">
        <v>2795</v>
      </c>
      <c r="G1966" s="180" t="s">
        <v>422</v>
      </c>
      <c r="H1966" s="180" t="s">
        <v>2810</v>
      </c>
      <c r="I1966" s="181">
        <v>90</v>
      </c>
    </row>
    <row r="1967" spans="1:9" x14ac:dyDescent="0.25">
      <c r="A1967" t="s">
        <v>180</v>
      </c>
      <c r="B1967" s="11" t="s">
        <v>2728</v>
      </c>
      <c r="C1967" s="12"/>
      <c r="D1967" s="123">
        <v>610000004235</v>
      </c>
      <c r="E1967" s="124" t="s">
        <v>2811</v>
      </c>
      <c r="F1967" s="124" t="s">
        <v>2795</v>
      </c>
      <c r="G1967" s="180" t="s">
        <v>414</v>
      </c>
      <c r="H1967" s="180" t="s">
        <v>2812</v>
      </c>
      <c r="I1967" s="181">
        <v>90</v>
      </c>
    </row>
    <row r="1968" spans="1:9" x14ac:dyDescent="0.25">
      <c r="A1968" t="s">
        <v>180</v>
      </c>
      <c r="B1968" s="11" t="s">
        <v>2728</v>
      </c>
      <c r="C1968" s="12"/>
      <c r="D1968" s="123">
        <v>610000004235</v>
      </c>
      <c r="E1968" s="124" t="s">
        <v>2813</v>
      </c>
      <c r="F1968" s="124" t="s">
        <v>2795</v>
      </c>
      <c r="G1968" s="180" t="s">
        <v>2731</v>
      </c>
      <c r="H1968" s="180" t="s">
        <v>2814</v>
      </c>
      <c r="I1968" s="181">
        <v>90</v>
      </c>
    </row>
    <row r="1969" spans="1:9" x14ac:dyDescent="0.25">
      <c r="A1969" t="s">
        <v>180</v>
      </c>
      <c r="B1969" s="11" t="s">
        <v>2728</v>
      </c>
      <c r="C1969" s="12"/>
      <c r="D1969" s="123">
        <v>610000004235</v>
      </c>
      <c r="E1969" s="124" t="s">
        <v>2815</v>
      </c>
      <c r="F1969" s="124" t="s">
        <v>2795</v>
      </c>
      <c r="G1969" s="180" t="s">
        <v>419</v>
      </c>
      <c r="H1969" s="180" t="s">
        <v>2816</v>
      </c>
      <c r="I1969" s="181">
        <v>90</v>
      </c>
    </row>
    <row r="1970" spans="1:9" x14ac:dyDescent="0.25">
      <c r="A1970" t="s">
        <v>180</v>
      </c>
      <c r="B1970" s="11" t="s">
        <v>2728</v>
      </c>
      <c r="C1970" s="12"/>
      <c r="D1970" s="123">
        <v>610000004235</v>
      </c>
      <c r="E1970" s="124" t="s">
        <v>2817</v>
      </c>
      <c r="F1970" s="124" t="s">
        <v>2795</v>
      </c>
      <c r="G1970" s="180" t="s">
        <v>426</v>
      </c>
      <c r="H1970" s="180" t="s">
        <v>2818</v>
      </c>
      <c r="I1970" s="181">
        <v>90</v>
      </c>
    </row>
    <row r="1971" spans="1:9" x14ac:dyDescent="0.25">
      <c r="A1971" t="s">
        <v>180</v>
      </c>
      <c r="B1971" s="11" t="s">
        <v>2728</v>
      </c>
      <c r="C1971" s="12"/>
      <c r="D1971" s="123">
        <v>610000004235</v>
      </c>
      <c r="E1971" s="124" t="s">
        <v>2819</v>
      </c>
      <c r="F1971" s="124" t="s">
        <v>2795</v>
      </c>
      <c r="G1971" s="180" t="s">
        <v>2741</v>
      </c>
      <c r="H1971" s="180" t="s">
        <v>2820</v>
      </c>
      <c r="I1971" s="181">
        <v>90</v>
      </c>
    </row>
    <row r="1972" spans="1:9" x14ac:dyDescent="0.25">
      <c r="A1972" t="s">
        <v>180</v>
      </c>
      <c r="B1972" s="11" t="s">
        <v>2728</v>
      </c>
      <c r="C1972" s="12"/>
      <c r="D1972" s="123">
        <v>610000004235</v>
      </c>
      <c r="E1972" s="124" t="s">
        <v>2821</v>
      </c>
      <c r="F1972" s="124" t="s">
        <v>2795</v>
      </c>
      <c r="G1972" s="180" t="s">
        <v>417</v>
      </c>
      <c r="H1972" s="180" t="s">
        <v>2822</v>
      </c>
      <c r="I1972" s="181">
        <v>90</v>
      </c>
    </row>
    <row r="1973" spans="1:9" x14ac:dyDescent="0.25">
      <c r="A1973" t="s">
        <v>180</v>
      </c>
      <c r="B1973" s="11" t="s">
        <v>2728</v>
      </c>
      <c r="C1973" s="12"/>
      <c r="D1973" s="103">
        <v>610000004235</v>
      </c>
      <c r="E1973" s="85" t="s">
        <v>2823</v>
      </c>
      <c r="F1973" s="85" t="s">
        <v>2795</v>
      </c>
      <c r="G1973" s="182" t="s">
        <v>422</v>
      </c>
      <c r="H1973" s="182" t="s">
        <v>2824</v>
      </c>
      <c r="I1973" s="183">
        <v>90</v>
      </c>
    </row>
    <row r="1974" spans="1:9" x14ac:dyDescent="0.25">
      <c r="A1974" t="s">
        <v>180</v>
      </c>
      <c r="B1974" s="11" t="s">
        <v>2728</v>
      </c>
      <c r="C1974" s="12"/>
      <c r="D1974" s="6">
        <v>610000004236</v>
      </c>
      <c r="E1974" s="7" t="s">
        <v>2825</v>
      </c>
      <c r="F1974" s="7" t="s">
        <v>2826</v>
      </c>
      <c r="G1974" s="8" t="s">
        <v>422</v>
      </c>
      <c r="H1974" s="8" t="s">
        <v>2827</v>
      </c>
      <c r="I1974" s="7">
        <v>180</v>
      </c>
    </row>
    <row r="1975" spans="1:9" ht="15.75" thickBot="1" x14ac:dyDescent="0.3">
      <c r="A1975" t="s">
        <v>180</v>
      </c>
      <c r="B1975" s="11" t="s">
        <v>2728</v>
      </c>
      <c r="C1975" s="27"/>
      <c r="D1975" s="65">
        <v>610000004237</v>
      </c>
      <c r="E1975" s="66" t="s">
        <v>2828</v>
      </c>
      <c r="F1975" s="66" t="s">
        <v>2829</v>
      </c>
      <c r="G1975" s="67" t="s">
        <v>419</v>
      </c>
      <c r="H1975" s="67" t="s">
        <v>448</v>
      </c>
      <c r="I1975" s="66">
        <v>365</v>
      </c>
    </row>
    <row r="1976" spans="1:9" x14ac:dyDescent="0.25">
      <c r="A1976" t="s">
        <v>180</v>
      </c>
      <c r="B1976" s="11" t="s">
        <v>2830</v>
      </c>
      <c r="C1976" s="12"/>
      <c r="D1976" s="100">
        <v>610000004238</v>
      </c>
      <c r="E1976" s="101" t="s">
        <v>2831</v>
      </c>
      <c r="F1976" s="101" t="s">
        <v>2832</v>
      </c>
      <c r="G1976" s="178" t="s">
        <v>393</v>
      </c>
      <c r="H1976" s="178" t="s">
        <v>2833</v>
      </c>
      <c r="I1976" s="179">
        <v>15</v>
      </c>
    </row>
    <row r="1977" spans="1:9" x14ac:dyDescent="0.25">
      <c r="A1977" t="s">
        <v>180</v>
      </c>
      <c r="B1977" s="11" t="s">
        <v>2830</v>
      </c>
      <c r="C1977" s="12"/>
      <c r="D1977" s="123">
        <v>610000004238</v>
      </c>
      <c r="E1977" s="124" t="s">
        <v>2835</v>
      </c>
      <c r="F1977" s="124" t="s">
        <v>2832</v>
      </c>
      <c r="G1977" s="180" t="s">
        <v>2834</v>
      </c>
      <c r="H1977" s="180" t="s">
        <v>2836</v>
      </c>
      <c r="I1977" s="181">
        <v>15</v>
      </c>
    </row>
    <row r="1978" spans="1:9" x14ac:dyDescent="0.25">
      <c r="A1978" t="s">
        <v>180</v>
      </c>
      <c r="B1978" s="11" t="s">
        <v>2830</v>
      </c>
      <c r="C1978" s="12"/>
      <c r="D1978" s="123">
        <v>610000004238</v>
      </c>
      <c r="E1978" s="124" t="s">
        <v>2838</v>
      </c>
      <c r="F1978" s="124" t="s">
        <v>2832</v>
      </c>
      <c r="G1978" s="180" t="s">
        <v>2837</v>
      </c>
      <c r="H1978" s="180" t="s">
        <v>2839</v>
      </c>
      <c r="I1978" s="181">
        <v>15</v>
      </c>
    </row>
    <row r="1979" spans="1:9" x14ac:dyDescent="0.25">
      <c r="A1979" t="s">
        <v>180</v>
      </c>
      <c r="B1979" s="11" t="s">
        <v>2830</v>
      </c>
      <c r="C1979" s="12"/>
      <c r="D1979" s="123">
        <v>610000004238</v>
      </c>
      <c r="E1979" s="124" t="s">
        <v>2841</v>
      </c>
      <c r="F1979" s="124" t="s">
        <v>2832</v>
      </c>
      <c r="G1979" s="180" t="s">
        <v>2840</v>
      </c>
      <c r="H1979" s="180" t="s">
        <v>2842</v>
      </c>
      <c r="I1979" s="181">
        <v>15</v>
      </c>
    </row>
    <row r="1980" spans="1:9" x14ac:dyDescent="0.25">
      <c r="A1980" t="s">
        <v>180</v>
      </c>
      <c r="B1980" s="11" t="s">
        <v>2830</v>
      </c>
      <c r="C1980" s="12"/>
      <c r="D1980" s="103">
        <v>610000004238</v>
      </c>
      <c r="E1980" s="85" t="s">
        <v>2843</v>
      </c>
      <c r="F1980" s="85" t="s">
        <v>2832</v>
      </c>
      <c r="G1980" s="182" t="s">
        <v>389</v>
      </c>
      <c r="H1980" s="182" t="s">
        <v>2844</v>
      </c>
      <c r="I1980" s="183">
        <v>15</v>
      </c>
    </row>
    <row r="1981" spans="1:9" x14ac:dyDescent="0.25">
      <c r="A1981" t="s">
        <v>180</v>
      </c>
      <c r="B1981" s="11" t="s">
        <v>2830</v>
      </c>
      <c r="C1981" s="12"/>
      <c r="D1981" s="100">
        <v>610000004239</v>
      </c>
      <c r="E1981" s="101" t="s">
        <v>2845</v>
      </c>
      <c r="F1981" s="101" t="s">
        <v>2846</v>
      </c>
      <c r="G1981" s="178" t="s">
        <v>393</v>
      </c>
      <c r="H1981" s="178" t="s">
        <v>394</v>
      </c>
      <c r="I1981" s="179">
        <v>60</v>
      </c>
    </row>
    <row r="1982" spans="1:9" x14ac:dyDescent="0.25">
      <c r="A1982" t="s">
        <v>180</v>
      </c>
      <c r="B1982" s="11" t="s">
        <v>2830</v>
      </c>
      <c r="C1982" s="12"/>
      <c r="D1982" s="123">
        <v>610000004239</v>
      </c>
      <c r="E1982" s="124" t="s">
        <v>2847</v>
      </c>
      <c r="F1982" s="124" t="s">
        <v>2846</v>
      </c>
      <c r="G1982" s="180" t="s">
        <v>2834</v>
      </c>
      <c r="H1982" s="180" t="s">
        <v>2848</v>
      </c>
      <c r="I1982" s="181">
        <v>60</v>
      </c>
    </row>
    <row r="1983" spans="1:9" x14ac:dyDescent="0.25">
      <c r="A1983" t="s">
        <v>180</v>
      </c>
      <c r="B1983" s="11" t="s">
        <v>2830</v>
      </c>
      <c r="C1983" s="12"/>
      <c r="D1983" s="123">
        <v>610000004239</v>
      </c>
      <c r="E1983" s="124" t="s">
        <v>2849</v>
      </c>
      <c r="F1983" s="124" t="s">
        <v>2846</v>
      </c>
      <c r="G1983" s="180" t="s">
        <v>2837</v>
      </c>
      <c r="H1983" s="180" t="s">
        <v>2850</v>
      </c>
      <c r="I1983" s="181">
        <v>60</v>
      </c>
    </row>
    <row r="1984" spans="1:9" x14ac:dyDescent="0.25">
      <c r="A1984" t="s">
        <v>180</v>
      </c>
      <c r="B1984" s="11" t="s">
        <v>2830</v>
      </c>
      <c r="C1984" s="12"/>
      <c r="D1984" s="123">
        <v>610000004239</v>
      </c>
      <c r="E1984" s="124" t="s">
        <v>2851</v>
      </c>
      <c r="F1984" s="124" t="s">
        <v>2846</v>
      </c>
      <c r="G1984" s="180" t="s">
        <v>2840</v>
      </c>
      <c r="H1984" s="180" t="s">
        <v>2852</v>
      </c>
      <c r="I1984" s="181">
        <v>60</v>
      </c>
    </row>
    <row r="1985" spans="1:9" x14ac:dyDescent="0.25">
      <c r="A1985" t="s">
        <v>180</v>
      </c>
      <c r="B1985" s="11" t="s">
        <v>2830</v>
      </c>
      <c r="C1985" s="12"/>
      <c r="D1985" s="103">
        <v>610000004239</v>
      </c>
      <c r="E1985" s="85" t="s">
        <v>2853</v>
      </c>
      <c r="F1985" s="85" t="s">
        <v>2846</v>
      </c>
      <c r="G1985" s="182" t="s">
        <v>389</v>
      </c>
      <c r="H1985" s="182" t="s">
        <v>390</v>
      </c>
      <c r="I1985" s="183">
        <v>60</v>
      </c>
    </row>
    <row r="1986" spans="1:9" x14ac:dyDescent="0.25">
      <c r="A1986" t="s">
        <v>180</v>
      </c>
      <c r="B1986" s="11" t="s">
        <v>2830</v>
      </c>
      <c r="C1986" s="12"/>
      <c r="D1986" s="100">
        <v>610000004240</v>
      </c>
      <c r="E1986" s="101" t="s">
        <v>2854</v>
      </c>
      <c r="F1986" s="101" t="s">
        <v>2855</v>
      </c>
      <c r="G1986" s="178" t="s">
        <v>393</v>
      </c>
      <c r="H1986" s="178" t="s">
        <v>403</v>
      </c>
      <c r="I1986" s="179">
        <v>60</v>
      </c>
    </row>
    <row r="1987" spans="1:9" x14ac:dyDescent="0.25">
      <c r="A1987" t="s">
        <v>180</v>
      </c>
      <c r="B1987" s="11" t="s">
        <v>2830</v>
      </c>
      <c r="C1987" s="406"/>
      <c r="D1987" s="17">
        <v>610000004240</v>
      </c>
      <c r="E1987" s="18" t="s">
        <v>2856</v>
      </c>
      <c r="F1987" s="18" t="s">
        <v>2855</v>
      </c>
      <c r="G1987" s="19" t="s">
        <v>2834</v>
      </c>
      <c r="H1987" s="19" t="s">
        <v>2857</v>
      </c>
      <c r="I1987" s="18">
        <v>60</v>
      </c>
    </row>
    <row r="1988" spans="1:9" x14ac:dyDescent="0.25">
      <c r="A1988" t="s">
        <v>180</v>
      </c>
      <c r="B1988" s="11" t="s">
        <v>2830</v>
      </c>
      <c r="C1988" s="406"/>
      <c r="D1988" s="17">
        <v>610000004240</v>
      </c>
      <c r="E1988" s="18" t="s">
        <v>2858</v>
      </c>
      <c r="F1988" s="18" t="s">
        <v>2855</v>
      </c>
      <c r="G1988" s="19" t="s">
        <v>2837</v>
      </c>
      <c r="H1988" s="19" t="s">
        <v>2859</v>
      </c>
      <c r="I1988" s="18">
        <v>60</v>
      </c>
    </row>
    <row r="1989" spans="1:9" x14ac:dyDescent="0.25">
      <c r="A1989" t="s">
        <v>180</v>
      </c>
      <c r="B1989" s="11" t="s">
        <v>2830</v>
      </c>
      <c r="C1989" s="406"/>
      <c r="D1989" s="17">
        <v>610000004240</v>
      </c>
      <c r="E1989" s="18" t="s">
        <v>2860</v>
      </c>
      <c r="F1989" s="18" t="s">
        <v>2855</v>
      </c>
      <c r="G1989" s="19" t="s">
        <v>2840</v>
      </c>
      <c r="H1989" s="19" t="s">
        <v>2861</v>
      </c>
      <c r="I1989" s="18">
        <v>60</v>
      </c>
    </row>
    <row r="1990" spans="1:9" x14ac:dyDescent="0.25">
      <c r="A1990" t="s">
        <v>180</v>
      </c>
      <c r="B1990" s="11" t="s">
        <v>2830</v>
      </c>
      <c r="C1990" s="406"/>
      <c r="D1990" s="22">
        <v>610000004240</v>
      </c>
      <c r="E1990" s="23" t="s">
        <v>2862</v>
      </c>
      <c r="F1990" s="23" t="s">
        <v>2855</v>
      </c>
      <c r="G1990" s="24" t="s">
        <v>389</v>
      </c>
      <c r="H1990" s="24" t="s">
        <v>401</v>
      </c>
      <c r="I1990" s="23">
        <v>60</v>
      </c>
    </row>
    <row r="1991" spans="1:9" x14ac:dyDescent="0.25">
      <c r="A1991" t="s">
        <v>180</v>
      </c>
      <c r="B1991" s="11" t="s">
        <v>2830</v>
      </c>
      <c r="C1991" s="406"/>
      <c r="D1991" s="17">
        <v>610000004241</v>
      </c>
      <c r="E1991" s="18" t="s">
        <v>2863</v>
      </c>
      <c r="F1991" s="18" t="s">
        <v>2864</v>
      </c>
      <c r="G1991" s="19" t="s">
        <v>393</v>
      </c>
      <c r="H1991" s="19" t="s">
        <v>2865</v>
      </c>
      <c r="I1991" s="18">
        <v>60</v>
      </c>
    </row>
    <row r="1992" spans="1:9" x14ac:dyDescent="0.25">
      <c r="A1992" t="s">
        <v>180</v>
      </c>
      <c r="B1992" s="11" t="s">
        <v>2830</v>
      </c>
      <c r="C1992" s="406"/>
      <c r="D1992" s="17">
        <v>610000004241</v>
      </c>
      <c r="E1992" s="18" t="s">
        <v>2866</v>
      </c>
      <c r="F1992" s="18" t="s">
        <v>2864</v>
      </c>
      <c r="G1992" s="19" t="s">
        <v>2834</v>
      </c>
      <c r="H1992" s="19" t="s">
        <v>2867</v>
      </c>
      <c r="I1992" s="18">
        <v>60</v>
      </c>
    </row>
    <row r="1993" spans="1:9" x14ac:dyDescent="0.25">
      <c r="A1993" t="s">
        <v>180</v>
      </c>
      <c r="B1993" s="11" t="s">
        <v>2830</v>
      </c>
      <c r="C1993" s="406"/>
      <c r="D1993" s="17">
        <v>610000004241</v>
      </c>
      <c r="E1993" s="18" t="s">
        <v>2868</v>
      </c>
      <c r="F1993" s="18" t="s">
        <v>2864</v>
      </c>
      <c r="G1993" s="19" t="s">
        <v>2837</v>
      </c>
      <c r="H1993" s="19" t="s">
        <v>2869</v>
      </c>
      <c r="I1993" s="18">
        <v>60</v>
      </c>
    </row>
    <row r="1994" spans="1:9" x14ac:dyDescent="0.25">
      <c r="A1994" t="s">
        <v>180</v>
      </c>
      <c r="B1994" s="11" t="s">
        <v>2830</v>
      </c>
      <c r="C1994" s="406"/>
      <c r="D1994" s="17">
        <v>610000004241</v>
      </c>
      <c r="E1994" s="18" t="s">
        <v>2870</v>
      </c>
      <c r="F1994" s="18" t="s">
        <v>2864</v>
      </c>
      <c r="G1994" s="19" t="s">
        <v>2840</v>
      </c>
      <c r="H1994" s="19" t="s">
        <v>2871</v>
      </c>
      <c r="I1994" s="18">
        <v>60</v>
      </c>
    </row>
    <row r="1995" spans="1:9" x14ac:dyDescent="0.25">
      <c r="A1995" t="s">
        <v>180</v>
      </c>
      <c r="B1995" s="11" t="s">
        <v>2830</v>
      </c>
      <c r="C1995" s="406"/>
      <c r="D1995" s="17">
        <v>610000004241</v>
      </c>
      <c r="E1995" s="18" t="s">
        <v>2872</v>
      </c>
      <c r="F1995" s="18" t="s">
        <v>2864</v>
      </c>
      <c r="G1995" s="19" t="s">
        <v>389</v>
      </c>
      <c r="H1995" s="19" t="s">
        <v>2873</v>
      </c>
      <c r="I1995" s="18">
        <v>60</v>
      </c>
    </row>
    <row r="1996" spans="1:9" x14ac:dyDescent="0.25">
      <c r="A1996" t="s">
        <v>180</v>
      </c>
      <c r="B1996" s="11" t="s">
        <v>2830</v>
      </c>
      <c r="C1996" s="406"/>
      <c r="D1996" s="17">
        <v>610000004242</v>
      </c>
      <c r="E1996" s="18" t="s">
        <v>2874</v>
      </c>
      <c r="F1996" s="18" t="s">
        <v>2875</v>
      </c>
      <c r="G1996" s="19" t="s">
        <v>393</v>
      </c>
      <c r="H1996" s="19" t="s">
        <v>410</v>
      </c>
      <c r="I1996" s="18">
        <v>90</v>
      </c>
    </row>
    <row r="1997" spans="1:9" x14ac:dyDescent="0.25">
      <c r="A1997" t="s">
        <v>180</v>
      </c>
      <c r="B1997" s="11" t="s">
        <v>2830</v>
      </c>
      <c r="C1997" s="12"/>
      <c r="D1997" s="123">
        <v>610000004242</v>
      </c>
      <c r="E1997" s="124" t="s">
        <v>2876</v>
      </c>
      <c r="F1997" s="124" t="s">
        <v>2875</v>
      </c>
      <c r="G1997" s="180" t="s">
        <v>2834</v>
      </c>
      <c r="H1997" s="180" t="s">
        <v>2877</v>
      </c>
      <c r="I1997" s="181">
        <v>90</v>
      </c>
    </row>
    <row r="1998" spans="1:9" x14ac:dyDescent="0.25">
      <c r="A1998" t="s">
        <v>180</v>
      </c>
      <c r="B1998" s="11" t="s">
        <v>2830</v>
      </c>
      <c r="C1998" s="12"/>
      <c r="D1998" s="123">
        <v>610000004242</v>
      </c>
      <c r="E1998" s="124" t="s">
        <v>2878</v>
      </c>
      <c r="F1998" s="124" t="s">
        <v>2875</v>
      </c>
      <c r="G1998" s="180" t="s">
        <v>2837</v>
      </c>
      <c r="H1998" s="180" t="s">
        <v>2879</v>
      </c>
      <c r="I1998" s="181">
        <v>90</v>
      </c>
    </row>
    <row r="1999" spans="1:9" x14ac:dyDescent="0.25">
      <c r="A1999" t="s">
        <v>180</v>
      </c>
      <c r="B1999" s="11" t="s">
        <v>2830</v>
      </c>
      <c r="C1999" s="12"/>
      <c r="D1999" s="123">
        <v>610000004242</v>
      </c>
      <c r="E1999" s="124" t="s">
        <v>2880</v>
      </c>
      <c r="F1999" s="124" t="s">
        <v>2875</v>
      </c>
      <c r="G1999" s="180" t="s">
        <v>2840</v>
      </c>
      <c r="H1999" s="180" t="s">
        <v>2881</v>
      </c>
      <c r="I1999" s="181">
        <v>90</v>
      </c>
    </row>
    <row r="2000" spans="1:9" x14ac:dyDescent="0.25">
      <c r="A2000" t="s">
        <v>180</v>
      </c>
      <c r="B2000" s="11" t="s">
        <v>2830</v>
      </c>
      <c r="C2000" s="12"/>
      <c r="D2000" s="103">
        <v>610000004242</v>
      </c>
      <c r="E2000" s="85" t="s">
        <v>2882</v>
      </c>
      <c r="F2000" s="85" t="s">
        <v>2875</v>
      </c>
      <c r="G2000" s="182" t="s">
        <v>389</v>
      </c>
      <c r="H2000" s="182" t="s">
        <v>408</v>
      </c>
      <c r="I2000" s="183">
        <v>90</v>
      </c>
    </row>
    <row r="2001" spans="1:9" x14ac:dyDescent="0.25">
      <c r="A2001" t="s">
        <v>180</v>
      </c>
      <c r="B2001" s="11" t="s">
        <v>2830</v>
      </c>
      <c r="C2001" s="12"/>
      <c r="D2001" s="117">
        <v>610000004243</v>
      </c>
      <c r="E2001" s="118" t="s">
        <v>2883</v>
      </c>
      <c r="F2001" s="118" t="s">
        <v>2884</v>
      </c>
      <c r="G2001" s="220" t="s">
        <v>393</v>
      </c>
      <c r="H2001" s="220" t="s">
        <v>2885</v>
      </c>
      <c r="I2001" s="221">
        <v>90</v>
      </c>
    </row>
    <row r="2002" spans="1:9" x14ac:dyDescent="0.25">
      <c r="A2002" t="s">
        <v>180</v>
      </c>
      <c r="B2002" s="11" t="s">
        <v>2830</v>
      </c>
      <c r="C2002" s="12"/>
      <c r="D2002" s="123">
        <v>610000004243</v>
      </c>
      <c r="E2002" s="124" t="s">
        <v>2886</v>
      </c>
      <c r="F2002" s="124" t="s">
        <v>2884</v>
      </c>
      <c r="G2002" s="180" t="s">
        <v>2840</v>
      </c>
      <c r="H2002" s="180" t="s">
        <v>2887</v>
      </c>
      <c r="I2002" s="181">
        <v>90</v>
      </c>
    </row>
    <row r="2003" spans="1:9" x14ac:dyDescent="0.25">
      <c r="A2003" t="s">
        <v>180</v>
      </c>
      <c r="B2003" s="11" t="s">
        <v>2830</v>
      </c>
      <c r="C2003" s="12"/>
      <c r="D2003" s="123">
        <v>610000004243</v>
      </c>
      <c r="E2003" s="124" t="s">
        <v>2888</v>
      </c>
      <c r="F2003" s="124" t="s">
        <v>2884</v>
      </c>
      <c r="G2003" s="180" t="s">
        <v>389</v>
      </c>
      <c r="H2003" s="180" t="s">
        <v>2889</v>
      </c>
      <c r="I2003" s="181">
        <v>90</v>
      </c>
    </row>
    <row r="2004" spans="1:9" x14ac:dyDescent="0.25">
      <c r="A2004" t="s">
        <v>180</v>
      </c>
      <c r="B2004" s="11" t="s">
        <v>2830</v>
      </c>
      <c r="C2004" s="12"/>
      <c r="D2004" s="123">
        <v>610000004243</v>
      </c>
      <c r="E2004" s="124" t="s">
        <v>2890</v>
      </c>
      <c r="F2004" s="124" t="s">
        <v>2884</v>
      </c>
      <c r="G2004" s="180" t="s">
        <v>393</v>
      </c>
      <c r="H2004" s="180" t="s">
        <v>2891</v>
      </c>
      <c r="I2004" s="181">
        <v>90</v>
      </c>
    </row>
    <row r="2005" spans="1:9" x14ac:dyDescent="0.25">
      <c r="A2005" t="s">
        <v>180</v>
      </c>
      <c r="B2005" s="11" t="s">
        <v>2830</v>
      </c>
      <c r="C2005" s="12"/>
      <c r="D2005" s="123">
        <v>610000004243</v>
      </c>
      <c r="E2005" s="124" t="s">
        <v>2892</v>
      </c>
      <c r="F2005" s="124" t="s">
        <v>2884</v>
      </c>
      <c r="G2005" s="180" t="s">
        <v>2834</v>
      </c>
      <c r="H2005" s="180" t="s">
        <v>2893</v>
      </c>
      <c r="I2005" s="181">
        <v>90</v>
      </c>
    </row>
    <row r="2006" spans="1:9" x14ac:dyDescent="0.25">
      <c r="A2006" t="s">
        <v>180</v>
      </c>
      <c r="B2006" s="11" t="s">
        <v>2830</v>
      </c>
      <c r="C2006" s="12"/>
      <c r="D2006" s="123">
        <v>610000004243</v>
      </c>
      <c r="E2006" s="124" t="s">
        <v>2894</v>
      </c>
      <c r="F2006" s="124" t="s">
        <v>2884</v>
      </c>
      <c r="G2006" s="180" t="s">
        <v>2837</v>
      </c>
      <c r="H2006" s="180" t="s">
        <v>2895</v>
      </c>
      <c r="I2006" s="181">
        <v>90</v>
      </c>
    </row>
    <row r="2007" spans="1:9" x14ac:dyDescent="0.25">
      <c r="A2007" t="s">
        <v>180</v>
      </c>
      <c r="B2007" s="11" t="s">
        <v>2830</v>
      </c>
      <c r="C2007" s="12"/>
      <c r="D2007" s="123">
        <v>610000004243</v>
      </c>
      <c r="E2007" s="124" t="s">
        <v>2896</v>
      </c>
      <c r="F2007" s="124" t="s">
        <v>2884</v>
      </c>
      <c r="G2007" s="180" t="s">
        <v>2840</v>
      </c>
      <c r="H2007" s="180" t="s">
        <v>2897</v>
      </c>
      <c r="I2007" s="181">
        <v>90</v>
      </c>
    </row>
    <row r="2008" spans="1:9" x14ac:dyDescent="0.25">
      <c r="A2008" t="s">
        <v>180</v>
      </c>
      <c r="B2008" s="11" t="s">
        <v>2830</v>
      </c>
      <c r="C2008" s="12"/>
      <c r="D2008" s="123">
        <v>610000004243</v>
      </c>
      <c r="E2008" s="124" t="s">
        <v>2898</v>
      </c>
      <c r="F2008" s="124" t="s">
        <v>2884</v>
      </c>
      <c r="G2008" s="180" t="s">
        <v>389</v>
      </c>
      <c r="H2008" s="180" t="s">
        <v>2899</v>
      </c>
      <c r="I2008" s="181">
        <v>90</v>
      </c>
    </row>
    <row r="2009" spans="1:9" x14ac:dyDescent="0.25">
      <c r="A2009" t="s">
        <v>180</v>
      </c>
      <c r="B2009" s="11" t="s">
        <v>2830</v>
      </c>
      <c r="C2009" s="12"/>
      <c r="D2009" s="123">
        <v>610000004243</v>
      </c>
      <c r="E2009" s="124" t="s">
        <v>2900</v>
      </c>
      <c r="F2009" s="124" t="s">
        <v>2884</v>
      </c>
      <c r="G2009" s="180" t="s">
        <v>393</v>
      </c>
      <c r="H2009" s="180" t="s">
        <v>2901</v>
      </c>
      <c r="I2009" s="181">
        <v>90</v>
      </c>
    </row>
    <row r="2010" spans="1:9" x14ac:dyDescent="0.25">
      <c r="A2010" t="s">
        <v>180</v>
      </c>
      <c r="B2010" s="11" t="s">
        <v>2830</v>
      </c>
      <c r="C2010" s="12"/>
      <c r="D2010" s="123">
        <v>610000004243</v>
      </c>
      <c r="E2010" s="124" t="s">
        <v>2902</v>
      </c>
      <c r="F2010" s="124" t="s">
        <v>2884</v>
      </c>
      <c r="G2010" s="180" t="s">
        <v>2834</v>
      </c>
      <c r="H2010" s="180" t="s">
        <v>2903</v>
      </c>
      <c r="I2010" s="181">
        <v>90</v>
      </c>
    </row>
    <row r="2011" spans="1:9" x14ac:dyDescent="0.25">
      <c r="A2011" t="s">
        <v>180</v>
      </c>
      <c r="B2011" s="11" t="s">
        <v>2830</v>
      </c>
      <c r="C2011" s="12"/>
      <c r="D2011" s="123">
        <v>610000004243</v>
      </c>
      <c r="E2011" s="124" t="s">
        <v>2904</v>
      </c>
      <c r="F2011" s="124" t="s">
        <v>2884</v>
      </c>
      <c r="G2011" s="180" t="s">
        <v>2837</v>
      </c>
      <c r="H2011" s="180" t="s">
        <v>2905</v>
      </c>
      <c r="I2011" s="181">
        <v>90</v>
      </c>
    </row>
    <row r="2012" spans="1:9" x14ac:dyDescent="0.25">
      <c r="A2012" t="s">
        <v>180</v>
      </c>
      <c r="B2012" s="11" t="s">
        <v>2830</v>
      </c>
      <c r="C2012" s="12"/>
      <c r="D2012" s="123">
        <v>610000004243</v>
      </c>
      <c r="E2012" s="124" t="s">
        <v>2906</v>
      </c>
      <c r="F2012" s="124" t="s">
        <v>2884</v>
      </c>
      <c r="G2012" s="180" t="s">
        <v>2840</v>
      </c>
      <c r="H2012" s="180" t="s">
        <v>2907</v>
      </c>
      <c r="I2012" s="181">
        <v>90</v>
      </c>
    </row>
    <row r="2013" spans="1:9" ht="15.75" thickBot="1" x14ac:dyDescent="0.3">
      <c r="A2013" t="s">
        <v>180</v>
      </c>
      <c r="B2013" s="11" t="s">
        <v>2830</v>
      </c>
      <c r="C2013" s="27"/>
      <c r="D2013" s="147">
        <v>610000004243</v>
      </c>
      <c r="E2013" s="148" t="s">
        <v>2908</v>
      </c>
      <c r="F2013" s="148" t="s">
        <v>2884</v>
      </c>
      <c r="G2013" s="189" t="s">
        <v>389</v>
      </c>
      <c r="H2013" s="189" t="s">
        <v>2909</v>
      </c>
      <c r="I2013" s="190">
        <v>90</v>
      </c>
    </row>
    <row r="2014" spans="1:9" x14ac:dyDescent="0.25">
      <c r="A2014" t="s">
        <v>180</v>
      </c>
      <c r="B2014" s="11" t="s">
        <v>2910</v>
      </c>
      <c r="C2014" s="12"/>
      <c r="D2014" s="100">
        <v>610000004244</v>
      </c>
      <c r="E2014" s="101" t="s">
        <v>2912</v>
      </c>
      <c r="F2014" s="101" t="s">
        <v>2913</v>
      </c>
      <c r="G2014" s="178" t="s">
        <v>2911</v>
      </c>
      <c r="H2014" s="178" t="s">
        <v>2914</v>
      </c>
      <c r="I2014" s="179">
        <v>15</v>
      </c>
    </row>
    <row r="2015" spans="1:9" x14ac:dyDescent="0.25">
      <c r="A2015" t="s">
        <v>180</v>
      </c>
      <c r="B2015" s="11" t="s">
        <v>2910</v>
      </c>
      <c r="C2015" s="12"/>
      <c r="D2015" s="123">
        <v>610000004244</v>
      </c>
      <c r="E2015" s="124" t="s">
        <v>2915</v>
      </c>
      <c r="F2015" s="124" t="s">
        <v>2913</v>
      </c>
      <c r="G2015" s="180" t="s">
        <v>454</v>
      </c>
      <c r="H2015" s="180" t="s">
        <v>2916</v>
      </c>
      <c r="I2015" s="181">
        <v>15</v>
      </c>
    </row>
    <row r="2016" spans="1:9" x14ac:dyDescent="0.25">
      <c r="A2016" t="s">
        <v>180</v>
      </c>
      <c r="B2016" s="11" t="s">
        <v>2910</v>
      </c>
      <c r="C2016" s="12"/>
      <c r="D2016" s="123">
        <v>610000004244</v>
      </c>
      <c r="E2016" s="124" t="s">
        <v>2918</v>
      </c>
      <c r="F2016" s="124" t="s">
        <v>2913</v>
      </c>
      <c r="G2016" s="180" t="s">
        <v>2919</v>
      </c>
      <c r="H2016" s="180" t="s">
        <v>2920</v>
      </c>
      <c r="I2016" s="181">
        <v>15</v>
      </c>
    </row>
    <row r="2017" spans="1:9" x14ac:dyDescent="0.25">
      <c r="A2017" t="s">
        <v>180</v>
      </c>
      <c r="B2017" s="11" t="s">
        <v>2910</v>
      </c>
      <c r="C2017" s="12"/>
      <c r="D2017" s="123">
        <v>610000004244</v>
      </c>
      <c r="E2017" s="124" t="s">
        <v>2921</v>
      </c>
      <c r="F2017" s="124" t="s">
        <v>2913</v>
      </c>
      <c r="G2017" s="180" t="s">
        <v>2922</v>
      </c>
      <c r="H2017" s="180" t="s">
        <v>2923</v>
      </c>
      <c r="I2017" s="181">
        <v>15</v>
      </c>
    </row>
    <row r="2018" spans="1:9" x14ac:dyDescent="0.25">
      <c r="A2018" t="s">
        <v>180</v>
      </c>
      <c r="B2018" s="11" t="s">
        <v>2910</v>
      </c>
      <c r="C2018" s="12"/>
      <c r="D2018" s="123">
        <v>610000004244</v>
      </c>
      <c r="E2018" s="124" t="s">
        <v>2924</v>
      </c>
      <c r="F2018" s="124" t="s">
        <v>2913</v>
      </c>
      <c r="G2018" s="180" t="s">
        <v>2925</v>
      </c>
      <c r="H2018" s="180" t="s">
        <v>2926</v>
      </c>
      <c r="I2018" s="181">
        <v>15</v>
      </c>
    </row>
    <row r="2019" spans="1:9" x14ac:dyDescent="0.25">
      <c r="A2019" t="s">
        <v>180</v>
      </c>
      <c r="B2019" s="11" t="s">
        <v>2910</v>
      </c>
      <c r="C2019" s="12"/>
      <c r="D2019" s="103">
        <v>610000004244</v>
      </c>
      <c r="E2019" s="85" t="s">
        <v>2928</v>
      </c>
      <c r="F2019" s="85" t="s">
        <v>2913</v>
      </c>
      <c r="G2019" s="182" t="s">
        <v>2929</v>
      </c>
      <c r="H2019" s="182" t="s">
        <v>2930</v>
      </c>
      <c r="I2019" s="183">
        <v>15</v>
      </c>
    </row>
    <row r="2020" spans="1:9" x14ac:dyDescent="0.25">
      <c r="A2020" t="s">
        <v>180</v>
      </c>
      <c r="B2020" s="11" t="s">
        <v>2910</v>
      </c>
      <c r="C2020" s="12"/>
      <c r="D2020" s="100">
        <v>610000004245</v>
      </c>
      <c r="E2020" s="101" t="s">
        <v>2931</v>
      </c>
      <c r="F2020" s="101" t="s">
        <v>2932</v>
      </c>
      <c r="G2020" s="178" t="s">
        <v>454</v>
      </c>
      <c r="H2020" s="178" t="s">
        <v>2933</v>
      </c>
      <c r="I2020" s="179">
        <v>15</v>
      </c>
    </row>
    <row r="2021" spans="1:9" x14ac:dyDescent="0.25">
      <c r="A2021" t="s">
        <v>180</v>
      </c>
      <c r="B2021" s="11" t="s">
        <v>2910</v>
      </c>
      <c r="C2021" s="12"/>
      <c r="D2021" s="103">
        <v>610000004245</v>
      </c>
      <c r="E2021" s="85" t="s">
        <v>2935</v>
      </c>
      <c r="F2021" s="85" t="s">
        <v>2932</v>
      </c>
      <c r="G2021" s="182" t="s">
        <v>454</v>
      </c>
      <c r="H2021" s="182" t="s">
        <v>2936</v>
      </c>
      <c r="I2021" s="183">
        <v>15</v>
      </c>
    </row>
    <row r="2022" spans="1:9" x14ac:dyDescent="0.25">
      <c r="A2022" t="s">
        <v>180</v>
      </c>
      <c r="B2022" s="11" t="s">
        <v>2910</v>
      </c>
      <c r="C2022" s="12"/>
      <c r="D2022" s="100">
        <v>610000004246</v>
      </c>
      <c r="E2022" s="101" t="s">
        <v>2938</v>
      </c>
      <c r="F2022" s="101" t="s">
        <v>2939</v>
      </c>
      <c r="G2022" s="178" t="s">
        <v>2940</v>
      </c>
      <c r="H2022" s="178" t="s">
        <v>2941</v>
      </c>
      <c r="I2022" s="179">
        <v>30</v>
      </c>
    </row>
    <row r="2023" spans="1:9" x14ac:dyDescent="0.25">
      <c r="A2023" t="s">
        <v>180</v>
      </c>
      <c r="B2023" s="11" t="s">
        <v>2910</v>
      </c>
      <c r="C2023" s="12"/>
      <c r="D2023" s="103">
        <v>610000004246</v>
      </c>
      <c r="E2023" s="85" t="s">
        <v>2942</v>
      </c>
      <c r="F2023" s="85" t="s">
        <v>2939</v>
      </c>
      <c r="G2023" s="182" t="s">
        <v>2940</v>
      </c>
      <c r="H2023" s="182" t="s">
        <v>2943</v>
      </c>
      <c r="I2023" s="183">
        <v>30</v>
      </c>
    </row>
    <row r="2024" spans="1:9" x14ac:dyDescent="0.25">
      <c r="A2024" t="s">
        <v>180</v>
      </c>
      <c r="B2024" s="11" t="s">
        <v>2910</v>
      </c>
      <c r="C2024" s="12"/>
      <c r="D2024" s="100">
        <v>610000004247</v>
      </c>
      <c r="E2024" s="101" t="s">
        <v>2944</v>
      </c>
      <c r="F2024" s="101" t="s">
        <v>2945</v>
      </c>
      <c r="G2024" s="178" t="s">
        <v>2911</v>
      </c>
      <c r="H2024" s="178" t="s">
        <v>2946</v>
      </c>
      <c r="I2024" s="179">
        <v>60</v>
      </c>
    </row>
    <row r="2025" spans="1:9" x14ac:dyDescent="0.25">
      <c r="A2025" t="s">
        <v>180</v>
      </c>
      <c r="B2025" s="11" t="s">
        <v>2910</v>
      </c>
      <c r="C2025" s="12"/>
      <c r="D2025" s="123">
        <v>610000004247</v>
      </c>
      <c r="E2025" s="124" t="s">
        <v>2947</v>
      </c>
      <c r="F2025" s="124" t="s">
        <v>2945</v>
      </c>
      <c r="G2025" s="180" t="s">
        <v>454</v>
      </c>
      <c r="H2025" s="180" t="s">
        <v>2948</v>
      </c>
      <c r="I2025" s="181">
        <v>60</v>
      </c>
    </row>
    <row r="2026" spans="1:9" x14ac:dyDescent="0.25">
      <c r="A2026" t="s">
        <v>180</v>
      </c>
      <c r="B2026" s="11" t="s">
        <v>2910</v>
      </c>
      <c r="C2026" s="12"/>
      <c r="D2026" s="123">
        <v>610000004247</v>
      </c>
      <c r="E2026" s="124" t="s">
        <v>2949</v>
      </c>
      <c r="F2026" s="124" t="s">
        <v>2945</v>
      </c>
      <c r="G2026" s="180" t="s">
        <v>2919</v>
      </c>
      <c r="H2026" s="180" t="s">
        <v>2950</v>
      </c>
      <c r="I2026" s="181">
        <v>60</v>
      </c>
    </row>
    <row r="2027" spans="1:9" x14ac:dyDescent="0.25">
      <c r="A2027" t="s">
        <v>180</v>
      </c>
      <c r="B2027" s="11" t="s">
        <v>2910</v>
      </c>
      <c r="C2027" s="12"/>
      <c r="D2027" s="123">
        <v>610000004247</v>
      </c>
      <c r="E2027" s="124" t="s">
        <v>2951</v>
      </c>
      <c r="F2027" s="124" t="s">
        <v>2945</v>
      </c>
      <c r="G2027" s="180" t="s">
        <v>2922</v>
      </c>
      <c r="H2027" s="180" t="s">
        <v>2952</v>
      </c>
      <c r="I2027" s="181">
        <v>60</v>
      </c>
    </row>
    <row r="2028" spans="1:9" x14ac:dyDescent="0.25">
      <c r="A2028" t="s">
        <v>180</v>
      </c>
      <c r="B2028" s="11" t="s">
        <v>2910</v>
      </c>
      <c r="C2028" s="12"/>
      <c r="D2028" s="123">
        <v>610000004247</v>
      </c>
      <c r="E2028" s="124" t="s">
        <v>2953</v>
      </c>
      <c r="F2028" s="124" t="s">
        <v>2945</v>
      </c>
      <c r="G2028" s="180" t="s">
        <v>2925</v>
      </c>
      <c r="H2028" s="180" t="s">
        <v>2954</v>
      </c>
      <c r="I2028" s="181">
        <v>60</v>
      </c>
    </row>
    <row r="2029" spans="1:9" x14ac:dyDescent="0.25">
      <c r="A2029" t="s">
        <v>180</v>
      </c>
      <c r="B2029" s="11" t="s">
        <v>2910</v>
      </c>
      <c r="C2029" s="12"/>
      <c r="D2029" s="123">
        <v>610000004247</v>
      </c>
      <c r="E2029" s="124" t="s">
        <v>2955</v>
      </c>
      <c r="F2029" s="124" t="s">
        <v>2945</v>
      </c>
      <c r="G2029" s="180" t="s">
        <v>2929</v>
      </c>
      <c r="H2029" s="180" t="s">
        <v>2956</v>
      </c>
      <c r="I2029" s="181">
        <v>60</v>
      </c>
    </row>
    <row r="2030" spans="1:9" x14ac:dyDescent="0.25">
      <c r="A2030" t="s">
        <v>180</v>
      </c>
      <c r="B2030" s="11" t="s">
        <v>2910</v>
      </c>
      <c r="C2030" s="12"/>
      <c r="D2030" s="103">
        <v>610000004248</v>
      </c>
      <c r="E2030" s="85" t="s">
        <v>2957</v>
      </c>
      <c r="F2030" s="85" t="s">
        <v>2958</v>
      </c>
      <c r="G2030" s="182" t="s">
        <v>2911</v>
      </c>
      <c r="H2030" s="182" t="s">
        <v>2959</v>
      </c>
      <c r="I2030" s="183">
        <v>60</v>
      </c>
    </row>
    <row r="2031" spans="1:9" x14ac:dyDescent="0.25">
      <c r="A2031" t="s">
        <v>180</v>
      </c>
      <c r="B2031" s="11" t="s">
        <v>2910</v>
      </c>
      <c r="C2031" s="12"/>
      <c r="D2031" s="100">
        <v>610000004248</v>
      </c>
      <c r="E2031" s="101" t="s">
        <v>2960</v>
      </c>
      <c r="F2031" s="101" t="s">
        <v>2958</v>
      </c>
      <c r="G2031" s="178" t="s">
        <v>454</v>
      </c>
      <c r="H2031" s="178" t="s">
        <v>2961</v>
      </c>
      <c r="I2031" s="179">
        <v>60</v>
      </c>
    </row>
    <row r="2032" spans="1:9" x14ac:dyDescent="0.25">
      <c r="A2032" t="s">
        <v>180</v>
      </c>
      <c r="B2032" s="11" t="s">
        <v>2910</v>
      </c>
      <c r="C2032" s="12"/>
      <c r="D2032" s="123">
        <v>610000004248</v>
      </c>
      <c r="E2032" s="124" t="s">
        <v>2962</v>
      </c>
      <c r="F2032" s="124" t="s">
        <v>2958</v>
      </c>
      <c r="G2032" s="180" t="s">
        <v>2919</v>
      </c>
      <c r="H2032" s="180" t="s">
        <v>2963</v>
      </c>
      <c r="I2032" s="181">
        <v>60</v>
      </c>
    </row>
    <row r="2033" spans="1:9" x14ac:dyDescent="0.25">
      <c r="A2033" t="s">
        <v>180</v>
      </c>
      <c r="B2033" s="11" t="s">
        <v>2910</v>
      </c>
      <c r="C2033" s="12"/>
      <c r="D2033" s="123">
        <v>610000004248</v>
      </c>
      <c r="E2033" s="124" t="s">
        <v>2964</v>
      </c>
      <c r="F2033" s="124" t="s">
        <v>2958</v>
      </c>
      <c r="G2033" s="180" t="s">
        <v>2922</v>
      </c>
      <c r="H2033" s="180" t="s">
        <v>2965</v>
      </c>
      <c r="I2033" s="181">
        <v>60</v>
      </c>
    </row>
    <row r="2034" spans="1:9" x14ac:dyDescent="0.25">
      <c r="A2034" t="s">
        <v>180</v>
      </c>
      <c r="B2034" s="11" t="s">
        <v>2910</v>
      </c>
      <c r="C2034" s="12"/>
      <c r="D2034" s="123">
        <v>610000004248</v>
      </c>
      <c r="E2034" s="124" t="s">
        <v>2966</v>
      </c>
      <c r="F2034" s="124" t="s">
        <v>2958</v>
      </c>
      <c r="G2034" s="180" t="s">
        <v>2925</v>
      </c>
      <c r="H2034" s="180" t="s">
        <v>2967</v>
      </c>
      <c r="I2034" s="181">
        <v>60</v>
      </c>
    </row>
    <row r="2035" spans="1:9" x14ac:dyDescent="0.25">
      <c r="A2035" t="s">
        <v>180</v>
      </c>
      <c r="B2035" s="11" t="s">
        <v>2910</v>
      </c>
      <c r="C2035" s="12"/>
      <c r="D2035" s="22">
        <v>610000004248</v>
      </c>
      <c r="E2035" s="23" t="s">
        <v>2968</v>
      </c>
      <c r="F2035" s="23" t="s">
        <v>2958</v>
      </c>
      <c r="G2035" s="24" t="s">
        <v>2929</v>
      </c>
      <c r="H2035" s="24" t="s">
        <v>2969</v>
      </c>
      <c r="I2035" s="23">
        <v>60</v>
      </c>
    </row>
    <row r="2036" spans="1:9" x14ac:dyDescent="0.25">
      <c r="A2036" t="s">
        <v>180</v>
      </c>
      <c r="B2036" s="11" t="s">
        <v>2910</v>
      </c>
      <c r="C2036" s="12"/>
      <c r="D2036" s="33">
        <v>610000004249</v>
      </c>
      <c r="E2036" s="34" t="s">
        <v>2970</v>
      </c>
      <c r="F2036" s="34" t="s">
        <v>2971</v>
      </c>
      <c r="G2036" s="26" t="s">
        <v>2911</v>
      </c>
      <c r="H2036" s="26" t="s">
        <v>2972</v>
      </c>
      <c r="I2036" s="34">
        <v>60</v>
      </c>
    </row>
    <row r="2037" spans="1:9" x14ac:dyDescent="0.25">
      <c r="A2037" t="s">
        <v>180</v>
      </c>
      <c r="B2037" s="11" t="s">
        <v>2910</v>
      </c>
      <c r="C2037" s="12"/>
      <c r="D2037" s="17">
        <v>610000004249</v>
      </c>
      <c r="E2037" s="18" t="s">
        <v>2973</v>
      </c>
      <c r="F2037" s="18" t="s">
        <v>2971</v>
      </c>
      <c r="G2037" s="19" t="s">
        <v>454</v>
      </c>
      <c r="H2037" s="19" t="s">
        <v>2974</v>
      </c>
      <c r="I2037" s="18">
        <v>60</v>
      </c>
    </row>
    <row r="2038" spans="1:9" x14ac:dyDescent="0.25">
      <c r="A2038" t="s">
        <v>180</v>
      </c>
      <c r="B2038" s="11" t="s">
        <v>2910</v>
      </c>
      <c r="C2038" s="12"/>
      <c r="D2038" s="17">
        <v>610000004249</v>
      </c>
      <c r="E2038" s="18" t="s">
        <v>2975</v>
      </c>
      <c r="F2038" s="18" t="s">
        <v>2971</v>
      </c>
      <c r="G2038" s="19" t="s">
        <v>2919</v>
      </c>
      <c r="H2038" s="19" t="s">
        <v>2976</v>
      </c>
      <c r="I2038" s="18">
        <v>60</v>
      </c>
    </row>
    <row r="2039" spans="1:9" x14ac:dyDescent="0.25">
      <c r="A2039" t="s">
        <v>180</v>
      </c>
      <c r="B2039" s="11" t="s">
        <v>2910</v>
      </c>
      <c r="C2039" s="12"/>
      <c r="D2039" s="17">
        <v>610000004249</v>
      </c>
      <c r="E2039" s="18" t="s">
        <v>2977</v>
      </c>
      <c r="F2039" s="18" t="s">
        <v>2971</v>
      </c>
      <c r="G2039" s="19" t="s">
        <v>2922</v>
      </c>
      <c r="H2039" s="19" t="s">
        <v>2978</v>
      </c>
      <c r="I2039" s="18">
        <v>60</v>
      </c>
    </row>
    <row r="2040" spans="1:9" x14ac:dyDescent="0.25">
      <c r="A2040" t="s">
        <v>180</v>
      </c>
      <c r="B2040" s="11" t="s">
        <v>2910</v>
      </c>
      <c r="C2040" s="12"/>
      <c r="D2040" s="17">
        <v>610000004249</v>
      </c>
      <c r="E2040" s="18" t="s">
        <v>2979</v>
      </c>
      <c r="F2040" s="18" t="s">
        <v>2971</v>
      </c>
      <c r="G2040" s="19" t="s">
        <v>2925</v>
      </c>
      <c r="H2040" s="19" t="s">
        <v>2980</v>
      </c>
      <c r="I2040" s="18">
        <v>60</v>
      </c>
    </row>
    <row r="2041" spans="1:9" x14ac:dyDescent="0.25">
      <c r="A2041" t="s">
        <v>180</v>
      </c>
      <c r="B2041" s="11" t="s">
        <v>2910</v>
      </c>
      <c r="C2041" s="12"/>
      <c r="D2041" s="22">
        <v>610000004249</v>
      </c>
      <c r="E2041" s="23" t="s">
        <v>2981</v>
      </c>
      <c r="F2041" s="23" t="s">
        <v>2971</v>
      </c>
      <c r="G2041" s="24" t="s">
        <v>2929</v>
      </c>
      <c r="H2041" s="24" t="s">
        <v>2982</v>
      </c>
      <c r="I2041" s="23">
        <v>60</v>
      </c>
    </row>
    <row r="2042" spans="1:9" x14ac:dyDescent="0.25">
      <c r="A2042" t="s">
        <v>180</v>
      </c>
      <c r="B2042" s="11" t="s">
        <v>2910</v>
      </c>
      <c r="C2042" s="12"/>
      <c r="D2042" s="13">
        <v>610000004250</v>
      </c>
      <c r="E2042" s="14" t="s">
        <v>2983</v>
      </c>
      <c r="F2042" s="14" t="s">
        <v>2984</v>
      </c>
      <c r="G2042" s="15" t="s">
        <v>2985</v>
      </c>
      <c r="H2042" s="15" t="s">
        <v>2986</v>
      </c>
      <c r="I2042" s="14">
        <v>90</v>
      </c>
    </row>
    <row r="2043" spans="1:9" x14ac:dyDescent="0.25">
      <c r="A2043" t="s">
        <v>180</v>
      </c>
      <c r="B2043" s="11" t="s">
        <v>2910</v>
      </c>
      <c r="C2043" s="12"/>
      <c r="D2043" s="17">
        <v>610000004250</v>
      </c>
      <c r="E2043" s="18" t="s">
        <v>2987</v>
      </c>
      <c r="F2043" s="18" t="s">
        <v>2984</v>
      </c>
      <c r="G2043" s="19" t="s">
        <v>454</v>
      </c>
      <c r="H2043" s="19" t="s">
        <v>2988</v>
      </c>
      <c r="I2043" s="18">
        <v>90</v>
      </c>
    </row>
    <row r="2044" spans="1:9" x14ac:dyDescent="0.25">
      <c r="A2044" t="s">
        <v>180</v>
      </c>
      <c r="B2044" s="11" t="s">
        <v>2910</v>
      </c>
      <c r="C2044" s="12"/>
      <c r="D2044" s="123">
        <v>610000004250</v>
      </c>
      <c r="E2044" s="124" t="s">
        <v>2989</v>
      </c>
      <c r="F2044" s="124" t="s">
        <v>2984</v>
      </c>
      <c r="G2044" s="180" t="s">
        <v>2919</v>
      </c>
      <c r="H2044" s="180" t="s">
        <v>2990</v>
      </c>
      <c r="I2044" s="181">
        <v>90</v>
      </c>
    </row>
    <row r="2045" spans="1:9" x14ac:dyDescent="0.25">
      <c r="A2045" t="s">
        <v>180</v>
      </c>
      <c r="B2045" s="11" t="s">
        <v>2910</v>
      </c>
      <c r="C2045" s="12"/>
      <c r="D2045" s="123">
        <v>610000004250</v>
      </c>
      <c r="E2045" s="124" t="s">
        <v>2991</v>
      </c>
      <c r="F2045" s="124" t="s">
        <v>2984</v>
      </c>
      <c r="G2045" s="180" t="s">
        <v>2922</v>
      </c>
      <c r="H2045" s="180" t="s">
        <v>2992</v>
      </c>
      <c r="I2045" s="181">
        <v>90</v>
      </c>
    </row>
    <row r="2046" spans="1:9" x14ac:dyDescent="0.25">
      <c r="A2046" t="s">
        <v>180</v>
      </c>
      <c r="B2046" s="11" t="s">
        <v>2910</v>
      </c>
      <c r="C2046" s="12"/>
      <c r="D2046" s="123">
        <v>610000004250</v>
      </c>
      <c r="E2046" s="124" t="s">
        <v>2993</v>
      </c>
      <c r="F2046" s="124" t="s">
        <v>2984</v>
      </c>
      <c r="G2046" s="180" t="s">
        <v>2925</v>
      </c>
      <c r="H2046" s="180" t="s">
        <v>2994</v>
      </c>
      <c r="I2046" s="181">
        <v>90</v>
      </c>
    </row>
    <row r="2047" spans="1:9" ht="15.75" thickBot="1" x14ac:dyDescent="0.3">
      <c r="A2047" t="s">
        <v>180</v>
      </c>
      <c r="B2047" s="11" t="s">
        <v>2910</v>
      </c>
      <c r="C2047" s="27"/>
      <c r="D2047" s="147">
        <v>610000004250</v>
      </c>
      <c r="E2047" s="148" t="s">
        <v>2995</v>
      </c>
      <c r="F2047" s="148" t="s">
        <v>2984</v>
      </c>
      <c r="G2047" s="189" t="s">
        <v>2929</v>
      </c>
      <c r="H2047" s="189" t="s">
        <v>2996</v>
      </c>
      <c r="I2047" s="190">
        <v>90</v>
      </c>
    </row>
    <row r="2048" spans="1:9" x14ac:dyDescent="0.25">
      <c r="A2048" t="s">
        <v>180</v>
      </c>
      <c r="B2048" s="4" t="s">
        <v>2997</v>
      </c>
      <c r="C2048" s="5"/>
      <c r="D2048" s="123">
        <v>610000004477</v>
      </c>
      <c r="E2048" s="123"/>
      <c r="F2048" s="124" t="s">
        <v>2998</v>
      </c>
      <c r="G2048" s="107" t="s">
        <v>17</v>
      </c>
      <c r="H2048" s="107" t="s">
        <v>2999</v>
      </c>
      <c r="I2048" s="124">
        <v>15</v>
      </c>
    </row>
    <row r="2049" spans="1:9" x14ac:dyDescent="0.25">
      <c r="A2049" t="s">
        <v>180</v>
      </c>
      <c r="B2049" s="4" t="s">
        <v>2997</v>
      </c>
      <c r="C2049" s="12"/>
      <c r="D2049" s="140">
        <v>610000004478</v>
      </c>
      <c r="E2049" s="140"/>
      <c r="F2049" s="141" t="s">
        <v>3000</v>
      </c>
      <c r="G2049" s="142" t="s">
        <v>15</v>
      </c>
      <c r="H2049" s="102" t="s">
        <v>22</v>
      </c>
      <c r="I2049" s="141">
        <v>30</v>
      </c>
    </row>
    <row r="2050" spans="1:9" x14ac:dyDescent="0.25">
      <c r="A2050" t="s">
        <v>180</v>
      </c>
      <c r="B2050" s="4" t="s">
        <v>2997</v>
      </c>
      <c r="C2050" s="12"/>
      <c r="D2050" s="104">
        <v>610000004478</v>
      </c>
      <c r="E2050" s="104"/>
      <c r="F2050" s="105" t="s">
        <v>3000</v>
      </c>
      <c r="G2050" s="106" t="s">
        <v>17</v>
      </c>
      <c r="H2050" s="106" t="s">
        <v>24</v>
      </c>
      <c r="I2050" s="105">
        <v>30</v>
      </c>
    </row>
    <row r="2051" spans="1:9" x14ac:dyDescent="0.25">
      <c r="A2051" t="s">
        <v>180</v>
      </c>
      <c r="B2051" s="4" t="s">
        <v>2997</v>
      </c>
      <c r="C2051" s="12"/>
      <c r="D2051" s="104">
        <v>610000004478</v>
      </c>
      <c r="E2051" s="104"/>
      <c r="F2051" s="105" t="s">
        <v>3000</v>
      </c>
      <c r="G2051" s="106" t="s">
        <v>23</v>
      </c>
      <c r="H2051" s="106" t="s">
        <v>26</v>
      </c>
      <c r="I2051" s="105">
        <v>30</v>
      </c>
    </row>
    <row r="2052" spans="1:9" x14ac:dyDescent="0.25">
      <c r="A2052" t="s">
        <v>180</v>
      </c>
      <c r="B2052" s="4" t="s">
        <v>2997</v>
      </c>
      <c r="C2052" s="12"/>
      <c r="D2052" s="104">
        <v>610000004478</v>
      </c>
      <c r="E2052" s="104"/>
      <c r="F2052" s="105" t="s">
        <v>3000</v>
      </c>
      <c r="G2052" s="106" t="s">
        <v>3001</v>
      </c>
      <c r="H2052" s="106" t="s">
        <v>3002</v>
      </c>
      <c r="I2052" s="105">
        <v>30</v>
      </c>
    </row>
    <row r="2053" spans="1:9" x14ac:dyDescent="0.25">
      <c r="A2053" t="s">
        <v>180</v>
      </c>
      <c r="B2053" s="4" t="s">
        <v>2997</v>
      </c>
      <c r="C2053" s="12"/>
      <c r="D2053" s="104">
        <v>610000004478</v>
      </c>
      <c r="E2053" s="104"/>
      <c r="F2053" s="105" t="s">
        <v>3000</v>
      </c>
      <c r="G2053" s="106" t="s">
        <v>25</v>
      </c>
      <c r="H2053" s="106" t="s">
        <v>28</v>
      </c>
      <c r="I2053" s="105">
        <v>30</v>
      </c>
    </row>
    <row r="2054" spans="1:9" x14ac:dyDescent="0.25">
      <c r="A2054" t="s">
        <v>180</v>
      </c>
      <c r="B2054" s="4" t="s">
        <v>2997</v>
      </c>
      <c r="C2054" s="12"/>
      <c r="D2054" s="104">
        <v>610000004478</v>
      </c>
      <c r="E2054" s="104"/>
      <c r="F2054" s="105" t="s">
        <v>3000</v>
      </c>
      <c r="G2054" s="106" t="s">
        <v>27</v>
      </c>
      <c r="H2054" s="106" t="s">
        <v>30</v>
      </c>
      <c r="I2054" s="105">
        <v>30</v>
      </c>
    </row>
    <row r="2055" spans="1:9" x14ac:dyDescent="0.25">
      <c r="A2055" t="s">
        <v>180</v>
      </c>
      <c r="B2055" s="4" t="s">
        <v>2997</v>
      </c>
      <c r="C2055" s="12"/>
      <c r="D2055" s="104">
        <v>610000004478</v>
      </c>
      <c r="E2055" s="104"/>
      <c r="F2055" s="105" t="s">
        <v>3000</v>
      </c>
      <c r="G2055" s="106" t="s">
        <v>3003</v>
      </c>
      <c r="H2055" s="106" t="s">
        <v>3005</v>
      </c>
      <c r="I2055" s="105">
        <v>30</v>
      </c>
    </row>
    <row r="2056" spans="1:9" x14ac:dyDescent="0.25">
      <c r="A2056" t="s">
        <v>180</v>
      </c>
      <c r="B2056" s="4" t="s">
        <v>2997</v>
      </c>
      <c r="C2056" s="12"/>
      <c r="D2056" s="104">
        <v>610000004478</v>
      </c>
      <c r="E2056" s="104"/>
      <c r="F2056" s="105" t="s">
        <v>3000</v>
      </c>
      <c r="G2056" s="106" t="s">
        <v>3004</v>
      </c>
      <c r="H2056" s="106" t="s">
        <v>3006</v>
      </c>
      <c r="I2056" s="105">
        <v>30</v>
      </c>
    </row>
    <row r="2057" spans="1:9" x14ac:dyDescent="0.25">
      <c r="A2057" t="s">
        <v>180</v>
      </c>
      <c r="B2057" s="4" t="s">
        <v>2997</v>
      </c>
      <c r="C2057" s="177"/>
      <c r="D2057" s="104">
        <v>610000004478</v>
      </c>
      <c r="E2057" s="104"/>
      <c r="F2057" s="105" t="s">
        <v>3000</v>
      </c>
      <c r="G2057" s="106" t="s">
        <v>29</v>
      </c>
      <c r="H2057" s="106" t="s">
        <v>31</v>
      </c>
      <c r="I2057" s="105">
        <v>30</v>
      </c>
    </row>
    <row r="2058" spans="1:9" x14ac:dyDescent="0.25">
      <c r="A2058" t="s">
        <v>180</v>
      </c>
      <c r="B2058" s="4" t="s">
        <v>2997</v>
      </c>
      <c r="C2058" s="12"/>
      <c r="D2058" s="104">
        <v>610000004478</v>
      </c>
      <c r="E2058" s="104"/>
      <c r="F2058" s="105" t="s">
        <v>3000</v>
      </c>
      <c r="G2058" s="106" t="s">
        <v>15</v>
      </c>
      <c r="H2058" s="106" t="s">
        <v>41</v>
      </c>
      <c r="I2058" s="105">
        <v>30</v>
      </c>
    </row>
    <row r="2059" spans="1:9" x14ac:dyDescent="0.25">
      <c r="A2059" t="s">
        <v>180</v>
      </c>
      <c r="B2059" s="4" t="s">
        <v>2997</v>
      </c>
      <c r="C2059" s="12"/>
      <c r="D2059" s="104">
        <v>610000004478</v>
      </c>
      <c r="E2059" s="104"/>
      <c r="F2059" s="105" t="s">
        <v>3000</v>
      </c>
      <c r="G2059" s="106" t="s">
        <v>17</v>
      </c>
      <c r="H2059" s="106" t="s">
        <v>42</v>
      </c>
      <c r="I2059" s="105">
        <v>30</v>
      </c>
    </row>
    <row r="2060" spans="1:9" x14ac:dyDescent="0.25">
      <c r="A2060" t="s">
        <v>180</v>
      </c>
      <c r="B2060" s="4" t="s">
        <v>2997</v>
      </c>
      <c r="C2060" s="12"/>
      <c r="D2060" s="104">
        <v>610000004478</v>
      </c>
      <c r="E2060" s="104"/>
      <c r="F2060" s="105" t="s">
        <v>3000</v>
      </c>
      <c r="G2060" s="106" t="s">
        <v>23</v>
      </c>
      <c r="H2060" s="106" t="s">
        <v>43</v>
      </c>
      <c r="I2060" s="105">
        <v>30</v>
      </c>
    </row>
    <row r="2061" spans="1:9" x14ac:dyDescent="0.25">
      <c r="A2061" t="s">
        <v>180</v>
      </c>
      <c r="B2061" s="4" t="s">
        <v>2997</v>
      </c>
      <c r="C2061" s="12"/>
      <c r="D2061" s="104">
        <v>610000004478</v>
      </c>
      <c r="E2061" s="104"/>
      <c r="F2061" s="105" t="s">
        <v>3000</v>
      </c>
      <c r="G2061" s="106" t="s">
        <v>3001</v>
      </c>
      <c r="H2061" s="106" t="s">
        <v>3007</v>
      </c>
      <c r="I2061" s="105">
        <v>30</v>
      </c>
    </row>
    <row r="2062" spans="1:9" x14ac:dyDescent="0.25">
      <c r="A2062" t="s">
        <v>180</v>
      </c>
      <c r="B2062" s="4" t="s">
        <v>2997</v>
      </c>
      <c r="C2062" s="12"/>
      <c r="D2062" s="104">
        <v>610000004478</v>
      </c>
      <c r="E2062" s="104"/>
      <c r="F2062" s="105" t="s">
        <v>3000</v>
      </c>
      <c r="G2062" s="106" t="s">
        <v>25</v>
      </c>
      <c r="H2062" s="106" t="s">
        <v>44</v>
      </c>
      <c r="I2062" s="105">
        <v>30</v>
      </c>
    </row>
    <row r="2063" spans="1:9" x14ac:dyDescent="0.25">
      <c r="A2063" t="s">
        <v>180</v>
      </c>
      <c r="B2063" s="4" t="s">
        <v>2997</v>
      </c>
      <c r="C2063" s="12"/>
      <c r="D2063" s="104">
        <v>610000004478</v>
      </c>
      <c r="E2063" s="104"/>
      <c r="F2063" s="105" t="s">
        <v>3000</v>
      </c>
      <c r="G2063" s="106" t="s">
        <v>27</v>
      </c>
      <c r="H2063" s="106" t="s">
        <v>45</v>
      </c>
      <c r="I2063" s="105">
        <v>30</v>
      </c>
    </row>
    <row r="2064" spans="1:9" x14ac:dyDescent="0.25">
      <c r="A2064" t="s">
        <v>180</v>
      </c>
      <c r="B2064" s="4" t="s">
        <v>2997</v>
      </c>
      <c r="C2064" s="12"/>
      <c r="D2064" s="104">
        <v>610000004478</v>
      </c>
      <c r="E2064" s="104"/>
      <c r="F2064" s="105" t="s">
        <v>3000</v>
      </c>
      <c r="G2064" s="106" t="s">
        <v>3003</v>
      </c>
      <c r="H2064" s="106" t="s">
        <v>3008</v>
      </c>
      <c r="I2064" s="105">
        <v>30</v>
      </c>
    </row>
    <row r="2065" spans="1:9" x14ac:dyDescent="0.25">
      <c r="A2065" t="s">
        <v>180</v>
      </c>
      <c r="B2065" s="4" t="s">
        <v>2997</v>
      </c>
      <c r="C2065" s="12"/>
      <c r="D2065" s="104">
        <v>610000004478</v>
      </c>
      <c r="E2065" s="104"/>
      <c r="F2065" s="105" t="s">
        <v>3000</v>
      </c>
      <c r="G2065" s="106" t="s">
        <v>3004</v>
      </c>
      <c r="H2065" s="106" t="s">
        <v>3009</v>
      </c>
      <c r="I2065" s="105">
        <v>30</v>
      </c>
    </row>
    <row r="2066" spans="1:9" x14ac:dyDescent="0.25">
      <c r="A2066" t="s">
        <v>180</v>
      </c>
      <c r="B2066" s="4" t="s">
        <v>2997</v>
      </c>
      <c r="C2066" s="12"/>
      <c r="D2066" s="103">
        <v>610000004478</v>
      </c>
      <c r="E2066" s="103"/>
      <c r="F2066" s="85" t="s">
        <v>3000</v>
      </c>
      <c r="G2066" s="84" t="s">
        <v>29</v>
      </c>
      <c r="H2066" s="84" t="s">
        <v>46</v>
      </c>
      <c r="I2066" s="85">
        <v>30</v>
      </c>
    </row>
    <row r="2067" spans="1:9" x14ac:dyDescent="0.25">
      <c r="A2067" t="s">
        <v>180</v>
      </c>
      <c r="B2067" s="4" t="s">
        <v>2997</v>
      </c>
      <c r="C2067" s="12"/>
      <c r="D2067" s="140">
        <v>610000004479</v>
      </c>
      <c r="E2067" s="140"/>
      <c r="F2067" s="141" t="s">
        <v>3010</v>
      </c>
      <c r="G2067" s="142" t="s">
        <v>15</v>
      </c>
      <c r="H2067" s="102" t="s">
        <v>33</v>
      </c>
      <c r="I2067" s="141">
        <v>60</v>
      </c>
    </row>
    <row r="2068" spans="1:9" x14ac:dyDescent="0.25">
      <c r="A2068" t="s">
        <v>180</v>
      </c>
      <c r="B2068" s="4" t="s">
        <v>2997</v>
      </c>
      <c r="C2068" s="12"/>
      <c r="D2068" s="104">
        <v>610000004479</v>
      </c>
      <c r="E2068" s="104"/>
      <c r="F2068" s="105" t="s">
        <v>3010</v>
      </c>
      <c r="G2068" s="106" t="s">
        <v>17</v>
      </c>
      <c r="H2068" s="106" t="s">
        <v>35</v>
      </c>
      <c r="I2068" s="105">
        <v>60</v>
      </c>
    </row>
    <row r="2069" spans="1:9" x14ac:dyDescent="0.25">
      <c r="A2069" t="s">
        <v>180</v>
      </c>
      <c r="B2069" s="4" t="s">
        <v>2997</v>
      </c>
      <c r="C2069" s="12"/>
      <c r="D2069" s="104">
        <v>610000004479</v>
      </c>
      <c r="E2069" s="104"/>
      <c r="F2069" s="105" t="s">
        <v>3010</v>
      </c>
      <c r="G2069" s="106" t="s">
        <v>23</v>
      </c>
      <c r="H2069" s="106" t="s">
        <v>36</v>
      </c>
      <c r="I2069" s="105">
        <v>60</v>
      </c>
    </row>
    <row r="2070" spans="1:9" x14ac:dyDescent="0.25">
      <c r="A2070" t="s">
        <v>180</v>
      </c>
      <c r="B2070" s="4" t="s">
        <v>2997</v>
      </c>
      <c r="C2070" s="12"/>
      <c r="D2070" s="104">
        <v>610000004479</v>
      </c>
      <c r="E2070" s="104"/>
      <c r="F2070" s="105" t="s">
        <v>3010</v>
      </c>
      <c r="G2070" s="106" t="s">
        <v>3001</v>
      </c>
      <c r="H2070" s="106" t="s">
        <v>3011</v>
      </c>
      <c r="I2070" s="105">
        <v>60</v>
      </c>
    </row>
    <row r="2071" spans="1:9" x14ac:dyDescent="0.25">
      <c r="A2071" t="s">
        <v>180</v>
      </c>
      <c r="B2071" s="4" t="s">
        <v>2997</v>
      </c>
      <c r="C2071" s="12"/>
      <c r="D2071" s="104">
        <v>610000004479</v>
      </c>
      <c r="E2071" s="104"/>
      <c r="F2071" s="105" t="s">
        <v>3010</v>
      </c>
      <c r="G2071" s="106" t="s">
        <v>25</v>
      </c>
      <c r="H2071" s="106" t="s">
        <v>37</v>
      </c>
      <c r="I2071" s="105">
        <v>60</v>
      </c>
    </row>
    <row r="2072" spans="1:9" x14ac:dyDescent="0.25">
      <c r="A2072" t="s">
        <v>180</v>
      </c>
      <c r="B2072" s="4" t="s">
        <v>2997</v>
      </c>
      <c r="C2072" s="12"/>
      <c r="D2072" s="104">
        <v>610000004479</v>
      </c>
      <c r="E2072" s="104"/>
      <c r="F2072" s="105" t="s">
        <v>3010</v>
      </c>
      <c r="G2072" s="106" t="s">
        <v>27</v>
      </c>
      <c r="H2072" s="106" t="s">
        <v>3012</v>
      </c>
      <c r="I2072" s="105">
        <v>60</v>
      </c>
    </row>
    <row r="2073" spans="1:9" x14ac:dyDescent="0.25">
      <c r="A2073" t="s">
        <v>180</v>
      </c>
      <c r="B2073" s="4" t="s">
        <v>2997</v>
      </c>
      <c r="C2073" s="12"/>
      <c r="D2073" s="104">
        <v>610000004479</v>
      </c>
      <c r="E2073" s="104"/>
      <c r="F2073" s="105" t="s">
        <v>3010</v>
      </c>
      <c r="G2073" s="106" t="s">
        <v>3003</v>
      </c>
      <c r="H2073" s="106" t="s">
        <v>3013</v>
      </c>
      <c r="I2073" s="105">
        <v>60</v>
      </c>
    </row>
    <row r="2074" spans="1:9" x14ac:dyDescent="0.25">
      <c r="A2074" t="s">
        <v>180</v>
      </c>
      <c r="B2074" s="4" t="s">
        <v>2997</v>
      </c>
      <c r="C2074" s="12"/>
      <c r="D2074" s="104">
        <v>610000004479</v>
      </c>
      <c r="E2074" s="104"/>
      <c r="F2074" s="105" t="s">
        <v>3010</v>
      </c>
      <c r="G2074" s="106" t="s">
        <v>3004</v>
      </c>
      <c r="H2074" s="106" t="s">
        <v>3014</v>
      </c>
      <c r="I2074" s="105">
        <v>60</v>
      </c>
    </row>
    <row r="2075" spans="1:9" ht="15.75" thickBot="1" x14ac:dyDescent="0.3">
      <c r="A2075" t="s">
        <v>180</v>
      </c>
      <c r="B2075" s="4" t="s">
        <v>2997</v>
      </c>
      <c r="C2075" s="27"/>
      <c r="D2075" s="147">
        <v>610000004479</v>
      </c>
      <c r="E2075" s="147"/>
      <c r="F2075" s="148" t="s">
        <v>3010</v>
      </c>
      <c r="G2075" s="149" t="s">
        <v>29</v>
      </c>
      <c r="H2075" s="149" t="s">
        <v>39</v>
      </c>
      <c r="I2075" s="148">
        <v>60</v>
      </c>
    </row>
    <row r="2076" spans="1:9" x14ac:dyDescent="0.25">
      <c r="A2076" t="s">
        <v>180</v>
      </c>
      <c r="B2076" s="11" t="s">
        <v>3015</v>
      </c>
      <c r="C2076" s="12"/>
      <c r="D2076" s="100">
        <v>610000004481</v>
      </c>
      <c r="E2076" s="100"/>
      <c r="F2076" s="101" t="s">
        <v>3016</v>
      </c>
      <c r="G2076" s="102" t="s">
        <v>3017</v>
      </c>
      <c r="H2076" s="102" t="s">
        <v>60</v>
      </c>
      <c r="I2076" s="101">
        <v>15</v>
      </c>
    </row>
    <row r="2077" spans="1:9" x14ac:dyDescent="0.25">
      <c r="A2077" t="s">
        <v>180</v>
      </c>
      <c r="B2077" s="11" t="s">
        <v>3015</v>
      </c>
      <c r="C2077" s="12"/>
      <c r="D2077" s="103">
        <v>610000004481</v>
      </c>
      <c r="E2077" s="103"/>
      <c r="F2077" s="85" t="s">
        <v>3016</v>
      </c>
      <c r="G2077" s="84" t="s">
        <v>3017</v>
      </c>
      <c r="H2077" s="84" t="s">
        <v>62</v>
      </c>
      <c r="I2077" s="85">
        <v>15</v>
      </c>
    </row>
    <row r="2078" spans="1:9" x14ac:dyDescent="0.25">
      <c r="A2078" t="s">
        <v>180</v>
      </c>
      <c r="B2078" s="11" t="s">
        <v>3015</v>
      </c>
      <c r="C2078" s="12"/>
      <c r="D2078" s="160">
        <v>610000004483</v>
      </c>
      <c r="E2078" s="160"/>
      <c r="F2078" s="82" t="s">
        <v>3018</v>
      </c>
      <c r="G2078" s="81" t="s">
        <v>3017</v>
      </c>
      <c r="H2078" s="81" t="s">
        <v>64</v>
      </c>
      <c r="I2078" s="82">
        <v>30</v>
      </c>
    </row>
    <row r="2079" spans="1:9" x14ac:dyDescent="0.25">
      <c r="A2079" t="s">
        <v>180</v>
      </c>
      <c r="B2079" s="11" t="s">
        <v>3015</v>
      </c>
      <c r="C2079" s="12"/>
      <c r="D2079" s="104">
        <v>610000004484</v>
      </c>
      <c r="E2079" s="104"/>
      <c r="F2079" s="105" t="s">
        <v>3019</v>
      </c>
      <c r="G2079" s="106" t="s">
        <v>48</v>
      </c>
      <c r="H2079" s="106" t="s">
        <v>67</v>
      </c>
      <c r="I2079" s="105">
        <v>30</v>
      </c>
    </row>
    <row r="2080" spans="1:9" x14ac:dyDescent="0.25">
      <c r="A2080" t="s">
        <v>180</v>
      </c>
      <c r="B2080" s="11" t="s">
        <v>3015</v>
      </c>
      <c r="C2080" s="12"/>
      <c r="D2080" s="104">
        <v>610000004484</v>
      </c>
      <c r="E2080" s="104"/>
      <c r="F2080" s="105" t="s">
        <v>3019</v>
      </c>
      <c r="G2080" s="106" t="s">
        <v>51</v>
      </c>
      <c r="H2080" s="106" t="s">
        <v>69</v>
      </c>
      <c r="I2080" s="105">
        <v>30</v>
      </c>
    </row>
    <row r="2081" spans="1:9" x14ac:dyDescent="0.25">
      <c r="A2081" t="s">
        <v>180</v>
      </c>
      <c r="B2081" s="11" t="s">
        <v>3015</v>
      </c>
      <c r="C2081" s="12"/>
      <c r="D2081" s="104">
        <v>610000004484</v>
      </c>
      <c r="E2081" s="104"/>
      <c r="F2081" s="105" t="s">
        <v>3019</v>
      </c>
      <c r="G2081" s="106" t="s">
        <v>53</v>
      </c>
      <c r="H2081" s="106" t="s">
        <v>70</v>
      </c>
      <c r="I2081" s="105">
        <v>30</v>
      </c>
    </row>
    <row r="2082" spans="1:9" x14ac:dyDescent="0.25">
      <c r="A2082" t="s">
        <v>180</v>
      </c>
      <c r="B2082" s="11" t="s">
        <v>3015</v>
      </c>
      <c r="C2082" s="12"/>
      <c r="D2082" s="104">
        <v>610000004484</v>
      </c>
      <c r="E2082" s="104"/>
      <c r="F2082" s="105" t="s">
        <v>3019</v>
      </c>
      <c r="G2082" s="106" t="s">
        <v>55</v>
      </c>
      <c r="H2082" s="106" t="s">
        <v>72</v>
      </c>
      <c r="I2082" s="105">
        <v>30</v>
      </c>
    </row>
    <row r="2083" spans="1:9" x14ac:dyDescent="0.25">
      <c r="A2083" t="s">
        <v>180</v>
      </c>
      <c r="B2083" s="11" t="s">
        <v>3015</v>
      </c>
      <c r="C2083" s="12"/>
      <c r="D2083" s="104">
        <v>610000004484</v>
      </c>
      <c r="E2083" s="104"/>
      <c r="F2083" s="105" t="s">
        <v>3019</v>
      </c>
      <c r="G2083" s="106" t="s">
        <v>3020</v>
      </c>
      <c r="H2083" s="106" t="s">
        <v>3024</v>
      </c>
      <c r="I2083" s="105">
        <v>30</v>
      </c>
    </row>
    <row r="2084" spans="1:9" x14ac:dyDescent="0.25">
      <c r="A2084" t="s">
        <v>180</v>
      </c>
      <c r="B2084" s="11" t="s">
        <v>3015</v>
      </c>
      <c r="C2084" s="12"/>
      <c r="D2084" s="104">
        <v>610000004484</v>
      </c>
      <c r="E2084" s="104"/>
      <c r="F2084" s="105" t="s">
        <v>3019</v>
      </c>
      <c r="G2084" s="106" t="s">
        <v>3021</v>
      </c>
      <c r="H2084" s="106" t="s">
        <v>3026</v>
      </c>
      <c r="I2084" s="105">
        <v>30</v>
      </c>
    </row>
    <row r="2085" spans="1:9" x14ac:dyDescent="0.25">
      <c r="A2085" t="s">
        <v>180</v>
      </c>
      <c r="B2085" s="11" t="s">
        <v>3015</v>
      </c>
      <c r="C2085" s="12"/>
      <c r="D2085" s="104">
        <v>610000004484</v>
      </c>
      <c r="E2085" s="104"/>
      <c r="F2085" s="105" t="s">
        <v>3019</v>
      </c>
      <c r="G2085" s="106" t="s">
        <v>3022</v>
      </c>
      <c r="H2085" s="106" t="s">
        <v>3028</v>
      </c>
      <c r="I2085" s="105">
        <v>30</v>
      </c>
    </row>
    <row r="2086" spans="1:9" x14ac:dyDescent="0.25">
      <c r="A2086" t="s">
        <v>180</v>
      </c>
      <c r="B2086" s="11" t="s">
        <v>3015</v>
      </c>
      <c r="C2086" s="12"/>
      <c r="D2086" s="104">
        <v>610000004484</v>
      </c>
      <c r="E2086" s="104"/>
      <c r="F2086" s="105" t="s">
        <v>3019</v>
      </c>
      <c r="G2086" s="106" t="s">
        <v>3023</v>
      </c>
      <c r="H2086" s="106" t="s">
        <v>3029</v>
      </c>
      <c r="I2086" s="105">
        <v>30</v>
      </c>
    </row>
    <row r="2087" spans="1:9" x14ac:dyDescent="0.25">
      <c r="A2087" t="s">
        <v>180</v>
      </c>
      <c r="B2087" s="11" t="s">
        <v>3015</v>
      </c>
      <c r="C2087" s="12"/>
      <c r="D2087" s="104">
        <v>610000004484</v>
      </c>
      <c r="E2087" s="104"/>
      <c r="F2087" s="105" t="s">
        <v>3019</v>
      </c>
      <c r="G2087" s="106" t="s">
        <v>3025</v>
      </c>
      <c r="H2087" s="106" t="s">
        <v>3030</v>
      </c>
      <c r="I2087" s="105">
        <v>30</v>
      </c>
    </row>
    <row r="2088" spans="1:9" x14ac:dyDescent="0.25">
      <c r="A2088" t="s">
        <v>180</v>
      </c>
      <c r="B2088" s="11" t="s">
        <v>3015</v>
      </c>
      <c r="C2088" s="12"/>
      <c r="D2088" s="104">
        <v>610000004484</v>
      </c>
      <c r="E2088" s="104"/>
      <c r="F2088" s="105" t="s">
        <v>3019</v>
      </c>
      <c r="G2088" s="106" t="s">
        <v>3027</v>
      </c>
      <c r="H2088" s="106" t="s">
        <v>3031</v>
      </c>
      <c r="I2088" s="105">
        <v>30</v>
      </c>
    </row>
    <row r="2089" spans="1:9" x14ac:dyDescent="0.25">
      <c r="A2089" t="s">
        <v>180</v>
      </c>
      <c r="B2089" s="11" t="s">
        <v>3015</v>
      </c>
      <c r="C2089" s="12"/>
      <c r="D2089" s="104">
        <v>610000004484</v>
      </c>
      <c r="E2089" s="104"/>
      <c r="F2089" s="105" t="s">
        <v>3019</v>
      </c>
      <c r="G2089" s="106" t="s">
        <v>3017</v>
      </c>
      <c r="H2089" s="106" t="s">
        <v>3032</v>
      </c>
      <c r="I2089" s="105">
        <v>30</v>
      </c>
    </row>
    <row r="2090" spans="1:9" x14ac:dyDescent="0.25">
      <c r="A2090" t="s">
        <v>180</v>
      </c>
      <c r="B2090" s="11" t="s">
        <v>3015</v>
      </c>
      <c r="C2090" s="12"/>
      <c r="D2090" s="104">
        <v>610000004484</v>
      </c>
      <c r="E2090" s="104"/>
      <c r="F2090" s="105" t="s">
        <v>3019</v>
      </c>
      <c r="G2090" s="106" t="s">
        <v>562</v>
      </c>
      <c r="H2090" s="106" t="s">
        <v>563</v>
      </c>
      <c r="I2090" s="105">
        <v>30</v>
      </c>
    </row>
    <row r="2091" spans="1:9" x14ac:dyDescent="0.25">
      <c r="A2091" t="s">
        <v>180</v>
      </c>
      <c r="B2091" s="11" t="s">
        <v>3015</v>
      </c>
      <c r="C2091" s="12"/>
      <c r="D2091" s="104">
        <v>610000004484</v>
      </c>
      <c r="E2091" s="104"/>
      <c r="F2091" s="105" t="s">
        <v>3019</v>
      </c>
      <c r="G2091" s="106" t="s">
        <v>48</v>
      </c>
      <c r="H2091" s="106" t="s">
        <v>86</v>
      </c>
      <c r="I2091" s="105">
        <v>30</v>
      </c>
    </row>
    <row r="2092" spans="1:9" x14ac:dyDescent="0.25">
      <c r="A2092" t="s">
        <v>180</v>
      </c>
      <c r="B2092" s="11" t="s">
        <v>3015</v>
      </c>
      <c r="C2092" s="12"/>
      <c r="D2092" s="104">
        <v>610000004484</v>
      </c>
      <c r="E2092" s="104"/>
      <c r="F2092" s="105" t="s">
        <v>3019</v>
      </c>
      <c r="G2092" s="106" t="s">
        <v>51</v>
      </c>
      <c r="H2092" s="106" t="s">
        <v>87</v>
      </c>
      <c r="I2092" s="105">
        <v>30</v>
      </c>
    </row>
    <row r="2093" spans="1:9" x14ac:dyDescent="0.25">
      <c r="A2093" t="s">
        <v>180</v>
      </c>
      <c r="B2093" s="11" t="s">
        <v>3015</v>
      </c>
      <c r="C2093" s="12"/>
      <c r="D2093" s="104">
        <v>610000004484</v>
      </c>
      <c r="E2093" s="104"/>
      <c r="F2093" s="105" t="s">
        <v>3019</v>
      </c>
      <c r="G2093" s="106" t="s">
        <v>53</v>
      </c>
      <c r="H2093" s="106" t="s">
        <v>88</v>
      </c>
      <c r="I2093" s="105">
        <v>30</v>
      </c>
    </row>
    <row r="2094" spans="1:9" x14ac:dyDescent="0.25">
      <c r="A2094" t="s">
        <v>180</v>
      </c>
      <c r="B2094" s="11" t="s">
        <v>3015</v>
      </c>
      <c r="C2094" s="12"/>
      <c r="D2094" s="104">
        <v>610000004484</v>
      </c>
      <c r="E2094" s="104"/>
      <c r="F2094" s="105" t="s">
        <v>3019</v>
      </c>
      <c r="G2094" s="106" t="s">
        <v>55</v>
      </c>
      <c r="H2094" s="106" t="s">
        <v>89</v>
      </c>
      <c r="I2094" s="105">
        <v>30</v>
      </c>
    </row>
    <row r="2095" spans="1:9" x14ac:dyDescent="0.25">
      <c r="A2095" t="s">
        <v>180</v>
      </c>
      <c r="B2095" s="11" t="s">
        <v>3015</v>
      </c>
      <c r="C2095" s="12"/>
      <c r="D2095" s="104">
        <v>610000004484</v>
      </c>
      <c r="E2095" s="104"/>
      <c r="F2095" s="105" t="s">
        <v>3019</v>
      </c>
      <c r="G2095" s="106" t="s">
        <v>3020</v>
      </c>
      <c r="H2095" s="106" t="s">
        <v>3033</v>
      </c>
      <c r="I2095" s="105">
        <v>30</v>
      </c>
    </row>
    <row r="2096" spans="1:9" x14ac:dyDescent="0.25">
      <c r="A2096" t="s">
        <v>180</v>
      </c>
      <c r="B2096" s="11" t="s">
        <v>3015</v>
      </c>
      <c r="C2096" s="12"/>
      <c r="D2096" s="104">
        <v>610000004484</v>
      </c>
      <c r="E2096" s="104"/>
      <c r="F2096" s="105" t="s">
        <v>3019</v>
      </c>
      <c r="G2096" s="106" t="s">
        <v>3021</v>
      </c>
      <c r="H2096" s="106" t="s">
        <v>3034</v>
      </c>
      <c r="I2096" s="105">
        <v>30</v>
      </c>
    </row>
    <row r="2097" spans="1:9" x14ac:dyDescent="0.25">
      <c r="A2097" t="s">
        <v>180</v>
      </c>
      <c r="B2097" s="11" t="s">
        <v>3015</v>
      </c>
      <c r="C2097" s="12"/>
      <c r="D2097" s="104">
        <v>610000004484</v>
      </c>
      <c r="E2097" s="104"/>
      <c r="F2097" s="105" t="s">
        <v>3019</v>
      </c>
      <c r="G2097" s="106" t="s">
        <v>3022</v>
      </c>
      <c r="H2097" s="106" t="s">
        <v>3035</v>
      </c>
      <c r="I2097" s="105">
        <v>30</v>
      </c>
    </row>
    <row r="2098" spans="1:9" x14ac:dyDescent="0.25">
      <c r="A2098" t="s">
        <v>180</v>
      </c>
      <c r="B2098" s="11" t="s">
        <v>3015</v>
      </c>
      <c r="C2098" s="12"/>
      <c r="D2098" s="104">
        <v>610000004484</v>
      </c>
      <c r="E2098" s="104"/>
      <c r="F2098" s="105" t="s">
        <v>3019</v>
      </c>
      <c r="G2098" s="106" t="s">
        <v>3023</v>
      </c>
      <c r="H2098" s="106" t="s">
        <v>3036</v>
      </c>
      <c r="I2098" s="105">
        <v>30</v>
      </c>
    </row>
    <row r="2099" spans="1:9" x14ac:dyDescent="0.25">
      <c r="A2099" t="s">
        <v>180</v>
      </c>
      <c r="B2099" s="11" t="s">
        <v>3015</v>
      </c>
      <c r="C2099" s="12"/>
      <c r="D2099" s="104">
        <v>610000004484</v>
      </c>
      <c r="E2099" s="104"/>
      <c r="F2099" s="105" t="s">
        <v>3019</v>
      </c>
      <c r="G2099" s="106" t="s">
        <v>3025</v>
      </c>
      <c r="H2099" s="106" t="s">
        <v>3037</v>
      </c>
      <c r="I2099" s="105">
        <v>30</v>
      </c>
    </row>
    <row r="2100" spans="1:9" x14ac:dyDescent="0.25">
      <c r="A2100" t="s">
        <v>180</v>
      </c>
      <c r="B2100" s="11" t="s">
        <v>3015</v>
      </c>
      <c r="C2100" s="12"/>
      <c r="D2100" s="104">
        <v>610000004484</v>
      </c>
      <c r="E2100" s="104"/>
      <c r="F2100" s="105" t="s">
        <v>3019</v>
      </c>
      <c r="G2100" s="106" t="s">
        <v>3027</v>
      </c>
      <c r="H2100" s="106" t="s">
        <v>3038</v>
      </c>
      <c r="I2100" s="105">
        <v>30</v>
      </c>
    </row>
    <row r="2101" spans="1:9" x14ac:dyDescent="0.25">
      <c r="A2101" t="s">
        <v>180</v>
      </c>
      <c r="B2101" s="11" t="s">
        <v>3015</v>
      </c>
      <c r="C2101" s="12"/>
      <c r="D2101" s="104">
        <v>610000004484</v>
      </c>
      <c r="E2101" s="104"/>
      <c r="F2101" s="105" t="s">
        <v>3019</v>
      </c>
      <c r="G2101" s="106" t="s">
        <v>3017</v>
      </c>
      <c r="H2101" s="106" t="s">
        <v>3039</v>
      </c>
      <c r="I2101" s="105">
        <v>30</v>
      </c>
    </row>
    <row r="2102" spans="1:9" x14ac:dyDescent="0.25">
      <c r="A2102" t="s">
        <v>180</v>
      </c>
      <c r="B2102" s="11" t="s">
        <v>3015</v>
      </c>
      <c r="C2102" s="12"/>
      <c r="D2102" s="103">
        <v>610000004484</v>
      </c>
      <c r="E2102" s="103"/>
      <c r="F2102" s="85" t="s">
        <v>3019</v>
      </c>
      <c r="G2102" s="84" t="s">
        <v>562</v>
      </c>
      <c r="H2102" s="84" t="s">
        <v>568</v>
      </c>
      <c r="I2102" s="85">
        <v>30</v>
      </c>
    </row>
    <row r="2103" spans="1:9" x14ac:dyDescent="0.25">
      <c r="A2103" t="s">
        <v>180</v>
      </c>
      <c r="B2103" s="11" t="s">
        <v>3015</v>
      </c>
      <c r="C2103" s="12"/>
      <c r="D2103" s="160">
        <v>610000004485</v>
      </c>
      <c r="E2103" s="160"/>
      <c r="F2103" s="82" t="s">
        <v>3040</v>
      </c>
      <c r="G2103" s="81" t="s">
        <v>3017</v>
      </c>
      <c r="H2103" s="81" t="s">
        <v>3041</v>
      </c>
      <c r="I2103" s="82">
        <v>60</v>
      </c>
    </row>
    <row r="2104" spans="1:9" x14ac:dyDescent="0.25">
      <c r="A2104" t="s">
        <v>180</v>
      </c>
      <c r="B2104" s="11" t="s">
        <v>3015</v>
      </c>
      <c r="C2104" s="12"/>
      <c r="D2104" s="104">
        <v>610000004486</v>
      </c>
      <c r="E2104" s="104"/>
      <c r="F2104" s="105" t="s">
        <v>3042</v>
      </c>
      <c r="G2104" s="106" t="s">
        <v>48</v>
      </c>
      <c r="H2104" s="106" t="s">
        <v>78</v>
      </c>
      <c r="I2104" s="105">
        <v>60</v>
      </c>
    </row>
    <row r="2105" spans="1:9" x14ac:dyDescent="0.25">
      <c r="A2105" t="s">
        <v>180</v>
      </c>
      <c r="B2105" s="11" t="s">
        <v>3015</v>
      </c>
      <c r="C2105" s="12"/>
      <c r="D2105" s="104">
        <v>610000004486</v>
      </c>
      <c r="E2105" s="104"/>
      <c r="F2105" s="105" t="s">
        <v>3042</v>
      </c>
      <c r="G2105" s="106" t="s">
        <v>51</v>
      </c>
      <c r="H2105" s="106" t="s">
        <v>79</v>
      </c>
      <c r="I2105" s="105">
        <v>60</v>
      </c>
    </row>
    <row r="2106" spans="1:9" x14ac:dyDescent="0.25">
      <c r="A2106" t="s">
        <v>180</v>
      </c>
      <c r="B2106" s="11" t="s">
        <v>3015</v>
      </c>
      <c r="C2106" s="12"/>
      <c r="D2106" s="104">
        <v>610000004486</v>
      </c>
      <c r="E2106" s="104"/>
      <c r="F2106" s="105" t="s">
        <v>3042</v>
      </c>
      <c r="G2106" s="106" t="s">
        <v>53</v>
      </c>
      <c r="H2106" s="106" t="s">
        <v>80</v>
      </c>
      <c r="I2106" s="105">
        <v>60</v>
      </c>
    </row>
    <row r="2107" spans="1:9" x14ac:dyDescent="0.25">
      <c r="A2107" t="s">
        <v>180</v>
      </c>
      <c r="B2107" s="11" t="s">
        <v>3015</v>
      </c>
      <c r="C2107" s="12"/>
      <c r="D2107" s="104">
        <v>610000004486</v>
      </c>
      <c r="E2107" s="104"/>
      <c r="F2107" s="105" t="s">
        <v>3042</v>
      </c>
      <c r="G2107" s="106" t="s">
        <v>55</v>
      </c>
      <c r="H2107" s="106" t="s">
        <v>81</v>
      </c>
      <c r="I2107" s="105">
        <v>60</v>
      </c>
    </row>
    <row r="2108" spans="1:9" x14ac:dyDescent="0.25">
      <c r="A2108" t="s">
        <v>180</v>
      </c>
      <c r="B2108" s="11" t="s">
        <v>3015</v>
      </c>
      <c r="C2108" s="12"/>
      <c r="D2108" s="104">
        <v>610000004486</v>
      </c>
      <c r="E2108" s="104"/>
      <c r="F2108" s="105" t="s">
        <v>3042</v>
      </c>
      <c r="G2108" s="106" t="s">
        <v>3020</v>
      </c>
      <c r="H2108" s="106" t="s">
        <v>3043</v>
      </c>
      <c r="I2108" s="105">
        <v>60</v>
      </c>
    </row>
    <row r="2109" spans="1:9" x14ac:dyDescent="0.25">
      <c r="A2109" t="s">
        <v>180</v>
      </c>
      <c r="B2109" s="11" t="s">
        <v>3015</v>
      </c>
      <c r="C2109" s="12"/>
      <c r="D2109" s="104">
        <v>610000004486</v>
      </c>
      <c r="E2109" s="104"/>
      <c r="F2109" s="105" t="s">
        <v>3042</v>
      </c>
      <c r="G2109" s="106" t="s">
        <v>3021</v>
      </c>
      <c r="H2109" s="106" t="s">
        <v>3044</v>
      </c>
      <c r="I2109" s="105">
        <v>60</v>
      </c>
    </row>
    <row r="2110" spans="1:9" x14ac:dyDescent="0.25">
      <c r="A2110" t="s">
        <v>180</v>
      </c>
      <c r="B2110" s="11" t="s">
        <v>3015</v>
      </c>
      <c r="C2110" s="12"/>
      <c r="D2110" s="104">
        <v>610000004486</v>
      </c>
      <c r="E2110" s="104"/>
      <c r="F2110" s="105" t="s">
        <v>3042</v>
      </c>
      <c r="G2110" s="106" t="s">
        <v>3022</v>
      </c>
      <c r="H2110" s="106" t="s">
        <v>3045</v>
      </c>
      <c r="I2110" s="105">
        <v>60</v>
      </c>
    </row>
    <row r="2111" spans="1:9" x14ac:dyDescent="0.25">
      <c r="A2111" t="s">
        <v>180</v>
      </c>
      <c r="B2111" s="11" t="s">
        <v>3015</v>
      </c>
      <c r="C2111" s="12"/>
      <c r="D2111" s="104">
        <v>610000004486</v>
      </c>
      <c r="E2111" s="104"/>
      <c r="F2111" s="105" t="s">
        <v>3042</v>
      </c>
      <c r="G2111" s="106" t="s">
        <v>3023</v>
      </c>
      <c r="H2111" s="106" t="s">
        <v>3046</v>
      </c>
      <c r="I2111" s="105">
        <v>60</v>
      </c>
    </row>
    <row r="2112" spans="1:9" x14ac:dyDescent="0.25">
      <c r="A2112" t="s">
        <v>180</v>
      </c>
      <c r="B2112" s="11" t="s">
        <v>3015</v>
      </c>
      <c r="C2112" s="12"/>
      <c r="D2112" s="104">
        <v>610000004486</v>
      </c>
      <c r="E2112" s="104"/>
      <c r="F2112" s="105" t="s">
        <v>3042</v>
      </c>
      <c r="G2112" s="106" t="s">
        <v>3025</v>
      </c>
      <c r="H2112" s="106" t="s">
        <v>3047</v>
      </c>
      <c r="I2112" s="105">
        <v>60</v>
      </c>
    </row>
    <row r="2113" spans="1:9" x14ac:dyDescent="0.25">
      <c r="A2113" t="s">
        <v>180</v>
      </c>
      <c r="B2113" s="11" t="s">
        <v>3015</v>
      </c>
      <c r="C2113" s="12"/>
      <c r="D2113" s="104">
        <v>610000004486</v>
      </c>
      <c r="E2113" s="104"/>
      <c r="F2113" s="105" t="s">
        <v>3042</v>
      </c>
      <c r="G2113" s="106" t="s">
        <v>3027</v>
      </c>
      <c r="H2113" s="106" t="s">
        <v>3048</v>
      </c>
      <c r="I2113" s="105">
        <v>60</v>
      </c>
    </row>
    <row r="2114" spans="1:9" x14ac:dyDescent="0.25">
      <c r="A2114" t="s">
        <v>180</v>
      </c>
      <c r="B2114" s="11" t="s">
        <v>3015</v>
      </c>
      <c r="C2114" s="12"/>
      <c r="D2114" s="104">
        <v>610000004486</v>
      </c>
      <c r="E2114" s="104"/>
      <c r="F2114" s="105" t="s">
        <v>3042</v>
      </c>
      <c r="G2114" s="106" t="s">
        <v>3017</v>
      </c>
      <c r="H2114" s="106" t="s">
        <v>3049</v>
      </c>
      <c r="I2114" s="105">
        <v>60</v>
      </c>
    </row>
    <row r="2115" spans="1:9" ht="15.75" thickBot="1" x14ac:dyDescent="0.3">
      <c r="A2115" t="s">
        <v>180</v>
      </c>
      <c r="B2115" s="11" t="s">
        <v>3015</v>
      </c>
      <c r="C2115" s="27"/>
      <c r="D2115" s="147">
        <v>610000004486</v>
      </c>
      <c r="E2115" s="147"/>
      <c r="F2115" s="148" t="s">
        <v>3042</v>
      </c>
      <c r="G2115" s="149" t="s">
        <v>562</v>
      </c>
      <c r="H2115" s="149" t="s">
        <v>574</v>
      </c>
      <c r="I2115" s="148">
        <v>60</v>
      </c>
    </row>
    <row r="2116" spans="1:9" x14ac:dyDescent="0.25">
      <c r="A2116" t="s">
        <v>180</v>
      </c>
      <c r="B2116" s="11" t="s">
        <v>3050</v>
      </c>
      <c r="C2116" s="12"/>
      <c r="D2116" s="100">
        <v>610000004488</v>
      </c>
      <c r="E2116" s="100"/>
      <c r="F2116" s="101" t="s">
        <v>3051</v>
      </c>
      <c r="G2116" s="102" t="s">
        <v>57</v>
      </c>
      <c r="H2116" s="102" t="s">
        <v>3052</v>
      </c>
      <c r="I2116" s="101">
        <v>15</v>
      </c>
    </row>
    <row r="2117" spans="1:9" x14ac:dyDescent="0.25">
      <c r="A2117" t="s">
        <v>180</v>
      </c>
      <c r="B2117" s="11" t="s">
        <v>3050</v>
      </c>
      <c r="C2117" s="12"/>
      <c r="D2117" s="160">
        <v>610000004489</v>
      </c>
      <c r="E2117" s="160"/>
      <c r="F2117" s="82" t="s">
        <v>3053</v>
      </c>
      <c r="G2117" s="81" t="s">
        <v>3054</v>
      </c>
      <c r="H2117" s="81" t="s">
        <v>3055</v>
      </c>
      <c r="I2117" s="82">
        <v>30</v>
      </c>
    </row>
    <row r="2118" spans="1:9" x14ac:dyDescent="0.25">
      <c r="A2118" t="s">
        <v>180</v>
      </c>
      <c r="B2118" s="11" t="s">
        <v>3050</v>
      </c>
      <c r="C2118" s="12"/>
      <c r="D2118" s="104">
        <v>610000004490</v>
      </c>
      <c r="E2118" s="104"/>
      <c r="F2118" s="105" t="s">
        <v>3056</v>
      </c>
      <c r="G2118" s="106" t="s">
        <v>57</v>
      </c>
      <c r="H2118" s="106" t="s">
        <v>95</v>
      </c>
      <c r="I2118" s="105">
        <v>30</v>
      </c>
    </row>
    <row r="2119" spans="1:9" x14ac:dyDescent="0.25">
      <c r="A2119" t="s">
        <v>180</v>
      </c>
      <c r="B2119" s="11" t="s">
        <v>3050</v>
      </c>
      <c r="C2119" s="12"/>
      <c r="D2119" s="104">
        <v>610000004490</v>
      </c>
      <c r="E2119" s="104"/>
      <c r="F2119" s="105" t="s">
        <v>3056</v>
      </c>
      <c r="G2119" s="106" t="s">
        <v>61</v>
      </c>
      <c r="H2119" s="106" t="s">
        <v>96</v>
      </c>
      <c r="I2119" s="105">
        <v>30</v>
      </c>
    </row>
    <row r="2120" spans="1:9" x14ac:dyDescent="0.25">
      <c r="A2120" t="s">
        <v>180</v>
      </c>
      <c r="B2120" s="11" t="s">
        <v>3050</v>
      </c>
      <c r="C2120" s="12"/>
      <c r="D2120" s="104">
        <v>610000004490</v>
      </c>
      <c r="E2120" s="104"/>
      <c r="F2120" s="105" t="s">
        <v>3056</v>
      </c>
      <c r="G2120" s="106" t="s">
        <v>63</v>
      </c>
      <c r="H2120" s="106" t="s">
        <v>97</v>
      </c>
      <c r="I2120" s="105">
        <v>30</v>
      </c>
    </row>
    <row r="2121" spans="1:9" x14ac:dyDescent="0.25">
      <c r="A2121" t="s">
        <v>180</v>
      </c>
      <c r="B2121" s="11" t="s">
        <v>3050</v>
      </c>
      <c r="C2121" s="12"/>
      <c r="D2121" s="104">
        <v>610000004490</v>
      </c>
      <c r="E2121" s="104"/>
      <c r="F2121" s="105" t="s">
        <v>3056</v>
      </c>
      <c r="G2121" s="106" t="s">
        <v>65</v>
      </c>
      <c r="H2121" s="106" t="s">
        <v>98</v>
      </c>
      <c r="I2121" s="105">
        <v>30</v>
      </c>
    </row>
    <row r="2122" spans="1:9" x14ac:dyDescent="0.25">
      <c r="A2122" t="s">
        <v>180</v>
      </c>
      <c r="B2122" s="11" t="s">
        <v>3050</v>
      </c>
      <c r="C2122" s="12"/>
      <c r="D2122" s="123">
        <v>610000004490</v>
      </c>
      <c r="E2122" s="123"/>
      <c r="F2122" s="124" t="s">
        <v>3056</v>
      </c>
      <c r="G2122" s="107" t="s">
        <v>68</v>
      </c>
      <c r="H2122" s="107" t="s">
        <v>99</v>
      </c>
      <c r="I2122" s="124">
        <v>30</v>
      </c>
    </row>
    <row r="2123" spans="1:9" x14ac:dyDescent="0.25">
      <c r="A2123" t="s">
        <v>180</v>
      </c>
      <c r="B2123" s="11" t="s">
        <v>3050</v>
      </c>
      <c r="C2123" s="12"/>
      <c r="D2123" s="123">
        <v>610000004490</v>
      </c>
      <c r="E2123" s="123"/>
      <c r="F2123" s="124" t="s">
        <v>3056</v>
      </c>
      <c r="G2123" s="107" t="s">
        <v>57</v>
      </c>
      <c r="H2123" s="107" t="s">
        <v>110</v>
      </c>
      <c r="I2123" s="124">
        <v>30</v>
      </c>
    </row>
    <row r="2124" spans="1:9" x14ac:dyDescent="0.25">
      <c r="A2124" t="s">
        <v>180</v>
      </c>
      <c r="B2124" s="11" t="s">
        <v>3050</v>
      </c>
      <c r="C2124" s="12"/>
      <c r="D2124" s="104">
        <v>610000004490</v>
      </c>
      <c r="E2124" s="104"/>
      <c r="F2124" s="105" t="s">
        <v>3056</v>
      </c>
      <c r="G2124" s="106" t="s">
        <v>61</v>
      </c>
      <c r="H2124" s="106" t="s">
        <v>111</v>
      </c>
      <c r="I2124" s="105">
        <v>30</v>
      </c>
    </row>
    <row r="2125" spans="1:9" x14ac:dyDescent="0.25">
      <c r="A2125" t="s">
        <v>180</v>
      </c>
      <c r="B2125" s="11" t="s">
        <v>3050</v>
      </c>
      <c r="C2125" s="12"/>
      <c r="D2125" s="104">
        <v>610000004490</v>
      </c>
      <c r="E2125" s="104"/>
      <c r="F2125" s="105" t="s">
        <v>3056</v>
      </c>
      <c r="G2125" s="106" t="s">
        <v>63</v>
      </c>
      <c r="H2125" s="106" t="s">
        <v>112</v>
      </c>
      <c r="I2125" s="105">
        <v>30</v>
      </c>
    </row>
    <row r="2126" spans="1:9" x14ac:dyDescent="0.25">
      <c r="A2126" t="s">
        <v>180</v>
      </c>
      <c r="B2126" s="11" t="s">
        <v>3050</v>
      </c>
      <c r="C2126" s="12"/>
      <c r="D2126" s="104">
        <v>610000004490</v>
      </c>
      <c r="E2126" s="104"/>
      <c r="F2126" s="105" t="s">
        <v>3056</v>
      </c>
      <c r="G2126" s="106" t="s">
        <v>65</v>
      </c>
      <c r="H2126" s="106" t="s">
        <v>113</v>
      </c>
      <c r="I2126" s="105">
        <v>30</v>
      </c>
    </row>
    <row r="2127" spans="1:9" x14ac:dyDescent="0.25">
      <c r="A2127" t="s">
        <v>180</v>
      </c>
      <c r="B2127" s="11" t="s">
        <v>3050</v>
      </c>
      <c r="C2127" s="12"/>
      <c r="D2127" s="103">
        <v>610000004490</v>
      </c>
      <c r="E2127" s="103"/>
      <c r="F2127" s="85" t="s">
        <v>3056</v>
      </c>
      <c r="G2127" s="84" t="s">
        <v>68</v>
      </c>
      <c r="H2127" s="84" t="s">
        <v>114</v>
      </c>
      <c r="I2127" s="85">
        <v>30</v>
      </c>
    </row>
    <row r="2128" spans="1:9" x14ac:dyDescent="0.25">
      <c r="A2128" t="s">
        <v>180</v>
      </c>
      <c r="B2128" s="11" t="s">
        <v>3050</v>
      </c>
      <c r="C2128" s="12"/>
      <c r="D2128" s="156">
        <v>610000004491</v>
      </c>
      <c r="E2128" s="156"/>
      <c r="F2128" s="157" t="s">
        <v>3057</v>
      </c>
      <c r="G2128" s="158" t="s">
        <v>3054</v>
      </c>
      <c r="H2128" s="158" t="s">
        <v>3058</v>
      </c>
      <c r="I2128" s="157">
        <v>60</v>
      </c>
    </row>
    <row r="2129" spans="1:9" x14ac:dyDescent="0.25">
      <c r="A2129" t="s">
        <v>180</v>
      </c>
      <c r="B2129" s="11" t="s">
        <v>3050</v>
      </c>
      <c r="C2129" s="12"/>
      <c r="D2129" s="104">
        <v>610000004492</v>
      </c>
      <c r="E2129" s="104"/>
      <c r="F2129" s="105" t="s">
        <v>3059</v>
      </c>
      <c r="G2129" s="106" t="s">
        <v>57</v>
      </c>
      <c r="H2129" s="106" t="s">
        <v>104</v>
      </c>
      <c r="I2129" s="105">
        <v>60</v>
      </c>
    </row>
    <row r="2130" spans="1:9" x14ac:dyDescent="0.25">
      <c r="A2130" t="s">
        <v>180</v>
      </c>
      <c r="B2130" s="11" t="s">
        <v>3050</v>
      </c>
      <c r="C2130" s="12"/>
      <c r="D2130" s="104">
        <v>610000004492</v>
      </c>
      <c r="E2130" s="104"/>
      <c r="F2130" s="105" t="s">
        <v>3059</v>
      </c>
      <c r="G2130" s="106" t="s">
        <v>61</v>
      </c>
      <c r="H2130" s="106" t="s">
        <v>105</v>
      </c>
      <c r="I2130" s="105">
        <v>60</v>
      </c>
    </row>
    <row r="2131" spans="1:9" x14ac:dyDescent="0.25">
      <c r="A2131" t="s">
        <v>180</v>
      </c>
      <c r="B2131" s="11" t="s">
        <v>3050</v>
      </c>
      <c r="C2131" s="12"/>
      <c r="D2131" s="104">
        <v>610000004492</v>
      </c>
      <c r="E2131" s="104"/>
      <c r="F2131" s="105" t="s">
        <v>3059</v>
      </c>
      <c r="G2131" s="106" t="s">
        <v>63</v>
      </c>
      <c r="H2131" s="106" t="s">
        <v>106</v>
      </c>
      <c r="I2131" s="105">
        <v>60</v>
      </c>
    </row>
    <row r="2132" spans="1:9" x14ac:dyDescent="0.25">
      <c r="A2132" t="s">
        <v>180</v>
      </c>
      <c r="B2132" s="11" t="s">
        <v>3050</v>
      </c>
      <c r="C2132" s="12"/>
      <c r="D2132" s="104">
        <v>610000004492</v>
      </c>
      <c r="E2132" s="104"/>
      <c r="F2132" s="105" t="s">
        <v>3059</v>
      </c>
      <c r="G2132" s="106" t="s">
        <v>65</v>
      </c>
      <c r="H2132" s="106" t="s">
        <v>107</v>
      </c>
      <c r="I2132" s="105">
        <v>60</v>
      </c>
    </row>
    <row r="2133" spans="1:9" x14ac:dyDescent="0.25">
      <c r="A2133" t="s">
        <v>180</v>
      </c>
      <c r="B2133" s="11" t="s">
        <v>3050</v>
      </c>
      <c r="C2133" s="12"/>
      <c r="D2133" s="103">
        <v>610000004492</v>
      </c>
      <c r="E2133" s="103"/>
      <c r="F2133" s="85" t="s">
        <v>3059</v>
      </c>
      <c r="G2133" s="84" t="s">
        <v>68</v>
      </c>
      <c r="H2133" s="84" t="s">
        <v>108</v>
      </c>
      <c r="I2133" s="85">
        <v>60</v>
      </c>
    </row>
    <row r="2134" spans="1:9" x14ac:dyDescent="0.25">
      <c r="A2134" t="s">
        <v>180</v>
      </c>
      <c r="B2134" s="11" t="s">
        <v>3050</v>
      </c>
      <c r="C2134" s="12"/>
      <c r="D2134" s="156">
        <v>610000004494</v>
      </c>
      <c r="E2134" s="156"/>
      <c r="F2134" s="157" t="s">
        <v>3060</v>
      </c>
      <c r="G2134" s="158" t="s">
        <v>57</v>
      </c>
      <c r="H2134" s="158" t="s">
        <v>116</v>
      </c>
      <c r="I2134" s="157">
        <v>180</v>
      </c>
    </row>
    <row r="2135" spans="1:9" x14ac:dyDescent="0.25">
      <c r="A2135" t="s">
        <v>180</v>
      </c>
      <c r="B2135" s="11" t="s">
        <v>3050</v>
      </c>
      <c r="C2135" s="12"/>
      <c r="D2135" s="407"/>
      <c r="E2135" s="407"/>
      <c r="F2135" s="408" t="s">
        <v>3061</v>
      </c>
      <c r="G2135" s="409" t="s">
        <v>3054</v>
      </c>
      <c r="H2135" s="409" t="s">
        <v>1159</v>
      </c>
      <c r="I2135" s="408">
        <v>180</v>
      </c>
    </row>
    <row r="2136" spans="1:9" ht="15.75" thickBot="1" x14ac:dyDescent="0.3">
      <c r="A2136" t="s">
        <v>180</v>
      </c>
      <c r="B2136" s="11" t="s">
        <v>3050</v>
      </c>
      <c r="C2136" s="27"/>
      <c r="D2136" s="213">
        <v>356691</v>
      </c>
      <c r="E2136" s="213"/>
      <c r="F2136" s="201" t="s">
        <v>3062</v>
      </c>
      <c r="G2136" s="202" t="s">
        <v>57</v>
      </c>
      <c r="H2136" s="202" t="s">
        <v>122</v>
      </c>
      <c r="I2136" s="201">
        <v>365</v>
      </c>
    </row>
    <row r="2137" spans="1:9" x14ac:dyDescent="0.25">
      <c r="A2137" t="s">
        <v>180</v>
      </c>
      <c r="B2137" s="11" t="s">
        <v>3063</v>
      </c>
      <c r="C2137" s="12"/>
      <c r="D2137" s="140">
        <v>610000004496</v>
      </c>
      <c r="E2137" s="140"/>
      <c r="F2137" s="141" t="s">
        <v>3064</v>
      </c>
      <c r="G2137" s="142" t="s">
        <v>143</v>
      </c>
      <c r="H2137" s="142" t="s">
        <v>3065</v>
      </c>
      <c r="I2137" s="141">
        <v>30</v>
      </c>
    </row>
    <row r="2138" spans="1:9" x14ac:dyDescent="0.25">
      <c r="A2138" t="s">
        <v>180</v>
      </c>
      <c r="B2138" s="11" t="s">
        <v>3063</v>
      </c>
      <c r="C2138" s="12"/>
      <c r="D2138" s="104">
        <v>610000004496</v>
      </c>
      <c r="E2138" s="104"/>
      <c r="F2138" s="105" t="s">
        <v>3064</v>
      </c>
      <c r="G2138" s="106" t="s">
        <v>3066</v>
      </c>
      <c r="H2138" s="106" t="s">
        <v>3067</v>
      </c>
      <c r="I2138" s="105">
        <v>30</v>
      </c>
    </row>
    <row r="2139" spans="1:9" x14ac:dyDescent="0.25">
      <c r="A2139" t="s">
        <v>180</v>
      </c>
      <c r="B2139" s="11" t="s">
        <v>3063</v>
      </c>
      <c r="C2139" s="12"/>
      <c r="D2139" s="104">
        <v>610000004496</v>
      </c>
      <c r="E2139" s="104"/>
      <c r="F2139" s="105" t="s">
        <v>3064</v>
      </c>
      <c r="G2139" s="106" t="s">
        <v>124</v>
      </c>
      <c r="H2139" s="106" t="s">
        <v>3068</v>
      </c>
      <c r="I2139" s="105">
        <v>30</v>
      </c>
    </row>
    <row r="2140" spans="1:9" x14ac:dyDescent="0.25">
      <c r="A2140" t="s">
        <v>180</v>
      </c>
      <c r="B2140" s="11" t="s">
        <v>3063</v>
      </c>
      <c r="C2140" s="12"/>
      <c r="D2140" s="104">
        <v>610000004496</v>
      </c>
      <c r="E2140" s="104"/>
      <c r="F2140" s="105" t="s">
        <v>3064</v>
      </c>
      <c r="G2140" s="106" t="s">
        <v>128</v>
      </c>
      <c r="H2140" s="106" t="s">
        <v>3069</v>
      </c>
      <c r="I2140" s="105">
        <v>30</v>
      </c>
    </row>
    <row r="2141" spans="1:9" x14ac:dyDescent="0.25">
      <c r="A2141" t="s">
        <v>180</v>
      </c>
      <c r="B2141" s="11" t="s">
        <v>3063</v>
      </c>
      <c r="C2141" s="12"/>
      <c r="D2141" s="104">
        <v>610000004496</v>
      </c>
      <c r="E2141" s="104"/>
      <c r="F2141" s="105" t="s">
        <v>3064</v>
      </c>
      <c r="G2141" s="106" t="s">
        <v>132</v>
      </c>
      <c r="H2141" s="106" t="s">
        <v>149</v>
      </c>
      <c r="I2141" s="105">
        <v>30</v>
      </c>
    </row>
    <row r="2142" spans="1:9" x14ac:dyDescent="0.25">
      <c r="A2142" t="s">
        <v>180</v>
      </c>
      <c r="B2142" s="11" t="s">
        <v>3063</v>
      </c>
      <c r="C2142" s="12"/>
      <c r="D2142" s="104">
        <v>610000004496</v>
      </c>
      <c r="E2142" s="104"/>
      <c r="F2142" s="105" t="s">
        <v>3064</v>
      </c>
      <c r="G2142" s="106" t="s">
        <v>135</v>
      </c>
      <c r="H2142" s="106" t="s">
        <v>150</v>
      </c>
      <c r="I2142" s="105">
        <v>30</v>
      </c>
    </row>
    <row r="2143" spans="1:9" x14ac:dyDescent="0.25">
      <c r="A2143" t="s">
        <v>180</v>
      </c>
      <c r="B2143" s="11" t="s">
        <v>3063</v>
      </c>
      <c r="C2143" s="12"/>
      <c r="D2143" s="104">
        <v>610000004496</v>
      </c>
      <c r="E2143" s="104"/>
      <c r="F2143" s="105" t="s">
        <v>3064</v>
      </c>
      <c r="G2143" s="106" t="s">
        <v>139</v>
      </c>
      <c r="H2143" s="106" t="s">
        <v>3070</v>
      </c>
      <c r="I2143" s="105">
        <v>30</v>
      </c>
    </row>
    <row r="2144" spans="1:9" x14ac:dyDescent="0.25">
      <c r="A2144" t="s">
        <v>180</v>
      </c>
      <c r="B2144" s="11" t="s">
        <v>3063</v>
      </c>
      <c r="C2144" s="12"/>
      <c r="D2144" s="104">
        <v>610000004496</v>
      </c>
      <c r="E2144" s="104"/>
      <c r="F2144" s="105" t="s">
        <v>3064</v>
      </c>
      <c r="G2144" s="106" t="s">
        <v>260</v>
      </c>
      <c r="H2144" s="106" t="s">
        <v>261</v>
      </c>
      <c r="I2144" s="105">
        <v>30</v>
      </c>
    </row>
    <row r="2145" spans="1:9" x14ac:dyDescent="0.25">
      <c r="A2145" t="s">
        <v>180</v>
      </c>
      <c r="B2145" s="11" t="s">
        <v>3063</v>
      </c>
      <c r="C2145" s="12"/>
      <c r="D2145" s="104">
        <v>610000004496</v>
      </c>
      <c r="E2145" s="104"/>
      <c r="F2145" s="105" t="s">
        <v>3064</v>
      </c>
      <c r="G2145" s="106" t="s">
        <v>3071</v>
      </c>
      <c r="H2145" s="106" t="s">
        <v>3072</v>
      </c>
      <c r="I2145" s="105">
        <v>30</v>
      </c>
    </row>
    <row r="2146" spans="1:9" x14ac:dyDescent="0.25">
      <c r="A2146" t="s">
        <v>180</v>
      </c>
      <c r="B2146" s="11" t="s">
        <v>3063</v>
      </c>
      <c r="C2146" s="12"/>
      <c r="D2146" s="104">
        <v>610000004496</v>
      </c>
      <c r="E2146" s="104"/>
      <c r="F2146" s="105" t="s">
        <v>3064</v>
      </c>
      <c r="G2146" s="106" t="s">
        <v>143</v>
      </c>
      <c r="H2146" s="106" t="s">
        <v>173</v>
      </c>
      <c r="I2146" s="105">
        <v>30</v>
      </c>
    </row>
    <row r="2147" spans="1:9" x14ac:dyDescent="0.25">
      <c r="A2147" t="s">
        <v>180</v>
      </c>
      <c r="B2147" s="11" t="s">
        <v>3063</v>
      </c>
      <c r="C2147" s="12"/>
      <c r="D2147" s="104">
        <v>610000004496</v>
      </c>
      <c r="E2147" s="104"/>
      <c r="F2147" s="105" t="s">
        <v>3064</v>
      </c>
      <c r="G2147" s="106" t="s">
        <v>3066</v>
      </c>
      <c r="H2147" s="106" t="s">
        <v>3073</v>
      </c>
      <c r="I2147" s="105">
        <v>30</v>
      </c>
    </row>
    <row r="2148" spans="1:9" x14ac:dyDescent="0.25">
      <c r="A2148" t="s">
        <v>180</v>
      </c>
      <c r="B2148" s="11" t="s">
        <v>3063</v>
      </c>
      <c r="C2148" s="12"/>
      <c r="D2148" s="104">
        <v>610000004496</v>
      </c>
      <c r="E2148" s="104"/>
      <c r="F2148" s="105" t="s">
        <v>3064</v>
      </c>
      <c r="G2148" s="106" t="s">
        <v>124</v>
      </c>
      <c r="H2148" s="106" t="s">
        <v>3074</v>
      </c>
      <c r="I2148" s="105">
        <v>30</v>
      </c>
    </row>
    <row r="2149" spans="1:9" x14ac:dyDescent="0.25">
      <c r="A2149" t="s">
        <v>180</v>
      </c>
      <c r="B2149" s="11" t="s">
        <v>3063</v>
      </c>
      <c r="C2149" s="12"/>
      <c r="D2149" s="104">
        <v>610000004496</v>
      </c>
      <c r="E2149" s="104"/>
      <c r="F2149" s="105" t="s">
        <v>3064</v>
      </c>
      <c r="G2149" s="106" t="s">
        <v>128</v>
      </c>
      <c r="H2149" s="106" t="s">
        <v>3075</v>
      </c>
      <c r="I2149" s="105">
        <v>30</v>
      </c>
    </row>
    <row r="2150" spans="1:9" x14ac:dyDescent="0.25">
      <c r="A2150" t="s">
        <v>180</v>
      </c>
      <c r="B2150" s="11" t="s">
        <v>3063</v>
      </c>
      <c r="C2150" s="12"/>
      <c r="D2150" s="104">
        <v>610000004496</v>
      </c>
      <c r="E2150" s="104"/>
      <c r="F2150" s="105" t="s">
        <v>3064</v>
      </c>
      <c r="G2150" s="106" t="s">
        <v>132</v>
      </c>
      <c r="H2150" s="106" t="s">
        <v>167</v>
      </c>
      <c r="I2150" s="105">
        <v>30</v>
      </c>
    </row>
    <row r="2151" spans="1:9" x14ac:dyDescent="0.25">
      <c r="A2151" t="s">
        <v>180</v>
      </c>
      <c r="B2151" s="11" t="s">
        <v>3063</v>
      </c>
      <c r="C2151" s="12"/>
      <c r="D2151" s="104">
        <v>610000004496</v>
      </c>
      <c r="E2151" s="104"/>
      <c r="F2151" s="105" t="s">
        <v>3064</v>
      </c>
      <c r="G2151" s="106" t="s">
        <v>135</v>
      </c>
      <c r="H2151" s="106" t="s">
        <v>168</v>
      </c>
      <c r="I2151" s="105">
        <v>30</v>
      </c>
    </row>
    <row r="2152" spans="1:9" x14ac:dyDescent="0.25">
      <c r="A2152" t="s">
        <v>180</v>
      </c>
      <c r="B2152" s="11" t="s">
        <v>3063</v>
      </c>
      <c r="C2152" s="12"/>
      <c r="D2152" s="104">
        <v>610000004496</v>
      </c>
      <c r="E2152" s="104"/>
      <c r="F2152" s="105" t="s">
        <v>3064</v>
      </c>
      <c r="G2152" s="106" t="s">
        <v>139</v>
      </c>
      <c r="H2152" s="106" t="s">
        <v>3076</v>
      </c>
      <c r="I2152" s="105">
        <v>30</v>
      </c>
    </row>
    <row r="2153" spans="1:9" x14ac:dyDescent="0.25">
      <c r="A2153" t="s">
        <v>180</v>
      </c>
      <c r="B2153" s="11" t="s">
        <v>3063</v>
      </c>
      <c r="C2153" s="12"/>
      <c r="D2153" s="104">
        <v>610000004496</v>
      </c>
      <c r="E2153" s="104"/>
      <c r="F2153" s="105" t="s">
        <v>3064</v>
      </c>
      <c r="G2153" s="106" t="s">
        <v>260</v>
      </c>
      <c r="H2153" s="106" t="s">
        <v>3077</v>
      </c>
      <c r="I2153" s="105">
        <v>30</v>
      </c>
    </row>
    <row r="2154" spans="1:9" x14ac:dyDescent="0.25">
      <c r="A2154" t="s">
        <v>180</v>
      </c>
      <c r="B2154" s="11" t="s">
        <v>3063</v>
      </c>
      <c r="C2154" s="12"/>
      <c r="D2154" s="103">
        <v>610000004496</v>
      </c>
      <c r="E2154" s="103"/>
      <c r="F2154" s="85" t="s">
        <v>3064</v>
      </c>
      <c r="G2154" s="84" t="s">
        <v>3071</v>
      </c>
      <c r="H2154" s="84" t="s">
        <v>3078</v>
      </c>
      <c r="I2154" s="85">
        <v>30</v>
      </c>
    </row>
    <row r="2155" spans="1:9" x14ac:dyDescent="0.25">
      <c r="A2155" t="s">
        <v>180</v>
      </c>
      <c r="B2155" s="11" t="s">
        <v>3063</v>
      </c>
      <c r="C2155" s="12"/>
      <c r="D2155" s="140">
        <v>610000004497</v>
      </c>
      <c r="E2155" s="140"/>
      <c r="F2155" s="141" t="s">
        <v>3079</v>
      </c>
      <c r="G2155" s="142" t="s">
        <v>143</v>
      </c>
      <c r="H2155" s="142" t="s">
        <v>162</v>
      </c>
      <c r="I2155" s="141">
        <v>60</v>
      </c>
    </row>
    <row r="2156" spans="1:9" x14ac:dyDescent="0.25">
      <c r="A2156" t="s">
        <v>180</v>
      </c>
      <c r="B2156" s="11" t="s">
        <v>3063</v>
      </c>
      <c r="C2156" s="12"/>
      <c r="D2156" s="104">
        <v>610000004497</v>
      </c>
      <c r="E2156" s="104"/>
      <c r="F2156" s="105" t="s">
        <v>3079</v>
      </c>
      <c r="G2156" s="106" t="s">
        <v>3066</v>
      </c>
      <c r="H2156" s="106" t="s">
        <v>3080</v>
      </c>
      <c r="I2156" s="105">
        <v>60</v>
      </c>
    </row>
    <row r="2157" spans="1:9" x14ac:dyDescent="0.25">
      <c r="A2157" t="s">
        <v>180</v>
      </c>
      <c r="B2157" s="11" t="s">
        <v>3063</v>
      </c>
      <c r="C2157" s="12"/>
      <c r="D2157" s="104">
        <v>610000004497</v>
      </c>
      <c r="E2157" s="104"/>
      <c r="F2157" s="105" t="s">
        <v>3079</v>
      </c>
      <c r="G2157" s="106" t="s">
        <v>124</v>
      </c>
      <c r="H2157" s="106" t="s">
        <v>3081</v>
      </c>
      <c r="I2157" s="105">
        <v>60</v>
      </c>
    </row>
    <row r="2158" spans="1:9" x14ac:dyDescent="0.25">
      <c r="A2158" t="s">
        <v>180</v>
      </c>
      <c r="B2158" s="11" t="s">
        <v>3063</v>
      </c>
      <c r="C2158" s="12"/>
      <c r="D2158" s="104">
        <v>610000004497</v>
      </c>
      <c r="E2158" s="104"/>
      <c r="F2158" s="105" t="s">
        <v>3079</v>
      </c>
      <c r="G2158" s="106" t="s">
        <v>128</v>
      </c>
      <c r="H2158" s="106" t="s">
        <v>3082</v>
      </c>
      <c r="I2158" s="105">
        <v>60</v>
      </c>
    </row>
    <row r="2159" spans="1:9" x14ac:dyDescent="0.25">
      <c r="A2159" t="s">
        <v>180</v>
      </c>
      <c r="B2159" s="11" t="s">
        <v>3063</v>
      </c>
      <c r="C2159" s="12"/>
      <c r="D2159" s="104">
        <v>610000004497</v>
      </c>
      <c r="E2159" s="104"/>
      <c r="F2159" s="105" t="s">
        <v>3079</v>
      </c>
      <c r="G2159" s="106" t="s">
        <v>132</v>
      </c>
      <c r="H2159" s="106" t="s">
        <v>157</v>
      </c>
      <c r="I2159" s="105">
        <v>60</v>
      </c>
    </row>
    <row r="2160" spans="1:9" x14ac:dyDescent="0.25">
      <c r="A2160" t="s">
        <v>180</v>
      </c>
      <c r="B2160" s="11" t="s">
        <v>3063</v>
      </c>
      <c r="C2160" s="12"/>
      <c r="D2160" s="104">
        <v>610000004497</v>
      </c>
      <c r="E2160" s="104"/>
      <c r="F2160" s="105" t="s">
        <v>3079</v>
      </c>
      <c r="G2160" s="106" t="s">
        <v>135</v>
      </c>
      <c r="H2160" s="106" t="s">
        <v>158</v>
      </c>
      <c r="I2160" s="105">
        <v>60</v>
      </c>
    </row>
    <row r="2161" spans="1:9" x14ac:dyDescent="0.25">
      <c r="A2161" t="s">
        <v>180</v>
      </c>
      <c r="B2161" s="11" t="s">
        <v>3063</v>
      </c>
      <c r="C2161" s="12"/>
      <c r="D2161" s="104">
        <v>610000004497</v>
      </c>
      <c r="E2161" s="104"/>
      <c r="F2161" s="105" t="s">
        <v>3079</v>
      </c>
      <c r="G2161" s="106" t="s">
        <v>139</v>
      </c>
      <c r="H2161" s="106" t="s">
        <v>3083</v>
      </c>
      <c r="I2161" s="105">
        <v>60</v>
      </c>
    </row>
    <row r="2162" spans="1:9" x14ac:dyDescent="0.25">
      <c r="A2162" t="s">
        <v>180</v>
      </c>
      <c r="B2162" s="11" t="s">
        <v>3063</v>
      </c>
      <c r="C2162" s="12"/>
      <c r="D2162" s="104">
        <v>610000004497</v>
      </c>
      <c r="E2162" s="104"/>
      <c r="F2162" s="105" t="s">
        <v>3079</v>
      </c>
      <c r="G2162" s="106" t="s">
        <v>260</v>
      </c>
      <c r="H2162" s="106" t="s">
        <v>268</v>
      </c>
      <c r="I2162" s="105">
        <v>60</v>
      </c>
    </row>
    <row r="2163" spans="1:9" ht="15.75" thickBot="1" x14ac:dyDescent="0.3">
      <c r="A2163" t="s">
        <v>180</v>
      </c>
      <c r="B2163" s="11" t="s">
        <v>3063</v>
      </c>
      <c r="C2163" s="27"/>
      <c r="D2163" s="147">
        <v>610000004497</v>
      </c>
      <c r="E2163" s="147"/>
      <c r="F2163" s="148" t="s">
        <v>3079</v>
      </c>
      <c r="G2163" s="149" t="s">
        <v>3071</v>
      </c>
      <c r="H2163" s="149" t="s">
        <v>3084</v>
      </c>
      <c r="I2163" s="148">
        <v>60</v>
      </c>
    </row>
    <row r="2164" spans="1:9" x14ac:dyDescent="0.25">
      <c r="A2164" t="s">
        <v>180</v>
      </c>
      <c r="B2164" s="11" t="s">
        <v>3085</v>
      </c>
      <c r="C2164" s="228"/>
      <c r="D2164" s="410"/>
      <c r="E2164" s="410"/>
      <c r="F2164" s="165" t="s">
        <v>3086</v>
      </c>
      <c r="G2164" s="128" t="s">
        <v>101</v>
      </c>
      <c r="H2164" s="223" t="s">
        <v>3087</v>
      </c>
      <c r="I2164" s="165">
        <v>7</v>
      </c>
    </row>
    <row r="2165" spans="1:9" x14ac:dyDescent="0.25">
      <c r="A2165" t="s">
        <v>180</v>
      </c>
      <c r="B2165" s="11" t="s">
        <v>3085</v>
      </c>
      <c r="C2165" s="12"/>
      <c r="D2165" s="36">
        <v>342282</v>
      </c>
      <c r="E2165" s="36"/>
      <c r="F2165" s="45" t="s">
        <v>3088</v>
      </c>
      <c r="G2165" s="46" t="s">
        <v>273</v>
      </c>
      <c r="H2165" s="46" t="s">
        <v>3089</v>
      </c>
      <c r="I2165" s="45">
        <v>15</v>
      </c>
    </row>
    <row r="2166" spans="1:9" x14ac:dyDescent="0.25">
      <c r="A2166" t="s">
        <v>180</v>
      </c>
      <c r="B2166" s="11" t="s">
        <v>3085</v>
      </c>
      <c r="C2166" s="12"/>
      <c r="D2166" s="100">
        <v>610000004500</v>
      </c>
      <c r="E2166" s="100"/>
      <c r="F2166" s="101" t="s">
        <v>3091</v>
      </c>
      <c r="G2166" s="102" t="s">
        <v>3090</v>
      </c>
      <c r="H2166" s="102" t="s">
        <v>3092</v>
      </c>
      <c r="I2166" s="101">
        <v>15</v>
      </c>
    </row>
    <row r="2167" spans="1:9" x14ac:dyDescent="0.25">
      <c r="A2167" t="s">
        <v>180</v>
      </c>
      <c r="B2167" s="11" t="s">
        <v>3085</v>
      </c>
      <c r="C2167" s="12"/>
      <c r="D2167" s="103">
        <v>610000004500</v>
      </c>
      <c r="E2167" s="103"/>
      <c r="F2167" s="85" t="s">
        <v>3091</v>
      </c>
      <c r="G2167" s="84" t="s">
        <v>3093</v>
      </c>
      <c r="H2167" s="84" t="s">
        <v>3094</v>
      </c>
      <c r="I2167" s="85">
        <v>15</v>
      </c>
    </row>
    <row r="2168" spans="1:9" x14ac:dyDescent="0.25">
      <c r="A2168" t="s">
        <v>180</v>
      </c>
      <c r="B2168" s="11" t="s">
        <v>3085</v>
      </c>
      <c r="C2168" s="12"/>
      <c r="D2168" s="140">
        <v>610000004501</v>
      </c>
      <c r="E2168" s="140"/>
      <c r="F2168" s="141" t="s">
        <v>3095</v>
      </c>
      <c r="G2168" s="142" t="s">
        <v>271</v>
      </c>
      <c r="H2168" s="142" t="s">
        <v>281</v>
      </c>
      <c r="I2168" s="141">
        <v>30</v>
      </c>
    </row>
    <row r="2169" spans="1:9" x14ac:dyDescent="0.25">
      <c r="A2169" t="s">
        <v>180</v>
      </c>
      <c r="B2169" s="11" t="s">
        <v>3085</v>
      </c>
      <c r="C2169" s="12"/>
      <c r="D2169" s="104">
        <v>610000004501</v>
      </c>
      <c r="E2169" s="104"/>
      <c r="F2169" s="105" t="s">
        <v>3095</v>
      </c>
      <c r="G2169" s="106" t="s">
        <v>3090</v>
      </c>
      <c r="H2169" s="106" t="s">
        <v>3096</v>
      </c>
      <c r="I2169" s="105">
        <v>30</v>
      </c>
    </row>
    <row r="2170" spans="1:9" x14ac:dyDescent="0.25">
      <c r="A2170" t="s">
        <v>180</v>
      </c>
      <c r="B2170" s="11" t="s">
        <v>3085</v>
      </c>
      <c r="C2170" s="12"/>
      <c r="D2170" s="104">
        <v>610000004501</v>
      </c>
      <c r="E2170" s="104"/>
      <c r="F2170" s="105" t="s">
        <v>3095</v>
      </c>
      <c r="G2170" s="106" t="s">
        <v>3093</v>
      </c>
      <c r="H2170" s="106" t="s">
        <v>3098</v>
      </c>
      <c r="I2170" s="105">
        <v>30</v>
      </c>
    </row>
    <row r="2171" spans="1:9" x14ac:dyDescent="0.25">
      <c r="A2171" t="s">
        <v>180</v>
      </c>
      <c r="B2171" s="11" t="s">
        <v>3085</v>
      </c>
      <c r="C2171" s="177"/>
      <c r="D2171" s="104">
        <v>610000004501</v>
      </c>
      <c r="E2171" s="104"/>
      <c r="F2171" s="105" t="s">
        <v>3095</v>
      </c>
      <c r="G2171" s="106" t="s">
        <v>279</v>
      </c>
      <c r="H2171" s="106" t="s">
        <v>283</v>
      </c>
      <c r="I2171" s="105">
        <v>30</v>
      </c>
    </row>
    <row r="2172" spans="1:9" x14ac:dyDescent="0.25">
      <c r="A2172" t="s">
        <v>180</v>
      </c>
      <c r="B2172" s="11" t="s">
        <v>3085</v>
      </c>
      <c r="C2172" s="177"/>
      <c r="D2172" s="104">
        <v>610000004501</v>
      </c>
      <c r="E2172" s="104"/>
      <c r="F2172" s="105" t="s">
        <v>3095</v>
      </c>
      <c r="G2172" s="106" t="s">
        <v>273</v>
      </c>
      <c r="H2172" s="106" t="s">
        <v>284</v>
      </c>
      <c r="I2172" s="105">
        <v>30</v>
      </c>
    </row>
    <row r="2173" spans="1:9" x14ac:dyDescent="0.25">
      <c r="A2173" t="s">
        <v>180</v>
      </c>
      <c r="B2173" s="11" t="s">
        <v>3085</v>
      </c>
      <c r="C2173" s="12"/>
      <c r="D2173" s="104">
        <v>610000004501</v>
      </c>
      <c r="E2173" s="104"/>
      <c r="F2173" s="105" t="s">
        <v>3095</v>
      </c>
      <c r="G2173" s="106" t="s">
        <v>3097</v>
      </c>
      <c r="H2173" s="106" t="s">
        <v>3099</v>
      </c>
      <c r="I2173" s="105">
        <v>30</v>
      </c>
    </row>
    <row r="2174" spans="1:9" x14ac:dyDescent="0.25">
      <c r="A2174" t="s">
        <v>180</v>
      </c>
      <c r="B2174" s="11" t="s">
        <v>3085</v>
      </c>
      <c r="C2174" s="12"/>
      <c r="D2174" s="104">
        <v>610000004501</v>
      </c>
      <c r="E2174" s="104"/>
      <c r="F2174" s="105" t="s">
        <v>3095</v>
      </c>
      <c r="G2174" s="106" t="s">
        <v>271</v>
      </c>
      <c r="H2174" s="106" t="s">
        <v>379</v>
      </c>
      <c r="I2174" s="105">
        <v>30</v>
      </c>
    </row>
    <row r="2175" spans="1:9" x14ac:dyDescent="0.25">
      <c r="A2175" t="s">
        <v>180</v>
      </c>
      <c r="B2175" s="11" t="s">
        <v>3085</v>
      </c>
      <c r="C2175" s="12"/>
      <c r="D2175" s="104">
        <v>610000004501</v>
      </c>
      <c r="E2175" s="104"/>
      <c r="F2175" s="105" t="s">
        <v>3095</v>
      </c>
      <c r="G2175" s="106" t="s">
        <v>3090</v>
      </c>
      <c r="H2175" s="106" t="s">
        <v>3100</v>
      </c>
      <c r="I2175" s="105">
        <v>30</v>
      </c>
    </row>
    <row r="2176" spans="1:9" x14ac:dyDescent="0.25">
      <c r="A2176" t="s">
        <v>180</v>
      </c>
      <c r="B2176" s="11" t="s">
        <v>3085</v>
      </c>
      <c r="C2176" s="12"/>
      <c r="D2176" s="104">
        <v>610000004501</v>
      </c>
      <c r="E2176" s="104"/>
      <c r="F2176" s="105" t="s">
        <v>3095</v>
      </c>
      <c r="G2176" s="106" t="s">
        <v>3093</v>
      </c>
      <c r="H2176" s="106" t="s">
        <v>3101</v>
      </c>
      <c r="I2176" s="105">
        <v>30</v>
      </c>
    </row>
    <row r="2177" spans="1:9" x14ac:dyDescent="0.25">
      <c r="A2177" t="s">
        <v>180</v>
      </c>
      <c r="B2177" s="11" t="s">
        <v>3085</v>
      </c>
      <c r="C2177" s="12"/>
      <c r="D2177" s="104">
        <v>610000004501</v>
      </c>
      <c r="E2177" s="104"/>
      <c r="F2177" s="105" t="s">
        <v>3095</v>
      </c>
      <c r="G2177" s="106" t="s">
        <v>279</v>
      </c>
      <c r="H2177" s="106" t="s">
        <v>381</v>
      </c>
      <c r="I2177" s="105">
        <v>30</v>
      </c>
    </row>
    <row r="2178" spans="1:9" x14ac:dyDescent="0.25">
      <c r="A2178" t="s">
        <v>180</v>
      </c>
      <c r="B2178" s="11" t="s">
        <v>3085</v>
      </c>
      <c r="C2178" s="12"/>
      <c r="D2178" s="104">
        <v>610000004501</v>
      </c>
      <c r="E2178" s="104"/>
      <c r="F2178" s="105" t="s">
        <v>3095</v>
      </c>
      <c r="G2178" s="106" t="s">
        <v>273</v>
      </c>
      <c r="H2178" s="106" t="s">
        <v>2264</v>
      </c>
      <c r="I2178" s="105">
        <v>30</v>
      </c>
    </row>
    <row r="2179" spans="1:9" x14ac:dyDescent="0.25">
      <c r="A2179" t="s">
        <v>180</v>
      </c>
      <c r="B2179" s="11" t="s">
        <v>3085</v>
      </c>
      <c r="C2179" s="12"/>
      <c r="D2179" s="104">
        <v>610000004501</v>
      </c>
      <c r="E2179" s="104"/>
      <c r="F2179" s="105" t="s">
        <v>3095</v>
      </c>
      <c r="G2179" s="106" t="s">
        <v>3097</v>
      </c>
      <c r="H2179" s="106" t="s">
        <v>3102</v>
      </c>
      <c r="I2179" s="105">
        <v>30</v>
      </c>
    </row>
    <row r="2180" spans="1:9" x14ac:dyDescent="0.25">
      <c r="A2180" t="s">
        <v>180</v>
      </c>
      <c r="B2180" s="11" t="s">
        <v>3085</v>
      </c>
      <c r="C2180" s="12"/>
      <c r="D2180" s="156">
        <v>610000004502</v>
      </c>
      <c r="E2180" s="156"/>
      <c r="F2180" s="157" t="s">
        <v>3103</v>
      </c>
      <c r="G2180" s="158" t="s">
        <v>273</v>
      </c>
      <c r="H2180" s="158" t="s">
        <v>287</v>
      </c>
      <c r="I2180" s="157">
        <v>30</v>
      </c>
    </row>
    <row r="2181" spans="1:9" x14ac:dyDescent="0.25">
      <c r="A2181" t="s">
        <v>180</v>
      </c>
      <c r="B2181" s="11" t="s">
        <v>3085</v>
      </c>
      <c r="C2181" s="12"/>
      <c r="D2181" s="140">
        <v>610000004503</v>
      </c>
      <c r="E2181" s="140"/>
      <c r="F2181" s="141" t="s">
        <v>3104</v>
      </c>
      <c r="G2181" s="142" t="s">
        <v>271</v>
      </c>
      <c r="H2181" s="106" t="s">
        <v>290</v>
      </c>
      <c r="I2181" s="141">
        <v>60</v>
      </c>
    </row>
    <row r="2182" spans="1:9" x14ac:dyDescent="0.25">
      <c r="A2182" t="s">
        <v>180</v>
      </c>
      <c r="B2182" s="11" t="s">
        <v>3085</v>
      </c>
      <c r="C2182" s="12"/>
      <c r="D2182" s="104">
        <v>610000004503</v>
      </c>
      <c r="E2182" s="104"/>
      <c r="F2182" s="105" t="s">
        <v>3104</v>
      </c>
      <c r="G2182" s="106" t="s">
        <v>3090</v>
      </c>
      <c r="H2182" s="106" t="s">
        <v>3105</v>
      </c>
      <c r="I2182" s="105">
        <v>60</v>
      </c>
    </row>
    <row r="2183" spans="1:9" x14ac:dyDescent="0.25">
      <c r="A2183" t="s">
        <v>180</v>
      </c>
      <c r="B2183" s="11" t="s">
        <v>3085</v>
      </c>
      <c r="C2183" s="12"/>
      <c r="D2183" s="104">
        <v>610000004503</v>
      </c>
      <c r="E2183" s="104"/>
      <c r="F2183" s="105" t="s">
        <v>3104</v>
      </c>
      <c r="G2183" s="106" t="s">
        <v>3093</v>
      </c>
      <c r="H2183" s="106" t="s">
        <v>3106</v>
      </c>
      <c r="I2183" s="105">
        <v>60</v>
      </c>
    </row>
    <row r="2184" spans="1:9" x14ac:dyDescent="0.25">
      <c r="A2184" t="s">
        <v>180</v>
      </c>
      <c r="B2184" s="11" t="s">
        <v>3085</v>
      </c>
      <c r="C2184" s="12"/>
      <c r="D2184" s="104">
        <v>610000004503</v>
      </c>
      <c r="E2184" s="104"/>
      <c r="F2184" s="105" t="s">
        <v>3104</v>
      </c>
      <c r="G2184" s="106" t="s">
        <v>279</v>
      </c>
      <c r="H2184" s="106" t="s">
        <v>292</v>
      </c>
      <c r="I2184" s="105">
        <v>60</v>
      </c>
    </row>
    <row r="2185" spans="1:9" x14ac:dyDescent="0.25">
      <c r="A2185" t="s">
        <v>180</v>
      </c>
      <c r="B2185" s="11" t="s">
        <v>3085</v>
      </c>
      <c r="C2185" s="12"/>
      <c r="D2185" s="104">
        <v>610000004503</v>
      </c>
      <c r="E2185" s="104"/>
      <c r="F2185" s="105" t="s">
        <v>3104</v>
      </c>
      <c r="G2185" s="106" t="s">
        <v>273</v>
      </c>
      <c r="H2185" s="106" t="s">
        <v>293</v>
      </c>
      <c r="I2185" s="105">
        <v>60</v>
      </c>
    </row>
    <row r="2186" spans="1:9" x14ac:dyDescent="0.25">
      <c r="A2186" t="s">
        <v>180</v>
      </c>
      <c r="B2186" s="11" t="s">
        <v>3085</v>
      </c>
      <c r="C2186" s="12"/>
      <c r="D2186" s="103">
        <v>610000004503</v>
      </c>
      <c r="E2186" s="103"/>
      <c r="F2186" s="85" t="s">
        <v>3104</v>
      </c>
      <c r="G2186" s="84" t="s">
        <v>3097</v>
      </c>
      <c r="H2186" s="84" t="s">
        <v>3107</v>
      </c>
      <c r="I2186" s="85">
        <v>60</v>
      </c>
    </row>
    <row r="2187" spans="1:9" x14ac:dyDescent="0.25">
      <c r="A2187" t="s">
        <v>180</v>
      </c>
      <c r="B2187" s="11" t="s">
        <v>3085</v>
      </c>
      <c r="C2187" s="12"/>
      <c r="D2187" s="6">
        <v>342854</v>
      </c>
      <c r="E2187" s="6"/>
      <c r="F2187" s="7" t="s">
        <v>3108</v>
      </c>
      <c r="G2187" s="8" t="s">
        <v>273</v>
      </c>
      <c r="H2187" s="8" t="s">
        <v>300</v>
      </c>
      <c r="I2187" s="7">
        <v>180</v>
      </c>
    </row>
    <row r="2188" spans="1:9" ht="15.75" thickBot="1" x14ac:dyDescent="0.3">
      <c r="A2188" t="s">
        <v>180</v>
      </c>
      <c r="B2188" s="11" t="s">
        <v>3085</v>
      </c>
      <c r="C2188" s="27"/>
      <c r="D2188" s="185">
        <v>342346</v>
      </c>
      <c r="E2188" s="185"/>
      <c r="F2188" s="186" t="s">
        <v>3109</v>
      </c>
      <c r="G2188" s="187" t="s">
        <v>279</v>
      </c>
      <c r="H2188" s="187" t="s">
        <v>3110</v>
      </c>
      <c r="I2188" s="186">
        <v>180</v>
      </c>
    </row>
    <row r="2189" spans="1:9" x14ac:dyDescent="0.25">
      <c r="A2189" t="s">
        <v>180</v>
      </c>
      <c r="B2189" s="11" t="s">
        <v>3111</v>
      </c>
      <c r="C2189" s="12"/>
      <c r="D2189" s="140">
        <v>610000004507</v>
      </c>
      <c r="E2189" s="140"/>
      <c r="F2189" s="141" t="s">
        <v>3112</v>
      </c>
      <c r="G2189" s="142" t="s">
        <v>302</v>
      </c>
      <c r="H2189" s="106" t="s">
        <v>307</v>
      </c>
      <c r="I2189" s="141">
        <v>30</v>
      </c>
    </row>
    <row r="2190" spans="1:9" x14ac:dyDescent="0.25">
      <c r="A2190" t="s">
        <v>180</v>
      </c>
      <c r="B2190" s="11" t="s">
        <v>3111</v>
      </c>
      <c r="C2190" s="12"/>
      <c r="D2190" s="104">
        <v>610000004507</v>
      </c>
      <c r="E2190" s="104"/>
      <c r="F2190" s="105" t="s">
        <v>3112</v>
      </c>
      <c r="G2190" s="106" t="s">
        <v>305</v>
      </c>
      <c r="H2190" s="106" t="s">
        <v>309</v>
      </c>
      <c r="I2190" s="105">
        <v>30</v>
      </c>
    </row>
    <row r="2191" spans="1:9" x14ac:dyDescent="0.25">
      <c r="A2191" t="s">
        <v>180</v>
      </c>
      <c r="B2191" s="11" t="s">
        <v>3111</v>
      </c>
      <c r="C2191" s="12"/>
      <c r="D2191" s="104">
        <v>610000004507</v>
      </c>
      <c r="E2191" s="104"/>
      <c r="F2191" s="105" t="s">
        <v>3112</v>
      </c>
      <c r="G2191" s="106" t="s">
        <v>308</v>
      </c>
      <c r="H2191" s="106" t="s">
        <v>311</v>
      </c>
      <c r="I2191" s="105">
        <v>30</v>
      </c>
    </row>
    <row r="2192" spans="1:9" x14ac:dyDescent="0.25">
      <c r="A2192" t="s">
        <v>180</v>
      </c>
      <c r="B2192" s="11" t="s">
        <v>3111</v>
      </c>
      <c r="C2192" s="12"/>
      <c r="D2192" s="104">
        <v>610000004507</v>
      </c>
      <c r="E2192" s="104"/>
      <c r="F2192" s="105" t="s">
        <v>3112</v>
      </c>
      <c r="G2192" s="106" t="s">
        <v>310</v>
      </c>
      <c r="H2192" s="106" t="s">
        <v>313</v>
      </c>
      <c r="I2192" s="105">
        <v>30</v>
      </c>
    </row>
    <row r="2193" spans="1:9" x14ac:dyDescent="0.25">
      <c r="A2193" t="s">
        <v>180</v>
      </c>
      <c r="B2193" s="11" t="s">
        <v>3111</v>
      </c>
      <c r="C2193" s="12"/>
      <c r="D2193" s="104">
        <v>610000004507</v>
      </c>
      <c r="E2193" s="104"/>
      <c r="F2193" s="105" t="s">
        <v>3112</v>
      </c>
      <c r="G2193" s="106" t="s">
        <v>3113</v>
      </c>
      <c r="H2193" s="106" t="s">
        <v>3114</v>
      </c>
      <c r="I2193" s="105">
        <v>30</v>
      </c>
    </row>
    <row r="2194" spans="1:9" x14ac:dyDescent="0.25">
      <c r="A2194" t="s">
        <v>180</v>
      </c>
      <c r="B2194" s="11" t="s">
        <v>3111</v>
      </c>
      <c r="C2194" s="12"/>
      <c r="D2194" s="104">
        <v>610000004507</v>
      </c>
      <c r="E2194" s="104"/>
      <c r="F2194" s="105" t="s">
        <v>3112</v>
      </c>
      <c r="G2194" s="106" t="s">
        <v>312</v>
      </c>
      <c r="H2194" s="106" t="s">
        <v>314</v>
      </c>
      <c r="I2194" s="105">
        <v>30</v>
      </c>
    </row>
    <row r="2195" spans="1:9" x14ac:dyDescent="0.25">
      <c r="A2195" t="s">
        <v>180</v>
      </c>
      <c r="B2195" s="11" t="s">
        <v>3111</v>
      </c>
      <c r="C2195" s="12"/>
      <c r="D2195" s="104">
        <v>610000004507</v>
      </c>
      <c r="E2195" s="104"/>
      <c r="F2195" s="105" t="s">
        <v>3112</v>
      </c>
      <c r="G2195" s="106" t="s">
        <v>3115</v>
      </c>
      <c r="H2195" s="106" t="s">
        <v>3116</v>
      </c>
      <c r="I2195" s="105">
        <v>30</v>
      </c>
    </row>
    <row r="2196" spans="1:9" x14ac:dyDescent="0.25">
      <c r="A2196" t="s">
        <v>180</v>
      </c>
      <c r="B2196" s="11" t="s">
        <v>3111</v>
      </c>
      <c r="C2196" s="12"/>
      <c r="D2196" s="104">
        <v>610000004507</v>
      </c>
      <c r="E2196" s="104"/>
      <c r="F2196" s="105" t="s">
        <v>3112</v>
      </c>
      <c r="G2196" s="106" t="s">
        <v>3117</v>
      </c>
      <c r="H2196" s="106" t="s">
        <v>3118</v>
      </c>
      <c r="I2196" s="105">
        <v>30</v>
      </c>
    </row>
    <row r="2197" spans="1:9" x14ac:dyDescent="0.25">
      <c r="A2197" t="s">
        <v>180</v>
      </c>
      <c r="B2197" s="11" t="s">
        <v>3111</v>
      </c>
      <c r="C2197" s="12"/>
      <c r="D2197" s="104">
        <v>610000004507</v>
      </c>
      <c r="E2197" s="104"/>
      <c r="F2197" s="105" t="s">
        <v>3112</v>
      </c>
      <c r="G2197" s="106" t="s">
        <v>302</v>
      </c>
      <c r="H2197" s="106" t="s">
        <v>3119</v>
      </c>
      <c r="I2197" s="105">
        <v>30</v>
      </c>
    </row>
    <row r="2198" spans="1:9" x14ac:dyDescent="0.25">
      <c r="A2198" t="s">
        <v>180</v>
      </c>
      <c r="B2198" s="11" t="s">
        <v>3111</v>
      </c>
      <c r="C2198" s="12"/>
      <c r="D2198" s="104">
        <v>610000004507</v>
      </c>
      <c r="E2198" s="104"/>
      <c r="F2198" s="105" t="s">
        <v>3112</v>
      </c>
      <c r="G2198" s="106" t="s">
        <v>305</v>
      </c>
      <c r="H2198" s="106" t="s">
        <v>3120</v>
      </c>
      <c r="I2198" s="105">
        <v>30</v>
      </c>
    </row>
    <row r="2199" spans="1:9" x14ac:dyDescent="0.25">
      <c r="A2199" t="s">
        <v>180</v>
      </c>
      <c r="B2199" s="11" t="s">
        <v>3111</v>
      </c>
      <c r="C2199" s="12"/>
      <c r="D2199" s="104">
        <v>610000004507</v>
      </c>
      <c r="E2199" s="104"/>
      <c r="F2199" s="105" t="s">
        <v>3112</v>
      </c>
      <c r="G2199" s="106" t="s">
        <v>308</v>
      </c>
      <c r="H2199" s="106" t="s">
        <v>3121</v>
      </c>
      <c r="I2199" s="105">
        <v>30</v>
      </c>
    </row>
    <row r="2200" spans="1:9" x14ac:dyDescent="0.25">
      <c r="A2200" t="s">
        <v>180</v>
      </c>
      <c r="B2200" s="11" t="s">
        <v>3111</v>
      </c>
      <c r="C2200" s="12"/>
      <c r="D2200" s="104">
        <v>610000004507</v>
      </c>
      <c r="E2200" s="104"/>
      <c r="F2200" s="105" t="s">
        <v>3112</v>
      </c>
      <c r="G2200" s="106" t="s">
        <v>310</v>
      </c>
      <c r="H2200" s="106" t="s">
        <v>3122</v>
      </c>
      <c r="I2200" s="105">
        <v>30</v>
      </c>
    </row>
    <row r="2201" spans="1:9" x14ac:dyDescent="0.25">
      <c r="A2201" t="s">
        <v>180</v>
      </c>
      <c r="B2201" s="11" t="s">
        <v>3111</v>
      </c>
      <c r="C2201" s="12"/>
      <c r="D2201" s="104">
        <v>610000004507</v>
      </c>
      <c r="E2201" s="104"/>
      <c r="F2201" s="105" t="s">
        <v>3112</v>
      </c>
      <c r="G2201" s="106" t="s">
        <v>3113</v>
      </c>
      <c r="H2201" s="106" t="s">
        <v>3123</v>
      </c>
      <c r="I2201" s="105">
        <v>30</v>
      </c>
    </row>
    <row r="2202" spans="1:9" x14ac:dyDescent="0.25">
      <c r="A2202" t="s">
        <v>180</v>
      </c>
      <c r="B2202" s="11" t="s">
        <v>3111</v>
      </c>
      <c r="C2202" s="12"/>
      <c r="D2202" s="104">
        <v>610000004507</v>
      </c>
      <c r="E2202" s="104"/>
      <c r="F2202" s="105" t="s">
        <v>3112</v>
      </c>
      <c r="G2202" s="106" t="s">
        <v>312</v>
      </c>
      <c r="H2202" s="106" t="s">
        <v>478</v>
      </c>
      <c r="I2202" s="105">
        <v>30</v>
      </c>
    </row>
    <row r="2203" spans="1:9" x14ac:dyDescent="0.25">
      <c r="A2203" t="s">
        <v>180</v>
      </c>
      <c r="B2203" s="11" t="s">
        <v>3111</v>
      </c>
      <c r="C2203" s="12"/>
      <c r="D2203" s="104">
        <v>610000004507</v>
      </c>
      <c r="E2203" s="104"/>
      <c r="F2203" s="105" t="s">
        <v>3112</v>
      </c>
      <c r="G2203" s="106" t="s">
        <v>3115</v>
      </c>
      <c r="H2203" s="106" t="s">
        <v>3124</v>
      </c>
      <c r="I2203" s="105">
        <v>30</v>
      </c>
    </row>
    <row r="2204" spans="1:9" x14ac:dyDescent="0.25">
      <c r="A2204" t="s">
        <v>180</v>
      </c>
      <c r="B2204" s="11" t="s">
        <v>3111</v>
      </c>
      <c r="C2204" s="12"/>
      <c r="D2204" s="103">
        <v>610000004507</v>
      </c>
      <c r="E2204" s="103"/>
      <c r="F2204" s="85" t="s">
        <v>3112</v>
      </c>
      <c r="G2204" s="84" t="s">
        <v>3117</v>
      </c>
      <c r="H2204" s="84" t="s">
        <v>3125</v>
      </c>
      <c r="I2204" s="85">
        <v>30</v>
      </c>
    </row>
    <row r="2205" spans="1:9" x14ac:dyDescent="0.25">
      <c r="A2205" t="s">
        <v>180</v>
      </c>
      <c r="B2205" s="11" t="s">
        <v>3111</v>
      </c>
      <c r="C2205" s="12"/>
      <c r="D2205" s="140">
        <v>610000004508</v>
      </c>
      <c r="E2205" s="140"/>
      <c r="F2205" s="141" t="s">
        <v>3126</v>
      </c>
      <c r="G2205" s="142" t="s">
        <v>302</v>
      </c>
      <c r="H2205" s="106" t="s">
        <v>317</v>
      </c>
      <c r="I2205" s="141">
        <v>60</v>
      </c>
    </row>
    <row r="2206" spans="1:9" x14ac:dyDescent="0.25">
      <c r="A2206" t="s">
        <v>180</v>
      </c>
      <c r="B2206" s="11" t="s">
        <v>3111</v>
      </c>
      <c r="C2206" s="12"/>
      <c r="D2206" s="104">
        <v>610000004508</v>
      </c>
      <c r="E2206" s="104"/>
      <c r="F2206" s="105" t="s">
        <v>3126</v>
      </c>
      <c r="G2206" s="106" t="s">
        <v>305</v>
      </c>
      <c r="H2206" s="106" t="s">
        <v>318</v>
      </c>
      <c r="I2206" s="105">
        <v>60</v>
      </c>
    </row>
    <row r="2207" spans="1:9" x14ac:dyDescent="0.25">
      <c r="A2207" t="s">
        <v>180</v>
      </c>
      <c r="B2207" s="11" t="s">
        <v>3111</v>
      </c>
      <c r="C2207" s="12"/>
      <c r="D2207" s="104">
        <v>610000004508</v>
      </c>
      <c r="E2207" s="104"/>
      <c r="F2207" s="105" t="s">
        <v>3126</v>
      </c>
      <c r="G2207" s="106" t="s">
        <v>308</v>
      </c>
      <c r="H2207" s="106" t="s">
        <v>319</v>
      </c>
      <c r="I2207" s="105">
        <v>60</v>
      </c>
    </row>
    <row r="2208" spans="1:9" x14ac:dyDescent="0.25">
      <c r="A2208" t="s">
        <v>180</v>
      </c>
      <c r="B2208" s="11" t="s">
        <v>3111</v>
      </c>
      <c r="C2208" s="12"/>
      <c r="D2208" s="104">
        <v>610000004508</v>
      </c>
      <c r="E2208" s="104"/>
      <c r="F2208" s="105" t="s">
        <v>3126</v>
      </c>
      <c r="G2208" s="106" t="s">
        <v>310</v>
      </c>
      <c r="H2208" s="106" t="s">
        <v>320</v>
      </c>
      <c r="I2208" s="105">
        <v>60</v>
      </c>
    </row>
    <row r="2209" spans="1:9" x14ac:dyDescent="0.25">
      <c r="A2209" t="s">
        <v>180</v>
      </c>
      <c r="B2209" s="11" t="s">
        <v>3111</v>
      </c>
      <c r="C2209" s="12"/>
      <c r="D2209" s="104">
        <v>610000004508</v>
      </c>
      <c r="E2209" s="104"/>
      <c r="F2209" s="105" t="s">
        <v>3126</v>
      </c>
      <c r="G2209" s="106" t="s">
        <v>3113</v>
      </c>
      <c r="H2209" s="106" t="s">
        <v>3127</v>
      </c>
      <c r="I2209" s="105">
        <v>60</v>
      </c>
    </row>
    <row r="2210" spans="1:9" x14ac:dyDescent="0.25">
      <c r="A2210" t="s">
        <v>180</v>
      </c>
      <c r="B2210" s="11" t="s">
        <v>3111</v>
      </c>
      <c r="C2210" s="12"/>
      <c r="D2210" s="104">
        <v>610000004508</v>
      </c>
      <c r="E2210" s="104"/>
      <c r="F2210" s="105" t="s">
        <v>3126</v>
      </c>
      <c r="G2210" s="106" t="s">
        <v>312</v>
      </c>
      <c r="H2210" s="106" t="s">
        <v>321</v>
      </c>
      <c r="I2210" s="105">
        <v>60</v>
      </c>
    </row>
    <row r="2211" spans="1:9" x14ac:dyDescent="0.25">
      <c r="A2211" t="s">
        <v>180</v>
      </c>
      <c r="B2211" s="11" t="s">
        <v>3111</v>
      </c>
      <c r="C2211" s="12"/>
      <c r="D2211" s="104">
        <v>610000004508</v>
      </c>
      <c r="E2211" s="104"/>
      <c r="F2211" s="105" t="s">
        <v>3126</v>
      </c>
      <c r="G2211" s="106" t="s">
        <v>3115</v>
      </c>
      <c r="H2211" s="106" t="s">
        <v>3128</v>
      </c>
      <c r="I2211" s="105">
        <v>60</v>
      </c>
    </row>
    <row r="2212" spans="1:9" x14ac:dyDescent="0.25">
      <c r="A2212" t="s">
        <v>180</v>
      </c>
      <c r="B2212" s="11" t="s">
        <v>3111</v>
      </c>
      <c r="C2212" s="12"/>
      <c r="D2212" s="103">
        <v>610000004508</v>
      </c>
      <c r="E2212" s="103"/>
      <c r="F2212" s="85" t="s">
        <v>3126</v>
      </c>
      <c r="G2212" s="84" t="s">
        <v>3117</v>
      </c>
      <c r="H2212" s="84" t="s">
        <v>3129</v>
      </c>
      <c r="I2212" s="85">
        <v>60</v>
      </c>
    </row>
    <row r="2213" spans="1:9" x14ac:dyDescent="0.25">
      <c r="A2213" t="s">
        <v>180</v>
      </c>
      <c r="B2213" s="11" t="s">
        <v>3111</v>
      </c>
      <c r="C2213" s="12"/>
      <c r="D2213" s="140">
        <v>610000004510</v>
      </c>
      <c r="E2213" s="140"/>
      <c r="F2213" s="141" t="s">
        <v>3130</v>
      </c>
      <c r="G2213" s="142" t="s">
        <v>305</v>
      </c>
      <c r="H2213" s="142" t="s">
        <v>324</v>
      </c>
      <c r="I2213" s="141">
        <v>365</v>
      </c>
    </row>
    <row r="2214" spans="1:9" ht="15.75" thickBot="1" x14ac:dyDescent="0.3">
      <c r="A2214" t="s">
        <v>180</v>
      </c>
      <c r="B2214" s="11" t="s">
        <v>3111</v>
      </c>
      <c r="C2214" s="27"/>
      <c r="D2214" s="147">
        <v>610000004510</v>
      </c>
      <c r="E2214" s="147"/>
      <c r="F2214" s="148" t="s">
        <v>3130</v>
      </c>
      <c r="G2214" s="149" t="s">
        <v>308</v>
      </c>
      <c r="H2214" s="149" t="s">
        <v>324</v>
      </c>
      <c r="I2214" s="148">
        <v>365</v>
      </c>
    </row>
    <row r="2215" spans="1:9" x14ac:dyDescent="0.25">
      <c r="A2215" t="s">
        <v>180</v>
      </c>
      <c r="B2215" s="11" t="s">
        <v>3131</v>
      </c>
      <c r="C2215" s="12"/>
      <c r="D2215" s="140">
        <v>610000004512</v>
      </c>
      <c r="E2215" s="140"/>
      <c r="F2215" s="141" t="s">
        <v>3133</v>
      </c>
      <c r="G2215" s="142" t="s">
        <v>3132</v>
      </c>
      <c r="H2215" s="106" t="s">
        <v>3134</v>
      </c>
      <c r="I2215" s="141">
        <v>30</v>
      </c>
    </row>
    <row r="2216" spans="1:9" x14ac:dyDescent="0.25">
      <c r="A2216" t="s">
        <v>180</v>
      </c>
      <c r="B2216" s="11" t="s">
        <v>3131</v>
      </c>
      <c r="C2216" s="12"/>
      <c r="D2216" s="104">
        <v>610000004512</v>
      </c>
      <c r="E2216" s="104"/>
      <c r="F2216" s="105" t="s">
        <v>3133</v>
      </c>
      <c r="G2216" s="106" t="s">
        <v>175</v>
      </c>
      <c r="H2216" s="106" t="s">
        <v>177</v>
      </c>
      <c r="I2216" s="105">
        <v>30</v>
      </c>
    </row>
    <row r="2217" spans="1:9" x14ac:dyDescent="0.25">
      <c r="A2217" t="s">
        <v>180</v>
      </c>
      <c r="B2217" s="11" t="s">
        <v>3131</v>
      </c>
      <c r="C2217" s="12"/>
      <c r="D2217" s="104">
        <v>610000004512</v>
      </c>
      <c r="E2217" s="104"/>
      <c r="F2217" s="105" t="s">
        <v>3133</v>
      </c>
      <c r="G2217" s="106" t="s">
        <v>326</v>
      </c>
      <c r="H2217" s="106" t="s">
        <v>332</v>
      </c>
      <c r="I2217" s="105">
        <v>30</v>
      </c>
    </row>
    <row r="2218" spans="1:9" x14ac:dyDescent="0.25">
      <c r="A2218" t="s">
        <v>180</v>
      </c>
      <c r="B2218" s="11" t="s">
        <v>3131</v>
      </c>
      <c r="C2218" s="12"/>
      <c r="D2218" s="104">
        <v>610000004512</v>
      </c>
      <c r="E2218" s="104"/>
      <c r="F2218" s="105" t="s">
        <v>3133</v>
      </c>
      <c r="G2218" s="106" t="s">
        <v>3135</v>
      </c>
      <c r="H2218" s="106" t="s">
        <v>3136</v>
      </c>
      <c r="I2218" s="105">
        <v>30</v>
      </c>
    </row>
    <row r="2219" spans="1:9" x14ac:dyDescent="0.25">
      <c r="A2219" t="s">
        <v>180</v>
      </c>
      <c r="B2219" s="11" t="s">
        <v>3131</v>
      </c>
      <c r="C2219" s="12"/>
      <c r="D2219" s="104">
        <v>610000004512</v>
      </c>
      <c r="E2219" s="104"/>
      <c r="F2219" s="105" t="s">
        <v>3133</v>
      </c>
      <c r="G2219" s="106" t="s">
        <v>3137</v>
      </c>
      <c r="H2219" s="106" t="s">
        <v>3138</v>
      </c>
      <c r="I2219" s="105">
        <v>30</v>
      </c>
    </row>
    <row r="2220" spans="1:9" x14ac:dyDescent="0.25">
      <c r="A2220" t="s">
        <v>180</v>
      </c>
      <c r="B2220" s="11" t="s">
        <v>3131</v>
      </c>
      <c r="C2220" s="12"/>
      <c r="D2220" s="104">
        <v>610000004512</v>
      </c>
      <c r="E2220" s="104"/>
      <c r="F2220" s="105" t="s">
        <v>3133</v>
      </c>
      <c r="G2220" s="106" t="s">
        <v>3132</v>
      </c>
      <c r="H2220" s="106" t="s">
        <v>3139</v>
      </c>
      <c r="I2220" s="105">
        <v>30</v>
      </c>
    </row>
    <row r="2221" spans="1:9" x14ac:dyDescent="0.25">
      <c r="A2221" t="s">
        <v>180</v>
      </c>
      <c r="B2221" s="11" t="s">
        <v>3131</v>
      </c>
      <c r="C2221" s="12"/>
      <c r="D2221" s="104">
        <v>610000004512</v>
      </c>
      <c r="E2221" s="104"/>
      <c r="F2221" s="105" t="s">
        <v>3133</v>
      </c>
      <c r="G2221" s="106" t="s">
        <v>175</v>
      </c>
      <c r="H2221" s="106" t="s">
        <v>3140</v>
      </c>
      <c r="I2221" s="105">
        <v>30</v>
      </c>
    </row>
    <row r="2222" spans="1:9" x14ac:dyDescent="0.25">
      <c r="A2222" t="s">
        <v>180</v>
      </c>
      <c r="B2222" s="11" t="s">
        <v>3131</v>
      </c>
      <c r="C2222" s="12"/>
      <c r="D2222" s="104">
        <v>610000004512</v>
      </c>
      <c r="E2222" s="104"/>
      <c r="F2222" s="105" t="s">
        <v>3133</v>
      </c>
      <c r="G2222" s="106" t="s">
        <v>326</v>
      </c>
      <c r="H2222" s="106" t="s">
        <v>493</v>
      </c>
      <c r="I2222" s="105">
        <v>30</v>
      </c>
    </row>
    <row r="2223" spans="1:9" x14ac:dyDescent="0.25">
      <c r="A2223" t="s">
        <v>180</v>
      </c>
      <c r="B2223" s="11" t="s">
        <v>3131</v>
      </c>
      <c r="C2223" s="12"/>
      <c r="D2223" s="104">
        <v>610000004512</v>
      </c>
      <c r="E2223" s="104"/>
      <c r="F2223" s="105" t="s">
        <v>3133</v>
      </c>
      <c r="G2223" s="106" t="s">
        <v>3135</v>
      </c>
      <c r="H2223" s="106" t="s">
        <v>3141</v>
      </c>
      <c r="I2223" s="105">
        <v>30</v>
      </c>
    </row>
    <row r="2224" spans="1:9" x14ac:dyDescent="0.25">
      <c r="A2224" t="s">
        <v>180</v>
      </c>
      <c r="B2224" s="11" t="s">
        <v>3131</v>
      </c>
      <c r="C2224" s="12"/>
      <c r="D2224" s="103">
        <v>610000004512</v>
      </c>
      <c r="E2224" s="103"/>
      <c r="F2224" s="85" t="s">
        <v>3133</v>
      </c>
      <c r="G2224" s="84" t="s">
        <v>3137</v>
      </c>
      <c r="H2224" s="84" t="s">
        <v>3142</v>
      </c>
      <c r="I2224" s="85">
        <v>30</v>
      </c>
    </row>
    <row r="2225" spans="1:19" x14ac:dyDescent="0.25">
      <c r="A2225" t="s">
        <v>180</v>
      </c>
      <c r="B2225" s="11" t="s">
        <v>3131</v>
      </c>
      <c r="C2225" s="12"/>
      <c r="D2225" s="140">
        <v>610000004513</v>
      </c>
      <c r="E2225" s="140"/>
      <c r="F2225" s="141" t="s">
        <v>3143</v>
      </c>
      <c r="G2225" s="142" t="s">
        <v>3132</v>
      </c>
      <c r="H2225" s="142" t="s">
        <v>3144</v>
      </c>
      <c r="I2225" s="141">
        <v>60</v>
      </c>
    </row>
    <row r="2226" spans="1:19" x14ac:dyDescent="0.25">
      <c r="A2226" t="s">
        <v>180</v>
      </c>
      <c r="B2226" s="11" t="s">
        <v>3131</v>
      </c>
      <c r="C2226" s="12"/>
      <c r="D2226" s="104">
        <v>610000004513</v>
      </c>
      <c r="E2226" s="104"/>
      <c r="F2226" s="105" t="s">
        <v>3143</v>
      </c>
      <c r="G2226" s="106" t="s">
        <v>175</v>
      </c>
      <c r="H2226" s="106" t="s">
        <v>178</v>
      </c>
      <c r="I2226" s="105">
        <v>60</v>
      </c>
    </row>
    <row r="2227" spans="1:19" x14ac:dyDescent="0.25">
      <c r="A2227" t="s">
        <v>180</v>
      </c>
      <c r="B2227" s="11" t="s">
        <v>3131</v>
      </c>
      <c r="C2227" s="12"/>
      <c r="D2227" s="104">
        <v>610000004513</v>
      </c>
      <c r="E2227" s="104"/>
      <c r="F2227" s="105" t="s">
        <v>3143</v>
      </c>
      <c r="G2227" s="106" t="s">
        <v>326</v>
      </c>
      <c r="H2227" s="106" t="s">
        <v>338</v>
      </c>
      <c r="I2227" s="105">
        <v>60</v>
      </c>
    </row>
    <row r="2228" spans="1:19" x14ac:dyDescent="0.25">
      <c r="A2228" t="s">
        <v>180</v>
      </c>
      <c r="B2228" s="11" t="s">
        <v>3131</v>
      </c>
      <c r="C2228" s="12"/>
      <c r="D2228" s="104">
        <v>610000004513</v>
      </c>
      <c r="E2228" s="104"/>
      <c r="F2228" s="105" t="s">
        <v>3143</v>
      </c>
      <c r="G2228" s="106" t="s">
        <v>3135</v>
      </c>
      <c r="H2228" s="106" t="s">
        <v>3145</v>
      </c>
      <c r="I2228" s="105">
        <v>60</v>
      </c>
    </row>
    <row r="2229" spans="1:19" x14ac:dyDescent="0.25">
      <c r="A2229" t="s">
        <v>180</v>
      </c>
      <c r="B2229" s="11" t="s">
        <v>3131</v>
      </c>
      <c r="C2229" s="12"/>
      <c r="D2229" s="103">
        <v>610000004513</v>
      </c>
      <c r="E2229" s="103"/>
      <c r="F2229" s="85" t="s">
        <v>3143</v>
      </c>
      <c r="G2229" s="84" t="s">
        <v>3137</v>
      </c>
      <c r="H2229" s="84" t="s">
        <v>3146</v>
      </c>
      <c r="I2229" s="85">
        <v>60</v>
      </c>
    </row>
    <row r="2230" spans="1:19" x14ac:dyDescent="0.25">
      <c r="A2230" t="s">
        <v>3317</v>
      </c>
      <c r="B2230" s="50" t="s">
        <v>181</v>
      </c>
      <c r="C2230" s="51"/>
      <c r="D2230" s="352">
        <v>610000004809</v>
      </c>
      <c r="E2230" s="352">
        <f>VLOOKUP(D2230,'[1]Task list &amp; Maintenace plan'!$B:$G,6,FALSE)</f>
        <v>101243</v>
      </c>
      <c r="F2230" s="352" t="s">
        <v>3147</v>
      </c>
      <c r="G2230" s="371" t="s">
        <v>562</v>
      </c>
      <c r="H2230" s="61" t="s">
        <v>3148</v>
      </c>
      <c r="I2230" s="353">
        <v>7</v>
      </c>
      <c r="J2230" s="353"/>
      <c r="K2230" s="353">
        <v>15</v>
      </c>
      <c r="L2230" s="353">
        <v>1</v>
      </c>
      <c r="M2230" s="353">
        <f>K2230*L2230</f>
        <v>15</v>
      </c>
      <c r="N2230" s="412" t="s">
        <v>34</v>
      </c>
      <c r="R2230" s="411"/>
      <c r="S2230" s="353"/>
    </row>
    <row r="2231" spans="1:19" x14ac:dyDescent="0.25">
      <c r="A2231" t="s">
        <v>3317</v>
      </c>
      <c r="B2231" s="50" t="s">
        <v>181</v>
      </c>
      <c r="C2231" s="51"/>
      <c r="D2231" s="352">
        <v>610000004810</v>
      </c>
      <c r="E2231" s="352">
        <f>VLOOKUP(D2231,'[1]Task list &amp; Maintenace plan'!$B:$G,6,FALSE)</f>
        <v>101244</v>
      </c>
      <c r="F2231" s="352" t="s">
        <v>3149</v>
      </c>
      <c r="G2231" s="371" t="s">
        <v>562</v>
      </c>
      <c r="H2231" s="61" t="s">
        <v>3150</v>
      </c>
      <c r="I2231" s="353">
        <v>15</v>
      </c>
      <c r="J2231" s="353"/>
      <c r="K2231" s="353">
        <v>15</v>
      </c>
      <c r="L2231" s="353">
        <v>1</v>
      </c>
      <c r="M2231" s="353">
        <f t="shared" ref="M2231:M2294" si="3">K2231*L2231</f>
        <v>15</v>
      </c>
      <c r="N2231" s="412" t="s">
        <v>34</v>
      </c>
      <c r="R2231" s="411"/>
      <c r="S2231" s="353"/>
    </row>
    <row r="2232" spans="1:19" x14ac:dyDescent="0.25">
      <c r="A2232" t="s">
        <v>3317</v>
      </c>
      <c r="B2232" s="50" t="s">
        <v>181</v>
      </c>
      <c r="C2232" s="51"/>
      <c r="D2232" s="346">
        <v>610000004811</v>
      </c>
      <c r="E2232" s="346">
        <f>VLOOKUP(D2232,'[1]Task list &amp; Maintenace plan'!$B:$G,6,FALSE)</f>
        <v>101245</v>
      </c>
      <c r="F2232" s="346" t="s">
        <v>3151</v>
      </c>
      <c r="G2232" s="328" t="s">
        <v>190</v>
      </c>
      <c r="H2232" s="348" t="s">
        <v>3152</v>
      </c>
      <c r="I2232" s="347">
        <v>15</v>
      </c>
      <c r="J2232" s="347">
        <v>1</v>
      </c>
      <c r="K2232" s="347">
        <v>30</v>
      </c>
      <c r="L2232" s="347">
        <v>1</v>
      </c>
      <c r="M2232" s="347">
        <f t="shared" si="3"/>
        <v>30</v>
      </c>
      <c r="N2232" s="733" t="s">
        <v>20</v>
      </c>
      <c r="R2232" s="413"/>
      <c r="S2232" s="347"/>
    </row>
    <row r="2233" spans="1:19" x14ac:dyDescent="0.25">
      <c r="A2233" t="s">
        <v>3317</v>
      </c>
      <c r="B2233" s="50" t="s">
        <v>181</v>
      </c>
      <c r="C2233" s="51"/>
      <c r="D2233" s="346">
        <v>610000004811</v>
      </c>
      <c r="E2233" s="346">
        <f>VLOOKUP(D2233,'[1]Task list &amp; Maintenace plan'!$B:$G,6,FALSE)</f>
        <v>101245</v>
      </c>
      <c r="F2233" s="346" t="s">
        <v>3151</v>
      </c>
      <c r="G2233" s="328" t="s">
        <v>185</v>
      </c>
      <c r="H2233" s="348" t="s">
        <v>3153</v>
      </c>
      <c r="I2233" s="347">
        <v>15</v>
      </c>
      <c r="J2233" s="347">
        <v>1</v>
      </c>
      <c r="K2233" s="347">
        <v>30</v>
      </c>
      <c r="L2233" s="347">
        <v>1</v>
      </c>
      <c r="M2233" s="347">
        <f t="shared" si="3"/>
        <v>30</v>
      </c>
      <c r="N2233" s="736"/>
      <c r="R2233" s="413"/>
      <c r="S2233" s="347"/>
    </row>
    <row r="2234" spans="1:19" x14ac:dyDescent="0.25">
      <c r="A2234" t="s">
        <v>3317</v>
      </c>
      <c r="B2234" s="50" t="s">
        <v>181</v>
      </c>
      <c r="C2234" s="51"/>
      <c r="D2234" s="346">
        <v>610000004811</v>
      </c>
      <c r="E2234" s="346">
        <f>VLOOKUP(D2234,'[1]Task list &amp; Maintenace plan'!$B:$G,6,FALSE)</f>
        <v>101245</v>
      </c>
      <c r="F2234" s="346" t="s">
        <v>3151</v>
      </c>
      <c r="G2234" s="328" t="s">
        <v>187</v>
      </c>
      <c r="H2234" s="348" t="s">
        <v>3154</v>
      </c>
      <c r="I2234" s="347">
        <v>15</v>
      </c>
      <c r="J2234" s="347">
        <v>1</v>
      </c>
      <c r="K2234" s="347">
        <v>30</v>
      </c>
      <c r="L2234" s="347">
        <v>1</v>
      </c>
      <c r="M2234" s="347">
        <f t="shared" si="3"/>
        <v>30</v>
      </c>
      <c r="N2234" s="736"/>
      <c r="R2234" s="413"/>
      <c r="S2234" s="347"/>
    </row>
    <row r="2235" spans="1:19" x14ac:dyDescent="0.25">
      <c r="A2235" t="s">
        <v>3317</v>
      </c>
      <c r="B2235" s="50" t="s">
        <v>181</v>
      </c>
      <c r="C2235" s="51"/>
      <c r="D2235" s="349">
        <v>610000004811</v>
      </c>
      <c r="E2235" s="349">
        <f>VLOOKUP(D2235,'[1]Task list &amp; Maintenace plan'!$B:$G,6,FALSE)</f>
        <v>101245</v>
      </c>
      <c r="F2235" s="349" t="s">
        <v>3151</v>
      </c>
      <c r="G2235" s="339" t="s">
        <v>190</v>
      </c>
      <c r="H2235" s="351" t="s">
        <v>3155</v>
      </c>
      <c r="I2235" s="350">
        <v>15</v>
      </c>
      <c r="J2235" s="350">
        <v>1</v>
      </c>
      <c r="K2235" s="350">
        <v>30</v>
      </c>
      <c r="L2235" s="350">
        <v>1</v>
      </c>
      <c r="M2235" s="350">
        <f t="shared" si="3"/>
        <v>30</v>
      </c>
      <c r="N2235" s="737"/>
      <c r="R2235" s="414"/>
      <c r="S2235" s="350"/>
    </row>
    <row r="2236" spans="1:19" x14ac:dyDescent="0.25">
      <c r="A2236" t="s">
        <v>3317</v>
      </c>
      <c r="B2236" s="50" t="s">
        <v>181</v>
      </c>
      <c r="C2236" s="51"/>
      <c r="D2236" s="346">
        <v>610000004812</v>
      </c>
      <c r="E2236" s="346">
        <f>VLOOKUP(D2236,'[1]Task list &amp; Maintenace plan'!$B:$G,6,FALSE)</f>
        <v>101246</v>
      </c>
      <c r="F2236" s="346" t="s">
        <v>3157</v>
      </c>
      <c r="G2236" s="328" t="s">
        <v>190</v>
      </c>
      <c r="H2236" s="348" t="s">
        <v>3158</v>
      </c>
      <c r="I2236" s="347">
        <v>15</v>
      </c>
      <c r="J2236" s="347"/>
      <c r="K2236" s="347">
        <v>15</v>
      </c>
      <c r="L2236" s="347">
        <v>1</v>
      </c>
      <c r="M2236" s="347">
        <f t="shared" si="3"/>
        <v>15</v>
      </c>
      <c r="N2236" s="733" t="s">
        <v>3160</v>
      </c>
      <c r="R2236" s="413" t="s">
        <v>3159</v>
      </c>
      <c r="S2236" s="347"/>
    </row>
    <row r="2237" spans="1:19" x14ac:dyDescent="0.25">
      <c r="A2237" t="s">
        <v>3317</v>
      </c>
      <c r="B2237" s="50" t="s">
        <v>181</v>
      </c>
      <c r="C2237" s="51"/>
      <c r="D2237" s="349">
        <v>610000004812</v>
      </c>
      <c r="E2237" s="415">
        <f>VLOOKUP(D2237,'[1]Task list &amp; Maintenace plan'!$B:$G,6,FALSE)</f>
        <v>101246</v>
      </c>
      <c r="F2237" s="415" t="s">
        <v>3157</v>
      </c>
      <c r="G2237" s="339" t="s">
        <v>185</v>
      </c>
      <c r="H2237" s="351" t="s">
        <v>3162</v>
      </c>
      <c r="I2237" s="350">
        <v>15</v>
      </c>
      <c r="J2237" s="350"/>
      <c r="K2237" s="350">
        <v>15</v>
      </c>
      <c r="L2237" s="350">
        <v>1</v>
      </c>
      <c r="M2237" s="350">
        <f t="shared" si="3"/>
        <v>15</v>
      </c>
      <c r="N2237" s="735"/>
      <c r="R2237" s="414" t="s">
        <v>3159</v>
      </c>
      <c r="S2237" s="350"/>
    </row>
    <row r="2238" spans="1:19" x14ac:dyDescent="0.25">
      <c r="A2238" t="s">
        <v>3317</v>
      </c>
      <c r="B2238" s="50" t="s">
        <v>181</v>
      </c>
      <c r="C2238" s="416"/>
      <c r="D2238" s="343">
        <v>342389</v>
      </c>
      <c r="E2238" s="343">
        <f>VLOOKUP(D2238,'[1]Task list &amp; Maintenace plan'!$B:$G,6,FALSE)</f>
        <v>517</v>
      </c>
      <c r="F2238" s="417" t="s">
        <v>3164</v>
      </c>
      <c r="G2238" s="342" t="s">
        <v>3156</v>
      </c>
      <c r="H2238" s="345" t="s">
        <v>3165</v>
      </c>
      <c r="I2238" s="344">
        <v>15</v>
      </c>
      <c r="J2238" s="344"/>
      <c r="K2238" s="344">
        <v>15</v>
      </c>
      <c r="L2238" s="344">
        <v>1</v>
      </c>
      <c r="M2238" s="344">
        <f t="shared" si="3"/>
        <v>15</v>
      </c>
      <c r="N2238" s="733" t="s">
        <v>20</v>
      </c>
      <c r="R2238" s="418"/>
      <c r="S2238" s="344"/>
    </row>
    <row r="2239" spans="1:19" x14ac:dyDescent="0.25">
      <c r="A2239" t="s">
        <v>3317</v>
      </c>
      <c r="B2239" s="50" t="s">
        <v>181</v>
      </c>
      <c r="C2239" s="51"/>
      <c r="D2239" s="343">
        <v>342389</v>
      </c>
      <c r="E2239" s="343">
        <f>VLOOKUP(D2239,'[1]Task list &amp; Maintenace plan'!$B:$G,6,FALSE)</f>
        <v>517</v>
      </c>
      <c r="F2239" s="346" t="s">
        <v>3164</v>
      </c>
      <c r="G2239" s="342" t="s">
        <v>3167</v>
      </c>
      <c r="H2239" s="345" t="s">
        <v>3168</v>
      </c>
      <c r="I2239" s="344">
        <v>15</v>
      </c>
      <c r="J2239" s="344"/>
      <c r="K2239" s="344">
        <v>15</v>
      </c>
      <c r="L2239" s="344">
        <v>1</v>
      </c>
      <c r="M2239" s="344">
        <f t="shared" si="3"/>
        <v>15</v>
      </c>
      <c r="N2239" s="734"/>
      <c r="R2239" s="418"/>
      <c r="S2239" s="344"/>
    </row>
    <row r="2240" spans="1:19" x14ac:dyDescent="0.25">
      <c r="A2240" t="s">
        <v>3317</v>
      </c>
      <c r="B2240" s="50" t="s">
        <v>181</v>
      </c>
      <c r="C2240" s="51"/>
      <c r="D2240" s="346">
        <v>342389</v>
      </c>
      <c r="E2240" s="346">
        <f>VLOOKUP(D2240,'[1]Task list &amp; Maintenace plan'!$B:$G,6,FALSE)</f>
        <v>517</v>
      </c>
      <c r="F2240" s="346" t="s">
        <v>3164</v>
      </c>
      <c r="G2240" s="328" t="s">
        <v>3166</v>
      </c>
      <c r="H2240" s="345" t="s">
        <v>3169</v>
      </c>
      <c r="I2240" s="347">
        <v>15</v>
      </c>
      <c r="J2240" s="347"/>
      <c r="K2240" s="347">
        <v>15</v>
      </c>
      <c r="L2240" s="347">
        <v>1</v>
      </c>
      <c r="M2240" s="347">
        <f t="shared" si="3"/>
        <v>15</v>
      </c>
      <c r="N2240" s="734"/>
      <c r="R2240" s="413"/>
      <c r="S2240" s="347"/>
    </row>
    <row r="2241" spans="1:19" x14ac:dyDescent="0.25">
      <c r="A2241" t="s">
        <v>3317</v>
      </c>
      <c r="B2241" s="50" t="s">
        <v>181</v>
      </c>
      <c r="C2241" s="51"/>
      <c r="D2241" s="360">
        <v>342389</v>
      </c>
      <c r="E2241" s="360">
        <f>VLOOKUP(D2241,'[1]Task list &amp; Maintenace plan'!$B:$G,6,FALSE)</f>
        <v>517</v>
      </c>
      <c r="F2241" s="360" t="s">
        <v>3164</v>
      </c>
      <c r="G2241" s="331" t="s">
        <v>3170</v>
      </c>
      <c r="H2241" s="362" t="s">
        <v>3171</v>
      </c>
      <c r="I2241" s="361">
        <v>15</v>
      </c>
      <c r="J2241" s="361"/>
      <c r="K2241" s="361">
        <v>15</v>
      </c>
      <c r="L2241" s="361">
        <v>1</v>
      </c>
      <c r="M2241" s="361">
        <f t="shared" si="3"/>
        <v>15</v>
      </c>
      <c r="N2241" s="735"/>
      <c r="R2241" s="419"/>
      <c r="S2241" s="361"/>
    </row>
    <row r="2242" spans="1:19" x14ac:dyDescent="0.25">
      <c r="A2242" t="s">
        <v>3317</v>
      </c>
      <c r="B2242" s="50" t="s">
        <v>181</v>
      </c>
      <c r="C2242" s="51"/>
      <c r="D2242" s="352">
        <v>342390</v>
      </c>
      <c r="E2242" s="352">
        <f>VLOOKUP(D2242,'[1]Task list &amp; Maintenace plan'!$B:$G,6,FALSE)</f>
        <v>518</v>
      </c>
      <c r="F2242" s="352" t="s">
        <v>3172</v>
      </c>
      <c r="G2242" s="371" t="s">
        <v>3166</v>
      </c>
      <c r="H2242" s="61" t="s">
        <v>3173</v>
      </c>
      <c r="I2242" s="353">
        <v>15</v>
      </c>
      <c r="J2242" s="353"/>
      <c r="K2242" s="353">
        <v>5</v>
      </c>
      <c r="L2242" s="353">
        <v>1</v>
      </c>
      <c r="M2242" s="353">
        <f t="shared" si="3"/>
        <v>5</v>
      </c>
      <c r="N2242" s="412" t="s">
        <v>3174</v>
      </c>
      <c r="R2242" s="411" t="s">
        <v>3159</v>
      </c>
      <c r="S2242" s="353"/>
    </row>
    <row r="2243" spans="1:19" x14ac:dyDescent="0.25">
      <c r="A2243" t="s">
        <v>3317</v>
      </c>
      <c r="B2243" s="50" t="s">
        <v>181</v>
      </c>
      <c r="C2243" s="51"/>
      <c r="D2243" s="417">
        <v>342411</v>
      </c>
      <c r="E2243" s="417">
        <f>VLOOKUP(D2243,'[1]Task list &amp; Maintenace plan'!$B:$G,6,FALSE)</f>
        <v>519</v>
      </c>
      <c r="F2243" s="417" t="s">
        <v>3175</v>
      </c>
      <c r="G2243" s="336" t="s">
        <v>3161</v>
      </c>
      <c r="H2243" s="420" t="s">
        <v>3176</v>
      </c>
      <c r="I2243" s="421">
        <v>30</v>
      </c>
      <c r="J2243" s="421">
        <v>1</v>
      </c>
      <c r="K2243" s="421">
        <v>60</v>
      </c>
      <c r="L2243" s="421">
        <v>1</v>
      </c>
      <c r="M2243" s="421">
        <f t="shared" si="3"/>
        <v>60</v>
      </c>
      <c r="N2243" s="733" t="s">
        <v>20</v>
      </c>
      <c r="R2243" s="422"/>
      <c r="S2243" s="421"/>
    </row>
    <row r="2244" spans="1:19" x14ac:dyDescent="0.25">
      <c r="A2244" t="s">
        <v>3317</v>
      </c>
      <c r="B2244" s="50" t="s">
        <v>181</v>
      </c>
      <c r="C2244" s="51"/>
      <c r="D2244" s="423">
        <v>342411</v>
      </c>
      <c r="E2244" s="423">
        <f>VLOOKUP(D2244,'[1]Task list &amp; Maintenace plan'!$B:$G,6,FALSE)</f>
        <v>519</v>
      </c>
      <c r="F2244" s="349" t="s">
        <v>3175</v>
      </c>
      <c r="G2244" s="339" t="s">
        <v>3163</v>
      </c>
      <c r="H2244" s="345" t="s">
        <v>3177</v>
      </c>
      <c r="I2244" s="361">
        <v>30</v>
      </c>
      <c r="J2244" s="361">
        <v>1</v>
      </c>
      <c r="K2244" s="361">
        <v>60</v>
      </c>
      <c r="L2244" s="361">
        <v>1</v>
      </c>
      <c r="M2244" s="361">
        <f t="shared" si="3"/>
        <v>60</v>
      </c>
      <c r="N2244" s="734"/>
      <c r="R2244" s="419"/>
      <c r="S2244" s="361"/>
    </row>
    <row r="2245" spans="1:19" x14ac:dyDescent="0.25">
      <c r="A2245" t="s">
        <v>3317</v>
      </c>
      <c r="B2245" s="50" t="s">
        <v>181</v>
      </c>
      <c r="C2245" s="51"/>
      <c r="D2245" s="349">
        <v>342277</v>
      </c>
      <c r="E2245" s="349">
        <f>VLOOKUP(D2245,'[1]Task list &amp; Maintenace plan'!$B:$G,6,FALSE)</f>
        <v>463</v>
      </c>
      <c r="F2245" s="349" t="s">
        <v>3178</v>
      </c>
      <c r="G2245" s="339" t="s">
        <v>190</v>
      </c>
      <c r="H2245" s="351" t="s">
        <v>3179</v>
      </c>
      <c r="I2245" s="350">
        <v>30</v>
      </c>
      <c r="J2245" s="350">
        <v>1</v>
      </c>
      <c r="K2245" s="350">
        <v>60</v>
      </c>
      <c r="L2245" s="350">
        <v>1</v>
      </c>
      <c r="M2245" s="350">
        <f t="shared" si="3"/>
        <v>60</v>
      </c>
      <c r="N2245" s="735"/>
      <c r="R2245" s="414"/>
      <c r="S2245" s="350"/>
    </row>
    <row r="2246" spans="1:19" x14ac:dyDescent="0.25">
      <c r="A2246" t="s">
        <v>3317</v>
      </c>
      <c r="B2246" s="50" t="s">
        <v>181</v>
      </c>
      <c r="C2246" s="51"/>
      <c r="D2246" s="360">
        <v>343334</v>
      </c>
      <c r="E2246" s="360">
        <f>VLOOKUP(D2246,'[1]Task list &amp; Maintenace plan'!$B:$G,6,FALSE)</f>
        <v>714</v>
      </c>
      <c r="F2246" s="360" t="s">
        <v>3180</v>
      </c>
      <c r="G2246" s="331" t="s">
        <v>3181</v>
      </c>
      <c r="H2246" s="362" t="s">
        <v>3182</v>
      </c>
      <c r="I2246" s="361">
        <v>30</v>
      </c>
      <c r="J2246" s="361">
        <v>1</v>
      </c>
      <c r="K2246" s="361">
        <v>30</v>
      </c>
      <c r="L2246" s="361">
        <v>1</v>
      </c>
      <c r="M2246" s="361">
        <f t="shared" si="3"/>
        <v>30</v>
      </c>
      <c r="N2246" s="424" t="s">
        <v>20</v>
      </c>
      <c r="R2246" s="419"/>
      <c r="S2246" s="361"/>
    </row>
    <row r="2247" spans="1:19" x14ac:dyDescent="0.25">
      <c r="A2247" t="s">
        <v>3317</v>
      </c>
      <c r="B2247" s="50" t="s">
        <v>181</v>
      </c>
      <c r="C2247" s="416"/>
      <c r="D2247" s="417">
        <v>610000004813</v>
      </c>
      <c r="E2247" s="417">
        <f>VLOOKUP(D2247,'[1]Task list &amp; Maintenace plan'!$B:$G,6,FALSE)</f>
        <v>101247</v>
      </c>
      <c r="F2247" s="417" t="s">
        <v>3183</v>
      </c>
      <c r="G2247" s="336" t="s">
        <v>562</v>
      </c>
      <c r="H2247" s="420" t="s">
        <v>3184</v>
      </c>
      <c r="I2247" s="421">
        <v>90</v>
      </c>
      <c r="J2247" s="421"/>
      <c r="K2247" s="421">
        <v>15</v>
      </c>
      <c r="L2247" s="421">
        <v>1</v>
      </c>
      <c r="M2247" s="421">
        <f t="shared" si="3"/>
        <v>15</v>
      </c>
      <c r="N2247" s="425" t="s">
        <v>468</v>
      </c>
      <c r="R2247" s="422" t="s">
        <v>3185</v>
      </c>
      <c r="S2247" s="421" t="s">
        <v>3186</v>
      </c>
    </row>
    <row r="2248" spans="1:19" x14ac:dyDescent="0.25">
      <c r="A2248" t="s">
        <v>3317</v>
      </c>
      <c r="B2248" s="50" t="s">
        <v>181</v>
      </c>
      <c r="C2248" s="51"/>
      <c r="D2248" s="352">
        <v>344489</v>
      </c>
      <c r="E2248" s="352">
        <f>VLOOKUP(D2248,'[1]Task list &amp; Maintenace plan'!$B:$G,6,FALSE)</f>
        <v>816</v>
      </c>
      <c r="F2248" s="352" t="s">
        <v>3187</v>
      </c>
      <c r="G2248" s="371" t="s">
        <v>562</v>
      </c>
      <c r="H2248" s="61" t="s">
        <v>3188</v>
      </c>
      <c r="I2248" s="353">
        <v>180</v>
      </c>
      <c r="J2248" s="353">
        <v>1</v>
      </c>
      <c r="K2248" s="353">
        <v>60</v>
      </c>
      <c r="L2248" s="353">
        <v>1</v>
      </c>
      <c r="M2248" s="353">
        <f t="shared" si="3"/>
        <v>60</v>
      </c>
      <c r="N2248" s="412" t="s">
        <v>34</v>
      </c>
      <c r="R2248" s="411"/>
      <c r="S2248" s="353"/>
    </row>
    <row r="2249" spans="1:19" x14ac:dyDescent="0.25">
      <c r="A2249" t="s">
        <v>3317</v>
      </c>
      <c r="B2249" s="50" t="s">
        <v>181</v>
      </c>
      <c r="C2249" s="51"/>
      <c r="D2249" s="352">
        <v>342106</v>
      </c>
      <c r="E2249" s="352">
        <f>VLOOKUP(D2249,'[1]Task list &amp; Maintenace plan'!$B:$G,6,FALSE)</f>
        <v>438</v>
      </c>
      <c r="F2249" s="352" t="s">
        <v>3189</v>
      </c>
      <c r="G2249" s="371" t="s">
        <v>562</v>
      </c>
      <c r="H2249" s="61" t="s">
        <v>3190</v>
      </c>
      <c r="I2249" s="353">
        <v>180</v>
      </c>
      <c r="J2249" s="353"/>
      <c r="K2249" s="353">
        <v>30</v>
      </c>
      <c r="L2249" s="353">
        <v>1</v>
      </c>
      <c r="M2249" s="353">
        <f t="shared" si="3"/>
        <v>30</v>
      </c>
      <c r="N2249" s="412" t="s">
        <v>3191</v>
      </c>
      <c r="R2249" s="411"/>
      <c r="S2249" s="353"/>
    </row>
    <row r="2250" spans="1:19" x14ac:dyDescent="0.25">
      <c r="A2250" t="s">
        <v>3317</v>
      </c>
      <c r="B2250" s="50" t="s">
        <v>181</v>
      </c>
      <c r="C2250" s="51"/>
      <c r="D2250" s="346">
        <v>342412</v>
      </c>
      <c r="E2250" s="346">
        <f>VLOOKUP(D2250,'[1]Task list &amp; Maintenace plan'!$B:$G,6,FALSE)</f>
        <v>520</v>
      </c>
      <c r="F2250" s="343" t="s">
        <v>3192</v>
      </c>
      <c r="G2250" s="342" t="s">
        <v>3166</v>
      </c>
      <c r="H2250" s="345" t="s">
        <v>3193</v>
      </c>
      <c r="I2250" s="344">
        <v>180</v>
      </c>
      <c r="J2250" s="344">
        <v>1</v>
      </c>
      <c r="K2250" s="344">
        <v>150</v>
      </c>
      <c r="L2250" s="344">
        <v>2</v>
      </c>
      <c r="M2250" s="344">
        <f t="shared" si="3"/>
        <v>300</v>
      </c>
      <c r="N2250" s="733" t="s">
        <v>3174</v>
      </c>
      <c r="R2250" s="418"/>
      <c r="S2250" s="344"/>
    </row>
    <row r="2251" spans="1:19" ht="15.75" thickBot="1" x14ac:dyDescent="0.3">
      <c r="A2251" t="s">
        <v>3317</v>
      </c>
      <c r="B2251" s="50" t="s">
        <v>181</v>
      </c>
      <c r="C2251" s="214"/>
      <c r="D2251" s="363">
        <v>342412</v>
      </c>
      <c r="E2251" s="363">
        <f>VLOOKUP(D2251,'[1]Task list &amp; Maintenace plan'!$B:$G,6,FALSE)</f>
        <v>520</v>
      </c>
      <c r="F2251" s="363" t="s">
        <v>3192</v>
      </c>
      <c r="G2251" s="426" t="s">
        <v>3170</v>
      </c>
      <c r="H2251" s="365" t="s">
        <v>3194</v>
      </c>
      <c r="I2251" s="364">
        <v>180</v>
      </c>
      <c r="J2251" s="364">
        <v>1</v>
      </c>
      <c r="K2251" s="364">
        <v>150</v>
      </c>
      <c r="L2251" s="364">
        <v>2</v>
      </c>
      <c r="M2251" s="364">
        <f t="shared" si="3"/>
        <v>300</v>
      </c>
      <c r="N2251" s="738"/>
      <c r="R2251" s="427"/>
      <c r="S2251" s="364"/>
    </row>
    <row r="2252" spans="1:19" x14ac:dyDescent="0.25">
      <c r="A2252" t="s">
        <v>3317</v>
      </c>
      <c r="B2252" s="50" t="s">
        <v>213</v>
      </c>
      <c r="C2252" s="51"/>
      <c r="D2252" s="343">
        <v>610000004815</v>
      </c>
      <c r="E2252" s="343">
        <f>VLOOKUP(D2252,'[1]Task list &amp; Maintenace plan'!$B:$G,6,FALSE)</f>
        <v>101249</v>
      </c>
      <c r="F2252" s="343" t="s">
        <v>3195</v>
      </c>
      <c r="G2252" s="342" t="s">
        <v>3196</v>
      </c>
      <c r="H2252" s="345" t="s">
        <v>3197</v>
      </c>
      <c r="I2252" s="344">
        <v>15</v>
      </c>
      <c r="J2252" s="344"/>
      <c r="K2252" s="344">
        <v>30</v>
      </c>
      <c r="L2252" s="344">
        <v>1</v>
      </c>
      <c r="M2252" s="344">
        <f t="shared" si="3"/>
        <v>30</v>
      </c>
      <c r="N2252" s="739" t="s">
        <v>34</v>
      </c>
      <c r="R2252" s="418"/>
      <c r="S2252" s="344"/>
    </row>
    <row r="2253" spans="1:19" x14ac:dyDescent="0.25">
      <c r="A2253" t="s">
        <v>3317</v>
      </c>
      <c r="B2253" s="50" t="s">
        <v>213</v>
      </c>
      <c r="C2253" s="51"/>
      <c r="D2253" s="349">
        <v>610000004815</v>
      </c>
      <c r="E2253" s="349">
        <f>VLOOKUP(D2253,'[1]Task list &amp; Maintenace plan'!$B:$G,6,FALSE)</f>
        <v>101249</v>
      </c>
      <c r="F2253" s="349" t="s">
        <v>3195</v>
      </c>
      <c r="G2253" s="339" t="s">
        <v>3198</v>
      </c>
      <c r="H2253" s="351" t="s">
        <v>3199</v>
      </c>
      <c r="I2253" s="350">
        <v>15</v>
      </c>
      <c r="J2253" s="350"/>
      <c r="K2253" s="350">
        <v>30</v>
      </c>
      <c r="L2253" s="350">
        <v>1</v>
      </c>
      <c r="M2253" s="350">
        <f t="shared" si="3"/>
        <v>30</v>
      </c>
      <c r="N2253" s="735"/>
      <c r="R2253" s="414"/>
      <c r="S2253" s="350"/>
    </row>
    <row r="2254" spans="1:19" x14ac:dyDescent="0.25">
      <c r="A2254" t="s">
        <v>3317</v>
      </c>
      <c r="B2254" s="50" t="s">
        <v>213</v>
      </c>
      <c r="C2254" s="51"/>
      <c r="D2254" s="343">
        <v>610000004816</v>
      </c>
      <c r="E2254" s="343">
        <f>VLOOKUP(D2254,'[1]Task list &amp; Maintenace plan'!$B:$G,6,FALSE)</f>
        <v>101250</v>
      </c>
      <c r="F2254" s="343" t="s">
        <v>3200</v>
      </c>
      <c r="G2254" s="342" t="s">
        <v>219</v>
      </c>
      <c r="H2254" s="345" t="s">
        <v>3201</v>
      </c>
      <c r="I2254" s="344">
        <v>30</v>
      </c>
      <c r="J2254" s="344">
        <v>1</v>
      </c>
      <c r="K2254" s="344">
        <v>60</v>
      </c>
      <c r="L2254" s="344">
        <v>1</v>
      </c>
      <c r="M2254" s="344">
        <f t="shared" si="3"/>
        <v>60</v>
      </c>
      <c r="N2254" s="733" t="s">
        <v>20</v>
      </c>
      <c r="R2254" s="418"/>
      <c r="S2254" s="344"/>
    </row>
    <row r="2255" spans="1:19" x14ac:dyDescent="0.25">
      <c r="A2255" t="s">
        <v>3317</v>
      </c>
      <c r="B2255" s="50" t="s">
        <v>213</v>
      </c>
      <c r="C2255" s="51"/>
      <c r="D2255" s="346">
        <v>610000004816</v>
      </c>
      <c r="E2255" s="346">
        <f>VLOOKUP(D2255,'[1]Task list &amp; Maintenace plan'!$B:$G,6,FALSE)</f>
        <v>101250</v>
      </c>
      <c r="F2255" s="346" t="s">
        <v>3200</v>
      </c>
      <c r="G2255" s="328" t="s">
        <v>221</v>
      </c>
      <c r="H2255" s="348" t="s">
        <v>3202</v>
      </c>
      <c r="I2255" s="347">
        <v>30</v>
      </c>
      <c r="J2255" s="347">
        <v>1</v>
      </c>
      <c r="K2255" s="347">
        <v>60</v>
      </c>
      <c r="L2255" s="347">
        <v>1</v>
      </c>
      <c r="M2255" s="347">
        <f t="shared" si="3"/>
        <v>60</v>
      </c>
      <c r="N2255" s="734"/>
      <c r="R2255" s="413"/>
      <c r="S2255" s="347"/>
    </row>
    <row r="2256" spans="1:19" x14ac:dyDescent="0.25">
      <c r="A2256" t="s">
        <v>3317</v>
      </c>
      <c r="B2256" s="50" t="s">
        <v>213</v>
      </c>
      <c r="C2256" s="51"/>
      <c r="D2256" s="349">
        <v>610000004816</v>
      </c>
      <c r="E2256" s="349">
        <f>VLOOKUP(D2256,'[1]Task list &amp; Maintenace plan'!$B:$G,6,FALSE)</f>
        <v>101250</v>
      </c>
      <c r="F2256" s="349" t="s">
        <v>3200</v>
      </c>
      <c r="G2256" s="339" t="s">
        <v>223</v>
      </c>
      <c r="H2256" s="351" t="s">
        <v>3203</v>
      </c>
      <c r="I2256" s="350">
        <v>30</v>
      </c>
      <c r="J2256" s="350">
        <v>1</v>
      </c>
      <c r="K2256" s="350">
        <v>60</v>
      </c>
      <c r="L2256" s="350">
        <v>1</v>
      </c>
      <c r="M2256" s="350">
        <f t="shared" si="3"/>
        <v>60</v>
      </c>
      <c r="N2256" s="735"/>
      <c r="R2256" s="414"/>
      <c r="S2256" s="350"/>
    </row>
    <row r="2257" spans="1:19" x14ac:dyDescent="0.25">
      <c r="A2257" t="s">
        <v>3317</v>
      </c>
      <c r="B2257" s="50" t="s">
        <v>213</v>
      </c>
      <c r="C2257" s="51"/>
      <c r="D2257" s="346">
        <v>610000004817</v>
      </c>
      <c r="E2257" s="346">
        <f>VLOOKUP(D2257,'[1]Task list &amp; Maintenace plan'!$B:$G,6,FALSE)</f>
        <v>101251</v>
      </c>
      <c r="F2257" s="346" t="s">
        <v>3204</v>
      </c>
      <c r="G2257" s="328" t="s">
        <v>3196</v>
      </c>
      <c r="H2257" s="348" t="s">
        <v>3205</v>
      </c>
      <c r="I2257" s="347">
        <v>30</v>
      </c>
      <c r="J2257" s="347">
        <v>1</v>
      </c>
      <c r="K2257" s="347">
        <v>90</v>
      </c>
      <c r="L2257" s="347">
        <v>1</v>
      </c>
      <c r="M2257" s="347">
        <f t="shared" si="3"/>
        <v>90</v>
      </c>
      <c r="N2257" s="733" t="s">
        <v>20</v>
      </c>
      <c r="R2257" s="413"/>
      <c r="S2257" s="347"/>
    </row>
    <row r="2258" spans="1:19" x14ac:dyDescent="0.25">
      <c r="A2258" t="s">
        <v>3317</v>
      </c>
      <c r="B2258" s="50" t="s">
        <v>213</v>
      </c>
      <c r="C2258" s="51"/>
      <c r="D2258" s="346">
        <v>610000004817</v>
      </c>
      <c r="E2258" s="346">
        <f>VLOOKUP(D2258,'[1]Task list &amp; Maintenace plan'!$B:$G,6,FALSE)</f>
        <v>101251</v>
      </c>
      <c r="F2258" s="346" t="s">
        <v>3204</v>
      </c>
      <c r="G2258" s="328" t="s">
        <v>3196</v>
      </c>
      <c r="H2258" s="348" t="s">
        <v>3206</v>
      </c>
      <c r="I2258" s="347">
        <v>30</v>
      </c>
      <c r="J2258" s="347">
        <v>1</v>
      </c>
      <c r="K2258" s="347">
        <v>90</v>
      </c>
      <c r="L2258" s="347">
        <v>1</v>
      </c>
      <c r="M2258" s="347">
        <f t="shared" si="3"/>
        <v>90</v>
      </c>
      <c r="N2258" s="736"/>
      <c r="R2258" s="413"/>
      <c r="S2258" s="347"/>
    </row>
    <row r="2259" spans="1:19" x14ac:dyDescent="0.25">
      <c r="A2259" t="s">
        <v>3317</v>
      </c>
      <c r="B2259" s="50" t="s">
        <v>213</v>
      </c>
      <c r="C2259" s="51"/>
      <c r="D2259" s="346">
        <v>610000004817</v>
      </c>
      <c r="E2259" s="346">
        <f>VLOOKUP(D2259,'[1]Task list &amp; Maintenace plan'!$B:$G,6,FALSE)</f>
        <v>101251</v>
      </c>
      <c r="F2259" s="346" t="s">
        <v>3204</v>
      </c>
      <c r="G2259" s="328" t="s">
        <v>3198</v>
      </c>
      <c r="H2259" s="348" t="s">
        <v>3207</v>
      </c>
      <c r="I2259" s="347">
        <v>30</v>
      </c>
      <c r="J2259" s="347">
        <v>1</v>
      </c>
      <c r="K2259" s="347">
        <v>90</v>
      </c>
      <c r="L2259" s="347">
        <v>1</v>
      </c>
      <c r="M2259" s="347">
        <f t="shared" si="3"/>
        <v>90</v>
      </c>
      <c r="N2259" s="736"/>
      <c r="R2259" s="413"/>
      <c r="S2259" s="347"/>
    </row>
    <row r="2260" spans="1:19" x14ac:dyDescent="0.25">
      <c r="A2260" t="s">
        <v>3317</v>
      </c>
      <c r="B2260" s="50" t="s">
        <v>213</v>
      </c>
      <c r="C2260" s="51"/>
      <c r="D2260" s="346">
        <v>610000004817</v>
      </c>
      <c r="E2260" s="346">
        <f>VLOOKUP(D2260,'[1]Task list &amp; Maintenace plan'!$B:$G,6,FALSE)</f>
        <v>101251</v>
      </c>
      <c r="F2260" s="346" t="s">
        <v>3204</v>
      </c>
      <c r="G2260" s="348" t="s">
        <v>3198</v>
      </c>
      <c r="H2260" s="348" t="s">
        <v>3208</v>
      </c>
      <c r="I2260" s="347">
        <v>30</v>
      </c>
      <c r="J2260" s="347">
        <v>1</v>
      </c>
      <c r="K2260" s="347">
        <v>90</v>
      </c>
      <c r="L2260" s="347">
        <v>1</v>
      </c>
      <c r="M2260" s="347">
        <f t="shared" si="3"/>
        <v>90</v>
      </c>
      <c r="N2260" s="736"/>
      <c r="R2260" s="413"/>
      <c r="S2260" s="347"/>
    </row>
    <row r="2261" spans="1:19" x14ac:dyDescent="0.25">
      <c r="A2261" t="s">
        <v>3317</v>
      </c>
      <c r="B2261" s="50" t="s">
        <v>213</v>
      </c>
      <c r="C2261" s="51"/>
      <c r="D2261" s="346">
        <v>610000004817</v>
      </c>
      <c r="E2261" s="346">
        <f>VLOOKUP(D2261,'[1]Task list &amp; Maintenace plan'!$B:$G,6,FALSE)</f>
        <v>101251</v>
      </c>
      <c r="F2261" s="346" t="s">
        <v>3204</v>
      </c>
      <c r="G2261" s="348" t="s">
        <v>3198</v>
      </c>
      <c r="H2261" s="348" t="s">
        <v>3209</v>
      </c>
      <c r="I2261" s="347">
        <v>30</v>
      </c>
      <c r="J2261" s="347">
        <v>1</v>
      </c>
      <c r="K2261" s="347">
        <v>90</v>
      </c>
      <c r="L2261" s="347">
        <v>1</v>
      </c>
      <c r="M2261" s="347">
        <f t="shared" si="3"/>
        <v>90</v>
      </c>
      <c r="N2261" s="736"/>
      <c r="R2261" s="413"/>
      <c r="S2261" s="347"/>
    </row>
    <row r="2262" spans="1:19" x14ac:dyDescent="0.25">
      <c r="A2262" t="s">
        <v>3317</v>
      </c>
      <c r="B2262" s="50" t="s">
        <v>213</v>
      </c>
      <c r="C2262" s="51"/>
      <c r="D2262" s="346">
        <v>610000004817</v>
      </c>
      <c r="E2262" s="346">
        <f>VLOOKUP(D2262,'[1]Task list &amp; Maintenace plan'!$B:$G,6,FALSE)</f>
        <v>101251</v>
      </c>
      <c r="F2262" s="346" t="s">
        <v>3204</v>
      </c>
      <c r="G2262" s="348" t="s">
        <v>219</v>
      </c>
      <c r="H2262" s="348" t="s">
        <v>3210</v>
      </c>
      <c r="I2262" s="347">
        <v>30</v>
      </c>
      <c r="J2262" s="347">
        <v>1</v>
      </c>
      <c r="K2262" s="347">
        <v>90</v>
      </c>
      <c r="L2262" s="347">
        <v>1</v>
      </c>
      <c r="M2262" s="347">
        <f t="shared" si="3"/>
        <v>90</v>
      </c>
      <c r="N2262" s="736"/>
      <c r="R2262" s="413"/>
      <c r="S2262" s="347"/>
    </row>
    <row r="2263" spans="1:19" x14ac:dyDescent="0.25">
      <c r="A2263" t="s">
        <v>3317</v>
      </c>
      <c r="B2263" s="50" t="s">
        <v>213</v>
      </c>
      <c r="C2263" s="51"/>
      <c r="D2263" s="346">
        <v>610000004817</v>
      </c>
      <c r="E2263" s="346">
        <f>VLOOKUP(D2263,'[1]Task list &amp; Maintenace plan'!$B:$G,6,FALSE)</f>
        <v>101251</v>
      </c>
      <c r="F2263" s="346" t="s">
        <v>3204</v>
      </c>
      <c r="G2263" s="348" t="s">
        <v>219</v>
      </c>
      <c r="H2263" s="348" t="s">
        <v>3211</v>
      </c>
      <c r="I2263" s="347">
        <v>30</v>
      </c>
      <c r="J2263" s="347">
        <v>1</v>
      </c>
      <c r="K2263" s="347">
        <v>90</v>
      </c>
      <c r="L2263" s="347">
        <v>1</v>
      </c>
      <c r="M2263" s="347">
        <f t="shared" si="3"/>
        <v>90</v>
      </c>
      <c r="N2263" s="736"/>
      <c r="R2263" s="413"/>
      <c r="S2263" s="347"/>
    </row>
    <row r="2264" spans="1:19" x14ac:dyDescent="0.25">
      <c r="A2264" t="s">
        <v>3317</v>
      </c>
      <c r="B2264" s="50" t="s">
        <v>213</v>
      </c>
      <c r="C2264" s="51"/>
      <c r="D2264" s="346">
        <v>610000004817</v>
      </c>
      <c r="E2264" s="346">
        <f>VLOOKUP(D2264,'[1]Task list &amp; Maintenace plan'!$B:$G,6,FALSE)</f>
        <v>101251</v>
      </c>
      <c r="F2264" s="346" t="s">
        <v>3204</v>
      </c>
      <c r="G2264" s="348" t="s">
        <v>219</v>
      </c>
      <c r="H2264" s="348" t="s">
        <v>3212</v>
      </c>
      <c r="I2264" s="347">
        <v>30</v>
      </c>
      <c r="J2264" s="347">
        <v>1</v>
      </c>
      <c r="K2264" s="347">
        <v>90</v>
      </c>
      <c r="L2264" s="347">
        <v>1</v>
      </c>
      <c r="M2264" s="347">
        <f t="shared" si="3"/>
        <v>90</v>
      </c>
      <c r="N2264" s="736"/>
      <c r="R2264" s="413"/>
      <c r="S2264" s="347"/>
    </row>
    <row r="2265" spans="1:19" x14ac:dyDescent="0.25">
      <c r="A2265" t="s">
        <v>3317</v>
      </c>
      <c r="B2265" s="50" t="s">
        <v>213</v>
      </c>
      <c r="C2265" s="51"/>
      <c r="D2265" s="346">
        <v>610000004817</v>
      </c>
      <c r="E2265" s="346">
        <f>VLOOKUP(D2265,'[1]Task list &amp; Maintenace plan'!$B:$G,6,FALSE)</f>
        <v>101251</v>
      </c>
      <c r="F2265" s="346" t="s">
        <v>3204</v>
      </c>
      <c r="G2265" s="348" t="s">
        <v>219</v>
      </c>
      <c r="H2265" s="348" t="s">
        <v>3213</v>
      </c>
      <c r="I2265" s="347">
        <v>30</v>
      </c>
      <c r="J2265" s="347">
        <v>1</v>
      </c>
      <c r="K2265" s="347">
        <v>90</v>
      </c>
      <c r="L2265" s="347">
        <v>1</v>
      </c>
      <c r="M2265" s="347">
        <f t="shared" si="3"/>
        <v>90</v>
      </c>
      <c r="N2265" s="736"/>
      <c r="R2265" s="413"/>
      <c r="S2265" s="347"/>
    </row>
    <row r="2266" spans="1:19" x14ac:dyDescent="0.25">
      <c r="A2266" t="s">
        <v>3317</v>
      </c>
      <c r="B2266" s="50" t="s">
        <v>213</v>
      </c>
      <c r="C2266" s="51"/>
      <c r="D2266" s="346">
        <v>610000004817</v>
      </c>
      <c r="E2266" s="346">
        <f>VLOOKUP(D2266,'[1]Task list &amp; Maintenace plan'!$B:$G,6,FALSE)</f>
        <v>101251</v>
      </c>
      <c r="F2266" s="346" t="s">
        <v>3204</v>
      </c>
      <c r="G2266" s="348" t="s">
        <v>221</v>
      </c>
      <c r="H2266" s="348" t="s">
        <v>3214</v>
      </c>
      <c r="I2266" s="347">
        <v>30</v>
      </c>
      <c r="J2266" s="347">
        <v>1</v>
      </c>
      <c r="K2266" s="347">
        <v>90</v>
      </c>
      <c r="L2266" s="347">
        <v>1</v>
      </c>
      <c r="M2266" s="347">
        <f t="shared" si="3"/>
        <v>90</v>
      </c>
      <c r="N2266" s="736"/>
      <c r="R2266" s="413"/>
      <c r="S2266" s="347"/>
    </row>
    <row r="2267" spans="1:19" x14ac:dyDescent="0.25">
      <c r="A2267" t="s">
        <v>3317</v>
      </c>
      <c r="B2267" s="50" t="s">
        <v>213</v>
      </c>
      <c r="C2267" s="51"/>
      <c r="D2267" s="346">
        <v>610000004817</v>
      </c>
      <c r="E2267" s="346">
        <f>VLOOKUP(D2267,'[1]Task list &amp; Maintenace plan'!$B:$G,6,FALSE)</f>
        <v>101251</v>
      </c>
      <c r="F2267" s="346" t="s">
        <v>3204</v>
      </c>
      <c r="G2267" s="348" t="s">
        <v>221</v>
      </c>
      <c r="H2267" s="348" t="s">
        <v>3215</v>
      </c>
      <c r="I2267" s="347">
        <v>30</v>
      </c>
      <c r="J2267" s="347">
        <v>1</v>
      </c>
      <c r="K2267" s="347">
        <v>90</v>
      </c>
      <c r="L2267" s="347">
        <v>1</v>
      </c>
      <c r="M2267" s="347">
        <f t="shared" si="3"/>
        <v>90</v>
      </c>
      <c r="N2267" s="736"/>
      <c r="R2267" s="413"/>
      <c r="S2267" s="347"/>
    </row>
    <row r="2268" spans="1:19" x14ac:dyDescent="0.25">
      <c r="A2268" t="s">
        <v>3317</v>
      </c>
      <c r="B2268" s="50" t="s">
        <v>213</v>
      </c>
      <c r="C2268" s="51"/>
      <c r="D2268" s="346">
        <v>610000004817</v>
      </c>
      <c r="E2268" s="346">
        <f>VLOOKUP(D2268,'[1]Task list &amp; Maintenace plan'!$B:$G,6,FALSE)</f>
        <v>101251</v>
      </c>
      <c r="F2268" s="346" t="s">
        <v>3204</v>
      </c>
      <c r="G2268" s="348" t="s">
        <v>221</v>
      </c>
      <c r="H2268" s="348" t="s">
        <v>3216</v>
      </c>
      <c r="I2268" s="347">
        <v>30</v>
      </c>
      <c r="J2268" s="347">
        <v>1</v>
      </c>
      <c r="K2268" s="347">
        <v>90</v>
      </c>
      <c r="L2268" s="347">
        <v>1</v>
      </c>
      <c r="M2268" s="347">
        <f t="shared" si="3"/>
        <v>90</v>
      </c>
      <c r="N2268" s="736"/>
      <c r="R2268" s="413"/>
      <c r="S2268" s="347"/>
    </row>
    <row r="2269" spans="1:19" x14ac:dyDescent="0.25">
      <c r="A2269" t="s">
        <v>3317</v>
      </c>
      <c r="B2269" s="50" t="s">
        <v>213</v>
      </c>
      <c r="C2269" s="51"/>
      <c r="D2269" s="346">
        <v>610000004817</v>
      </c>
      <c r="E2269" s="346">
        <f>VLOOKUP(D2269,'[1]Task list &amp; Maintenace plan'!$B:$G,6,FALSE)</f>
        <v>101251</v>
      </c>
      <c r="F2269" s="346" t="s">
        <v>3204</v>
      </c>
      <c r="G2269" s="348" t="s">
        <v>221</v>
      </c>
      <c r="H2269" s="348" t="s">
        <v>3217</v>
      </c>
      <c r="I2269" s="347">
        <v>30</v>
      </c>
      <c r="J2269" s="347">
        <v>1</v>
      </c>
      <c r="K2269" s="347">
        <v>90</v>
      </c>
      <c r="L2269" s="347">
        <v>1</v>
      </c>
      <c r="M2269" s="347">
        <f t="shared" si="3"/>
        <v>90</v>
      </c>
      <c r="N2269" s="736"/>
      <c r="R2269" s="413"/>
      <c r="S2269" s="347"/>
    </row>
    <row r="2270" spans="1:19" x14ac:dyDescent="0.25">
      <c r="A2270" t="s">
        <v>3317</v>
      </c>
      <c r="B2270" s="50" t="s">
        <v>213</v>
      </c>
      <c r="C2270" s="51"/>
      <c r="D2270" s="346">
        <v>610000004817</v>
      </c>
      <c r="E2270" s="346">
        <f>VLOOKUP(D2270,'[1]Task list &amp; Maintenace plan'!$B:$G,6,FALSE)</f>
        <v>101251</v>
      </c>
      <c r="F2270" s="346" t="s">
        <v>3204</v>
      </c>
      <c r="G2270" s="348" t="s">
        <v>223</v>
      </c>
      <c r="H2270" s="348" t="s">
        <v>3218</v>
      </c>
      <c r="I2270" s="347">
        <v>30</v>
      </c>
      <c r="J2270" s="347">
        <v>1</v>
      </c>
      <c r="K2270" s="347">
        <v>90</v>
      </c>
      <c r="L2270" s="347">
        <v>1</v>
      </c>
      <c r="M2270" s="347">
        <f t="shared" si="3"/>
        <v>90</v>
      </c>
      <c r="N2270" s="736"/>
      <c r="R2270" s="413"/>
      <c r="S2270" s="347"/>
    </row>
    <row r="2271" spans="1:19" x14ac:dyDescent="0.25">
      <c r="A2271" t="s">
        <v>3317</v>
      </c>
      <c r="B2271" s="50" t="s">
        <v>213</v>
      </c>
      <c r="C2271" s="51"/>
      <c r="D2271" s="346">
        <v>610000004817</v>
      </c>
      <c r="E2271" s="346">
        <f>VLOOKUP(D2271,'[1]Task list &amp; Maintenace plan'!$B:$G,6,FALSE)</f>
        <v>101251</v>
      </c>
      <c r="F2271" s="346" t="s">
        <v>3204</v>
      </c>
      <c r="G2271" s="348" t="s">
        <v>223</v>
      </c>
      <c r="H2271" s="348" t="s">
        <v>3219</v>
      </c>
      <c r="I2271" s="347">
        <v>30</v>
      </c>
      <c r="J2271" s="347">
        <v>1</v>
      </c>
      <c r="K2271" s="347">
        <v>90</v>
      </c>
      <c r="L2271" s="347">
        <v>1</v>
      </c>
      <c r="M2271" s="347">
        <f t="shared" si="3"/>
        <v>90</v>
      </c>
      <c r="N2271" s="736"/>
      <c r="R2271" s="413"/>
      <c r="S2271" s="347"/>
    </row>
    <row r="2272" spans="1:19" x14ac:dyDescent="0.25">
      <c r="A2272" t="s">
        <v>3317</v>
      </c>
      <c r="B2272" s="50" t="s">
        <v>213</v>
      </c>
      <c r="C2272" s="51"/>
      <c r="D2272" s="346">
        <v>610000004817</v>
      </c>
      <c r="E2272" s="346">
        <f>VLOOKUP(D2272,'[1]Task list &amp; Maintenace plan'!$B:$G,6,FALSE)</f>
        <v>101251</v>
      </c>
      <c r="F2272" s="346" t="s">
        <v>3204</v>
      </c>
      <c r="G2272" s="348" t="s">
        <v>223</v>
      </c>
      <c r="H2272" s="348" t="s">
        <v>3220</v>
      </c>
      <c r="I2272" s="347">
        <v>30</v>
      </c>
      <c r="J2272" s="347">
        <v>1</v>
      </c>
      <c r="K2272" s="347">
        <v>90</v>
      </c>
      <c r="L2272" s="347">
        <v>1</v>
      </c>
      <c r="M2272" s="347">
        <f t="shared" si="3"/>
        <v>90</v>
      </c>
      <c r="N2272" s="736"/>
      <c r="R2272" s="413"/>
      <c r="S2272" s="347"/>
    </row>
    <row r="2273" spans="1:19" x14ac:dyDescent="0.25">
      <c r="A2273" t="s">
        <v>3317</v>
      </c>
      <c r="B2273" s="50" t="s">
        <v>213</v>
      </c>
      <c r="C2273" s="51"/>
      <c r="D2273" s="349">
        <v>610000004817</v>
      </c>
      <c r="E2273" s="349">
        <f>VLOOKUP(D2273,'[1]Task list &amp; Maintenace plan'!$B:$G,6,FALSE)</f>
        <v>101251</v>
      </c>
      <c r="F2273" s="349" t="s">
        <v>3204</v>
      </c>
      <c r="G2273" s="351" t="s">
        <v>223</v>
      </c>
      <c r="H2273" s="351" t="s">
        <v>3221</v>
      </c>
      <c r="I2273" s="350">
        <v>30</v>
      </c>
      <c r="J2273" s="350">
        <v>1</v>
      </c>
      <c r="K2273" s="350">
        <v>90</v>
      </c>
      <c r="L2273" s="350">
        <v>1</v>
      </c>
      <c r="M2273" s="350">
        <f t="shared" si="3"/>
        <v>90</v>
      </c>
      <c r="N2273" s="737"/>
      <c r="R2273" s="414"/>
      <c r="S2273" s="350"/>
    </row>
    <row r="2274" spans="1:19" x14ac:dyDescent="0.25">
      <c r="A2274" t="s">
        <v>3317</v>
      </c>
      <c r="B2274" s="50" t="s">
        <v>213</v>
      </c>
      <c r="C2274" s="51"/>
      <c r="D2274" s="343">
        <v>610000004818</v>
      </c>
      <c r="E2274" s="343">
        <f>VLOOKUP(D2274,'[1]Task list &amp; Maintenace plan'!$B:$G,6,FALSE)</f>
        <v>101252</v>
      </c>
      <c r="F2274" s="343" t="s">
        <v>3222</v>
      </c>
      <c r="G2274" s="345" t="s">
        <v>3196</v>
      </c>
      <c r="H2274" s="345" t="s">
        <v>3223</v>
      </c>
      <c r="I2274" s="344">
        <v>30</v>
      </c>
      <c r="J2274" s="344"/>
      <c r="K2274" s="344">
        <v>60</v>
      </c>
      <c r="L2274" s="344">
        <v>1</v>
      </c>
      <c r="M2274" s="344">
        <f t="shared" si="3"/>
        <v>60</v>
      </c>
      <c r="N2274" s="733" t="s">
        <v>3174</v>
      </c>
      <c r="R2274" s="418" t="s">
        <v>3159</v>
      </c>
      <c r="S2274" s="344"/>
    </row>
    <row r="2275" spans="1:19" x14ac:dyDescent="0.25">
      <c r="A2275" t="s">
        <v>3317</v>
      </c>
      <c r="B2275" s="50" t="s">
        <v>213</v>
      </c>
      <c r="C2275" s="51"/>
      <c r="D2275" s="346">
        <v>610000004818</v>
      </c>
      <c r="E2275" s="346">
        <f>VLOOKUP(D2275,'[1]Task list &amp; Maintenace plan'!$B:$G,6,FALSE)</f>
        <v>101252</v>
      </c>
      <c r="F2275" s="346" t="s">
        <v>3222</v>
      </c>
      <c r="G2275" s="348" t="s">
        <v>3198</v>
      </c>
      <c r="H2275" s="348" t="s">
        <v>3224</v>
      </c>
      <c r="I2275" s="347">
        <v>30</v>
      </c>
      <c r="J2275" s="347"/>
      <c r="K2275" s="347">
        <v>60</v>
      </c>
      <c r="L2275" s="347">
        <v>1</v>
      </c>
      <c r="M2275" s="347">
        <f t="shared" si="3"/>
        <v>60</v>
      </c>
      <c r="N2275" s="736"/>
      <c r="R2275" s="413" t="s">
        <v>3159</v>
      </c>
      <c r="S2275" s="347"/>
    </row>
    <row r="2276" spans="1:19" x14ac:dyDescent="0.25">
      <c r="A2276" t="s">
        <v>3317</v>
      </c>
      <c r="B2276" s="50" t="s">
        <v>213</v>
      </c>
      <c r="C2276" s="51"/>
      <c r="D2276" s="346">
        <v>610000004818</v>
      </c>
      <c r="E2276" s="346">
        <f>VLOOKUP(D2276,'[1]Task list &amp; Maintenace plan'!$B:$G,6,FALSE)</f>
        <v>101252</v>
      </c>
      <c r="F2276" s="346" t="s">
        <v>3222</v>
      </c>
      <c r="G2276" s="348" t="s">
        <v>219</v>
      </c>
      <c r="H2276" s="348" t="s">
        <v>3225</v>
      </c>
      <c r="I2276" s="347">
        <v>30</v>
      </c>
      <c r="J2276" s="347"/>
      <c r="K2276" s="347">
        <v>60</v>
      </c>
      <c r="L2276" s="347">
        <v>1</v>
      </c>
      <c r="M2276" s="347">
        <f t="shared" si="3"/>
        <v>60</v>
      </c>
      <c r="N2276" s="736"/>
      <c r="R2276" s="413" t="s">
        <v>3159</v>
      </c>
      <c r="S2276" s="347"/>
    </row>
    <row r="2277" spans="1:19" x14ac:dyDescent="0.25">
      <c r="A2277" t="s">
        <v>3317</v>
      </c>
      <c r="B2277" s="50" t="s">
        <v>213</v>
      </c>
      <c r="C2277" s="51"/>
      <c r="D2277" s="346">
        <v>610000004818</v>
      </c>
      <c r="E2277" s="346">
        <f>VLOOKUP(D2277,'[1]Task list &amp; Maintenace plan'!$B:$G,6,FALSE)</f>
        <v>101252</v>
      </c>
      <c r="F2277" s="346" t="s">
        <v>3222</v>
      </c>
      <c r="G2277" s="348" t="s">
        <v>219</v>
      </c>
      <c r="H2277" s="348" t="s">
        <v>3226</v>
      </c>
      <c r="I2277" s="347">
        <v>30</v>
      </c>
      <c r="J2277" s="347"/>
      <c r="K2277" s="347">
        <v>60</v>
      </c>
      <c r="L2277" s="347">
        <v>1</v>
      </c>
      <c r="M2277" s="347">
        <f t="shared" si="3"/>
        <v>60</v>
      </c>
      <c r="N2277" s="736"/>
      <c r="R2277" s="413" t="s">
        <v>3159</v>
      </c>
      <c r="S2277" s="347"/>
    </row>
    <row r="2278" spans="1:19" x14ac:dyDescent="0.25">
      <c r="A2278" t="s">
        <v>3317</v>
      </c>
      <c r="B2278" s="50" t="s">
        <v>213</v>
      </c>
      <c r="C2278" s="51"/>
      <c r="D2278" s="346">
        <v>610000004818</v>
      </c>
      <c r="E2278" s="346">
        <f>VLOOKUP(D2278,'[1]Task list &amp; Maintenace plan'!$B:$G,6,FALSE)</f>
        <v>101252</v>
      </c>
      <c r="F2278" s="346" t="s">
        <v>3222</v>
      </c>
      <c r="G2278" s="348" t="s">
        <v>221</v>
      </c>
      <c r="H2278" s="348" t="s">
        <v>3227</v>
      </c>
      <c r="I2278" s="347">
        <v>30</v>
      </c>
      <c r="J2278" s="347"/>
      <c r="K2278" s="347">
        <v>60</v>
      </c>
      <c r="L2278" s="347">
        <v>1</v>
      </c>
      <c r="M2278" s="347">
        <f t="shared" si="3"/>
        <v>60</v>
      </c>
      <c r="N2278" s="736"/>
      <c r="R2278" s="413" t="s">
        <v>3159</v>
      </c>
      <c r="S2278" s="347"/>
    </row>
    <row r="2279" spans="1:19" x14ac:dyDescent="0.25">
      <c r="A2279" t="s">
        <v>3317</v>
      </c>
      <c r="B2279" s="50" t="s">
        <v>213</v>
      </c>
      <c r="C2279" s="51"/>
      <c r="D2279" s="346">
        <v>610000004818</v>
      </c>
      <c r="E2279" s="346">
        <f>VLOOKUP(D2279,'[1]Task list &amp; Maintenace plan'!$B:$G,6,FALSE)</f>
        <v>101252</v>
      </c>
      <c r="F2279" s="346" t="s">
        <v>3222</v>
      </c>
      <c r="G2279" s="348" t="s">
        <v>221</v>
      </c>
      <c r="H2279" s="348" t="s">
        <v>3228</v>
      </c>
      <c r="I2279" s="347">
        <v>30</v>
      </c>
      <c r="J2279" s="347"/>
      <c r="K2279" s="347">
        <v>60</v>
      </c>
      <c r="L2279" s="347">
        <v>1</v>
      </c>
      <c r="M2279" s="347">
        <f t="shared" si="3"/>
        <v>60</v>
      </c>
      <c r="N2279" s="736"/>
      <c r="R2279" s="413" t="s">
        <v>3159</v>
      </c>
      <c r="S2279" s="347"/>
    </row>
    <row r="2280" spans="1:19" x14ac:dyDescent="0.25">
      <c r="A2280" t="s">
        <v>3317</v>
      </c>
      <c r="B2280" s="50" t="s">
        <v>213</v>
      </c>
      <c r="C2280" s="51"/>
      <c r="D2280" s="346">
        <v>610000004818</v>
      </c>
      <c r="E2280" s="346">
        <f>VLOOKUP(D2280,'[1]Task list &amp; Maintenace plan'!$B:$G,6,FALSE)</f>
        <v>101252</v>
      </c>
      <c r="F2280" s="346" t="s">
        <v>3222</v>
      </c>
      <c r="G2280" s="348" t="s">
        <v>223</v>
      </c>
      <c r="H2280" s="348" t="s">
        <v>3229</v>
      </c>
      <c r="I2280" s="347">
        <v>30</v>
      </c>
      <c r="J2280" s="347"/>
      <c r="K2280" s="347">
        <v>60</v>
      </c>
      <c r="L2280" s="347">
        <v>1</v>
      </c>
      <c r="M2280" s="347">
        <f t="shared" si="3"/>
        <v>60</v>
      </c>
      <c r="N2280" s="736"/>
      <c r="R2280" s="413" t="s">
        <v>3159</v>
      </c>
      <c r="S2280" s="347"/>
    </row>
    <row r="2281" spans="1:19" x14ac:dyDescent="0.25">
      <c r="A2281" t="s">
        <v>3317</v>
      </c>
      <c r="B2281" s="50" t="s">
        <v>213</v>
      </c>
      <c r="C2281" s="51"/>
      <c r="D2281" s="346">
        <v>610000004818</v>
      </c>
      <c r="E2281" s="346">
        <f>VLOOKUP(D2281,'[1]Task list &amp; Maintenace plan'!$B:$G,6,FALSE)</f>
        <v>101252</v>
      </c>
      <c r="F2281" s="346" t="s">
        <v>3222</v>
      </c>
      <c r="G2281" s="348" t="s">
        <v>223</v>
      </c>
      <c r="H2281" s="348" t="s">
        <v>3230</v>
      </c>
      <c r="I2281" s="347">
        <v>30</v>
      </c>
      <c r="J2281" s="347"/>
      <c r="K2281" s="347">
        <v>60</v>
      </c>
      <c r="L2281" s="347">
        <v>1</v>
      </c>
      <c r="M2281" s="347">
        <f t="shared" si="3"/>
        <v>60</v>
      </c>
      <c r="N2281" s="736"/>
      <c r="R2281" s="413" t="s">
        <v>3159</v>
      </c>
      <c r="S2281" s="347"/>
    </row>
    <row r="2282" spans="1:19" x14ac:dyDescent="0.25">
      <c r="A2282" t="s">
        <v>3317</v>
      </c>
      <c r="B2282" s="50" t="s">
        <v>213</v>
      </c>
      <c r="C2282" s="51"/>
      <c r="D2282" s="346">
        <v>610000004818</v>
      </c>
      <c r="E2282" s="346">
        <f>VLOOKUP(D2282,'[1]Task list &amp; Maintenace plan'!$B:$G,6,FALSE)</f>
        <v>101252</v>
      </c>
      <c r="F2282" s="346" t="s">
        <v>3222</v>
      </c>
      <c r="G2282" s="348" t="s">
        <v>3196</v>
      </c>
      <c r="H2282" s="348" t="s">
        <v>3231</v>
      </c>
      <c r="I2282" s="347">
        <v>30</v>
      </c>
      <c r="J2282" s="347"/>
      <c r="K2282" s="347">
        <v>60</v>
      </c>
      <c r="L2282" s="347">
        <v>1</v>
      </c>
      <c r="M2282" s="347">
        <f t="shared" si="3"/>
        <v>60</v>
      </c>
      <c r="N2282" s="736"/>
      <c r="R2282" s="413" t="s">
        <v>3159</v>
      </c>
      <c r="S2282" s="347"/>
    </row>
    <row r="2283" spans="1:19" x14ac:dyDescent="0.25">
      <c r="A2283" t="s">
        <v>3317</v>
      </c>
      <c r="B2283" s="50" t="s">
        <v>213</v>
      </c>
      <c r="C2283" s="51"/>
      <c r="D2283" s="346">
        <v>610000004818</v>
      </c>
      <c r="E2283" s="346">
        <f>VLOOKUP(D2283,'[1]Task list &amp; Maintenace plan'!$B:$G,6,FALSE)</f>
        <v>101252</v>
      </c>
      <c r="F2283" s="346" t="s">
        <v>3222</v>
      </c>
      <c r="G2283" s="348" t="s">
        <v>3198</v>
      </c>
      <c r="H2283" s="348" t="s">
        <v>3232</v>
      </c>
      <c r="I2283" s="347">
        <v>30</v>
      </c>
      <c r="J2283" s="347"/>
      <c r="K2283" s="347">
        <v>60</v>
      </c>
      <c r="L2283" s="347">
        <v>1</v>
      </c>
      <c r="M2283" s="347">
        <f t="shared" si="3"/>
        <v>60</v>
      </c>
      <c r="N2283" s="736"/>
      <c r="R2283" s="413" t="s">
        <v>3159</v>
      </c>
      <c r="S2283" s="347"/>
    </row>
    <row r="2284" spans="1:19" x14ac:dyDescent="0.25">
      <c r="A2284" t="s">
        <v>3317</v>
      </c>
      <c r="B2284" s="50" t="s">
        <v>213</v>
      </c>
      <c r="C2284" s="51"/>
      <c r="D2284" s="346">
        <v>610000004818</v>
      </c>
      <c r="E2284" s="346">
        <f>VLOOKUP(D2284,'[1]Task list &amp; Maintenace plan'!$B:$G,6,FALSE)</f>
        <v>101252</v>
      </c>
      <c r="F2284" s="346" t="s">
        <v>3222</v>
      </c>
      <c r="G2284" s="348" t="s">
        <v>219</v>
      </c>
      <c r="H2284" s="348" t="s">
        <v>3233</v>
      </c>
      <c r="I2284" s="347">
        <v>30</v>
      </c>
      <c r="J2284" s="347"/>
      <c r="K2284" s="347">
        <v>60</v>
      </c>
      <c r="L2284" s="347">
        <v>1</v>
      </c>
      <c r="M2284" s="347">
        <f t="shared" si="3"/>
        <v>60</v>
      </c>
      <c r="N2284" s="736"/>
      <c r="R2284" s="413"/>
      <c r="S2284" s="347"/>
    </row>
    <row r="2285" spans="1:19" x14ac:dyDescent="0.25">
      <c r="A2285" t="s">
        <v>3317</v>
      </c>
      <c r="B2285" s="50" t="s">
        <v>213</v>
      </c>
      <c r="C2285" s="51"/>
      <c r="D2285" s="346">
        <v>610000004818</v>
      </c>
      <c r="E2285" s="346">
        <f>VLOOKUP(D2285,'[1]Task list &amp; Maintenace plan'!$B:$G,6,FALSE)</f>
        <v>101252</v>
      </c>
      <c r="F2285" s="346" t="s">
        <v>3222</v>
      </c>
      <c r="G2285" s="348" t="s">
        <v>219</v>
      </c>
      <c r="H2285" s="348" t="s">
        <v>3234</v>
      </c>
      <c r="I2285" s="347">
        <v>30</v>
      </c>
      <c r="J2285" s="347"/>
      <c r="K2285" s="347">
        <v>60</v>
      </c>
      <c r="L2285" s="347">
        <v>1</v>
      </c>
      <c r="M2285" s="347">
        <f t="shared" si="3"/>
        <v>60</v>
      </c>
      <c r="N2285" s="736"/>
      <c r="R2285" s="413" t="s">
        <v>3159</v>
      </c>
      <c r="S2285" s="347"/>
    </row>
    <row r="2286" spans="1:19" x14ac:dyDescent="0.25">
      <c r="A2286" t="s">
        <v>3317</v>
      </c>
      <c r="B2286" s="50" t="s">
        <v>213</v>
      </c>
      <c r="C2286" s="51"/>
      <c r="D2286" s="346">
        <v>610000004818</v>
      </c>
      <c r="E2286" s="346">
        <f>VLOOKUP(D2286,'[1]Task list &amp; Maintenace plan'!$B:$G,6,FALSE)</f>
        <v>101252</v>
      </c>
      <c r="F2286" s="346" t="s">
        <v>3222</v>
      </c>
      <c r="G2286" s="348" t="s">
        <v>219</v>
      </c>
      <c r="H2286" s="348" t="s">
        <v>3235</v>
      </c>
      <c r="I2286" s="347">
        <v>30</v>
      </c>
      <c r="J2286" s="347"/>
      <c r="K2286" s="347">
        <v>60</v>
      </c>
      <c r="L2286" s="347">
        <v>1</v>
      </c>
      <c r="M2286" s="347">
        <f t="shared" si="3"/>
        <v>60</v>
      </c>
      <c r="N2286" s="736"/>
      <c r="R2286" s="413" t="s">
        <v>3159</v>
      </c>
      <c r="S2286" s="347"/>
    </row>
    <row r="2287" spans="1:19" x14ac:dyDescent="0.25">
      <c r="A2287" t="s">
        <v>3317</v>
      </c>
      <c r="B2287" s="50" t="s">
        <v>213</v>
      </c>
      <c r="C2287" s="51"/>
      <c r="D2287" s="346">
        <v>610000004818</v>
      </c>
      <c r="E2287" s="346">
        <f>VLOOKUP(D2287,'[1]Task list &amp; Maintenace plan'!$B:$G,6,FALSE)</f>
        <v>101252</v>
      </c>
      <c r="F2287" s="346" t="s">
        <v>3222</v>
      </c>
      <c r="G2287" s="348" t="s">
        <v>221</v>
      </c>
      <c r="H2287" s="348" t="s">
        <v>3236</v>
      </c>
      <c r="I2287" s="347">
        <v>30</v>
      </c>
      <c r="J2287" s="347"/>
      <c r="K2287" s="347">
        <v>60</v>
      </c>
      <c r="L2287" s="347">
        <v>1</v>
      </c>
      <c r="M2287" s="347">
        <f t="shared" si="3"/>
        <v>60</v>
      </c>
      <c r="N2287" s="736"/>
      <c r="R2287" s="413"/>
      <c r="S2287" s="347"/>
    </row>
    <row r="2288" spans="1:19" x14ac:dyDescent="0.25">
      <c r="A2288" t="s">
        <v>3317</v>
      </c>
      <c r="B2288" s="50" t="s">
        <v>213</v>
      </c>
      <c r="C2288" s="51"/>
      <c r="D2288" s="346">
        <v>610000004818</v>
      </c>
      <c r="E2288" s="346">
        <f>VLOOKUP(D2288,'[1]Task list &amp; Maintenace plan'!$B:$G,6,FALSE)</f>
        <v>101252</v>
      </c>
      <c r="F2288" s="346" t="s">
        <v>3222</v>
      </c>
      <c r="G2288" s="348" t="s">
        <v>221</v>
      </c>
      <c r="H2288" s="348" t="s">
        <v>3237</v>
      </c>
      <c r="I2288" s="347">
        <v>30</v>
      </c>
      <c r="J2288" s="347"/>
      <c r="K2288" s="347">
        <v>60</v>
      </c>
      <c r="L2288" s="347">
        <v>1</v>
      </c>
      <c r="M2288" s="347">
        <f t="shared" si="3"/>
        <v>60</v>
      </c>
      <c r="N2288" s="736"/>
      <c r="R2288" s="413" t="s">
        <v>3159</v>
      </c>
      <c r="S2288" s="347"/>
    </row>
    <row r="2289" spans="1:19" x14ac:dyDescent="0.25">
      <c r="A2289" t="s">
        <v>3317</v>
      </c>
      <c r="B2289" s="50" t="s">
        <v>213</v>
      </c>
      <c r="C2289" s="51"/>
      <c r="D2289" s="346">
        <v>610000004818</v>
      </c>
      <c r="E2289" s="346">
        <f>VLOOKUP(D2289,'[1]Task list &amp; Maintenace plan'!$B:$G,6,FALSE)</f>
        <v>101252</v>
      </c>
      <c r="F2289" s="346" t="s">
        <v>3222</v>
      </c>
      <c r="G2289" s="348" t="s">
        <v>221</v>
      </c>
      <c r="H2289" s="348" t="s">
        <v>3238</v>
      </c>
      <c r="I2289" s="347">
        <v>30</v>
      </c>
      <c r="J2289" s="347"/>
      <c r="K2289" s="347">
        <v>60</v>
      </c>
      <c r="L2289" s="347">
        <v>1</v>
      </c>
      <c r="M2289" s="347">
        <f t="shared" si="3"/>
        <v>60</v>
      </c>
      <c r="N2289" s="736"/>
      <c r="R2289" s="413" t="s">
        <v>3159</v>
      </c>
      <c r="S2289" s="347"/>
    </row>
    <row r="2290" spans="1:19" x14ac:dyDescent="0.25">
      <c r="A2290" t="s">
        <v>3317</v>
      </c>
      <c r="B2290" s="50" t="s">
        <v>213</v>
      </c>
      <c r="C2290" s="51"/>
      <c r="D2290" s="346">
        <v>610000004818</v>
      </c>
      <c r="E2290" s="346">
        <f>VLOOKUP(D2290,'[1]Task list &amp; Maintenace plan'!$B:$G,6,FALSE)</f>
        <v>101252</v>
      </c>
      <c r="F2290" s="346" t="s">
        <v>3222</v>
      </c>
      <c r="G2290" s="348" t="s">
        <v>223</v>
      </c>
      <c r="H2290" s="348" t="s">
        <v>3239</v>
      </c>
      <c r="I2290" s="347">
        <v>30</v>
      </c>
      <c r="J2290" s="347"/>
      <c r="K2290" s="347">
        <v>60</v>
      </c>
      <c r="L2290" s="347">
        <v>1</v>
      </c>
      <c r="M2290" s="347">
        <f t="shared" si="3"/>
        <v>60</v>
      </c>
      <c r="N2290" s="736"/>
      <c r="R2290" s="413"/>
      <c r="S2290" s="347"/>
    </row>
    <row r="2291" spans="1:19" x14ac:dyDescent="0.25">
      <c r="A2291" t="s">
        <v>3317</v>
      </c>
      <c r="B2291" s="50" t="s">
        <v>213</v>
      </c>
      <c r="C2291" s="51"/>
      <c r="D2291" s="346">
        <v>610000004818</v>
      </c>
      <c r="E2291" s="346">
        <f>VLOOKUP(D2291,'[1]Task list &amp; Maintenace plan'!$B:$G,6,FALSE)</f>
        <v>101252</v>
      </c>
      <c r="F2291" s="346" t="s">
        <v>3222</v>
      </c>
      <c r="G2291" s="348" t="s">
        <v>223</v>
      </c>
      <c r="H2291" s="348" t="s">
        <v>3240</v>
      </c>
      <c r="I2291" s="347">
        <v>30</v>
      </c>
      <c r="J2291" s="347"/>
      <c r="K2291" s="347">
        <v>60</v>
      </c>
      <c r="L2291" s="347">
        <v>1</v>
      </c>
      <c r="M2291" s="347">
        <f t="shared" si="3"/>
        <v>60</v>
      </c>
      <c r="N2291" s="736"/>
      <c r="R2291" s="413" t="s">
        <v>3159</v>
      </c>
      <c r="S2291" s="347"/>
    </row>
    <row r="2292" spans="1:19" x14ac:dyDescent="0.25">
      <c r="A2292" t="s">
        <v>3317</v>
      </c>
      <c r="B2292" s="50" t="s">
        <v>213</v>
      </c>
      <c r="C2292" s="51"/>
      <c r="D2292" s="349">
        <v>610000004818</v>
      </c>
      <c r="E2292" s="349">
        <f>VLOOKUP(D2292,'[1]Task list &amp; Maintenace plan'!$B:$G,6,FALSE)</f>
        <v>101252</v>
      </c>
      <c r="F2292" s="349" t="s">
        <v>3222</v>
      </c>
      <c r="G2292" s="351" t="s">
        <v>223</v>
      </c>
      <c r="H2292" s="351" t="s">
        <v>3241</v>
      </c>
      <c r="I2292" s="350">
        <v>30</v>
      </c>
      <c r="J2292" s="350"/>
      <c r="K2292" s="350">
        <v>60</v>
      </c>
      <c r="L2292" s="350">
        <v>1</v>
      </c>
      <c r="M2292" s="350">
        <f t="shared" si="3"/>
        <v>60</v>
      </c>
      <c r="N2292" s="737"/>
      <c r="R2292" s="414" t="s">
        <v>3159</v>
      </c>
      <c r="S2292" s="350"/>
    </row>
    <row r="2293" spans="1:19" x14ac:dyDescent="0.25">
      <c r="A2293" t="s">
        <v>3317</v>
      </c>
      <c r="B2293" s="50" t="s">
        <v>213</v>
      </c>
      <c r="C2293" s="51"/>
      <c r="D2293" s="346">
        <v>610000004819</v>
      </c>
      <c r="E2293" s="346">
        <f>VLOOKUP(D2293,'[1]Task list &amp; Maintenace plan'!$B:$G,6,FALSE)</f>
        <v>101253</v>
      </c>
      <c r="F2293" s="346" t="s">
        <v>3242</v>
      </c>
      <c r="G2293" s="348" t="s">
        <v>219</v>
      </c>
      <c r="H2293" s="348" t="s">
        <v>3243</v>
      </c>
      <c r="I2293" s="347">
        <v>30</v>
      </c>
      <c r="J2293" s="347"/>
      <c r="K2293" s="347">
        <v>30</v>
      </c>
      <c r="L2293" s="347">
        <v>1</v>
      </c>
      <c r="M2293" s="347">
        <f t="shared" si="3"/>
        <v>30</v>
      </c>
      <c r="N2293" s="733" t="s">
        <v>20</v>
      </c>
      <c r="R2293" s="413"/>
      <c r="S2293" s="347"/>
    </row>
    <row r="2294" spans="1:19" x14ac:dyDescent="0.25">
      <c r="A2294" t="s">
        <v>3317</v>
      </c>
      <c r="B2294" s="50" t="s">
        <v>213</v>
      </c>
      <c r="C2294" s="51"/>
      <c r="D2294" s="346">
        <v>610000004819</v>
      </c>
      <c r="E2294" s="346">
        <f>VLOOKUP(D2294,'[1]Task list &amp; Maintenace plan'!$B:$G,6,FALSE)</f>
        <v>101253</v>
      </c>
      <c r="F2294" s="346" t="s">
        <v>3242</v>
      </c>
      <c r="G2294" s="348" t="s">
        <v>221</v>
      </c>
      <c r="H2294" s="348" t="s">
        <v>3244</v>
      </c>
      <c r="I2294" s="347">
        <v>30</v>
      </c>
      <c r="J2294" s="347"/>
      <c r="K2294" s="347">
        <v>30</v>
      </c>
      <c r="L2294" s="347">
        <v>1</v>
      </c>
      <c r="M2294" s="347">
        <f t="shared" si="3"/>
        <v>30</v>
      </c>
      <c r="N2294" s="736"/>
      <c r="R2294" s="413"/>
      <c r="S2294" s="347"/>
    </row>
    <row r="2295" spans="1:19" x14ac:dyDescent="0.25">
      <c r="A2295" t="s">
        <v>3317</v>
      </c>
      <c r="B2295" s="50" t="s">
        <v>213</v>
      </c>
      <c r="C2295" s="51"/>
      <c r="D2295" s="349">
        <v>610000004819</v>
      </c>
      <c r="E2295" s="349">
        <f>VLOOKUP(D2295,'[1]Task list &amp; Maintenace plan'!$B:$G,6,FALSE)</f>
        <v>101253</v>
      </c>
      <c r="F2295" s="349" t="s">
        <v>3242</v>
      </c>
      <c r="G2295" s="351" t="s">
        <v>223</v>
      </c>
      <c r="H2295" s="351" t="s">
        <v>3245</v>
      </c>
      <c r="I2295" s="350">
        <v>30</v>
      </c>
      <c r="J2295" s="350"/>
      <c r="K2295" s="350">
        <v>30</v>
      </c>
      <c r="L2295" s="350">
        <v>1</v>
      </c>
      <c r="M2295" s="350">
        <f t="shared" ref="M2295:M2339" si="4">K2295*L2295</f>
        <v>30</v>
      </c>
      <c r="N2295" s="737"/>
      <c r="R2295" s="414"/>
      <c r="S2295" s="350"/>
    </row>
    <row r="2296" spans="1:19" x14ac:dyDescent="0.25">
      <c r="A2296" t="s">
        <v>3317</v>
      </c>
      <c r="B2296" s="50" t="s">
        <v>213</v>
      </c>
      <c r="C2296" s="51"/>
      <c r="D2296" s="343">
        <v>610000004820</v>
      </c>
      <c r="E2296" s="343">
        <f>VLOOKUP(D2296,'[1]Task list &amp; Maintenace plan'!$B:$G,6,FALSE)</f>
        <v>101254</v>
      </c>
      <c r="F2296" s="343" t="s">
        <v>3200</v>
      </c>
      <c r="G2296" s="345" t="s">
        <v>219</v>
      </c>
      <c r="H2296" s="345" t="s">
        <v>3246</v>
      </c>
      <c r="I2296" s="344">
        <v>30</v>
      </c>
      <c r="J2296" s="344">
        <v>1</v>
      </c>
      <c r="K2296" s="344">
        <v>90</v>
      </c>
      <c r="L2296" s="344">
        <v>3</v>
      </c>
      <c r="M2296" s="344">
        <f t="shared" si="4"/>
        <v>270</v>
      </c>
      <c r="N2296" s="733" t="s">
        <v>20</v>
      </c>
      <c r="R2296" s="418"/>
      <c r="S2296" s="344"/>
    </row>
    <row r="2297" spans="1:19" x14ac:dyDescent="0.25">
      <c r="A2297" t="s">
        <v>3317</v>
      </c>
      <c r="B2297" s="50" t="s">
        <v>213</v>
      </c>
      <c r="C2297" s="51"/>
      <c r="D2297" s="346">
        <v>610000004820</v>
      </c>
      <c r="E2297" s="346">
        <f>VLOOKUP(D2297,'[1]Task list &amp; Maintenace plan'!$B:$G,6,FALSE)</f>
        <v>101254</v>
      </c>
      <c r="F2297" s="346" t="s">
        <v>3200</v>
      </c>
      <c r="G2297" s="348" t="s">
        <v>221</v>
      </c>
      <c r="H2297" s="348" t="s">
        <v>3247</v>
      </c>
      <c r="I2297" s="347">
        <v>30</v>
      </c>
      <c r="J2297" s="347">
        <v>1</v>
      </c>
      <c r="K2297" s="347">
        <v>90</v>
      </c>
      <c r="L2297" s="347">
        <v>3</v>
      </c>
      <c r="M2297" s="347">
        <f t="shared" si="4"/>
        <v>270</v>
      </c>
      <c r="N2297" s="736"/>
      <c r="R2297" s="413"/>
      <c r="S2297" s="347"/>
    </row>
    <row r="2298" spans="1:19" x14ac:dyDescent="0.25">
      <c r="A2298" t="s">
        <v>3317</v>
      </c>
      <c r="B2298" s="50" t="s">
        <v>213</v>
      </c>
      <c r="C2298" s="51"/>
      <c r="D2298" s="349">
        <v>610000004820</v>
      </c>
      <c r="E2298" s="349">
        <f>VLOOKUP(D2298,'[1]Task list &amp; Maintenace plan'!$B:$G,6,FALSE)</f>
        <v>101254</v>
      </c>
      <c r="F2298" s="349" t="s">
        <v>3200</v>
      </c>
      <c r="G2298" s="351" t="s">
        <v>223</v>
      </c>
      <c r="H2298" s="351" t="s">
        <v>3248</v>
      </c>
      <c r="I2298" s="350">
        <v>30</v>
      </c>
      <c r="J2298" s="350">
        <v>1</v>
      </c>
      <c r="K2298" s="350">
        <v>90</v>
      </c>
      <c r="L2298" s="350">
        <v>3</v>
      </c>
      <c r="M2298" s="350">
        <f t="shared" si="4"/>
        <v>270</v>
      </c>
      <c r="N2298" s="737"/>
      <c r="R2298" s="414"/>
      <c r="S2298" s="350"/>
    </row>
    <row r="2299" spans="1:19" x14ac:dyDescent="0.25">
      <c r="A2299" t="s">
        <v>3317</v>
      </c>
      <c r="B2299" s="50" t="s">
        <v>213</v>
      </c>
      <c r="C2299" s="51"/>
      <c r="D2299" s="346">
        <v>610000004821</v>
      </c>
      <c r="E2299" s="346">
        <f>VLOOKUP(D2299,'[1]Task list &amp; Maintenace plan'!$B:$G,6,FALSE)</f>
        <v>101255</v>
      </c>
      <c r="F2299" s="346" t="s">
        <v>3249</v>
      </c>
      <c r="G2299" s="348" t="s">
        <v>219</v>
      </c>
      <c r="H2299" s="348" t="s">
        <v>3250</v>
      </c>
      <c r="I2299" s="347">
        <v>180</v>
      </c>
      <c r="J2299" s="347">
        <v>1</v>
      </c>
      <c r="K2299" s="347">
        <v>120</v>
      </c>
      <c r="L2299" s="347">
        <v>1</v>
      </c>
      <c r="M2299" s="347">
        <f t="shared" si="4"/>
        <v>120</v>
      </c>
      <c r="N2299" s="733" t="s">
        <v>3174</v>
      </c>
      <c r="R2299" s="413" t="s">
        <v>3251</v>
      </c>
      <c r="S2299" s="347"/>
    </row>
    <row r="2300" spans="1:19" x14ac:dyDescent="0.25">
      <c r="A2300" t="s">
        <v>3317</v>
      </c>
      <c r="B2300" s="50" t="s">
        <v>213</v>
      </c>
      <c r="C2300" s="51"/>
      <c r="D2300" s="346">
        <v>610000004821</v>
      </c>
      <c r="E2300" s="346">
        <f>VLOOKUP(D2300,'[1]Task list &amp; Maintenace plan'!$B:$G,6,FALSE)</f>
        <v>101255</v>
      </c>
      <c r="F2300" s="346" t="s">
        <v>3249</v>
      </c>
      <c r="G2300" s="348" t="s">
        <v>223</v>
      </c>
      <c r="H2300" s="348" t="s">
        <v>3252</v>
      </c>
      <c r="I2300" s="347">
        <v>180</v>
      </c>
      <c r="J2300" s="347">
        <v>1</v>
      </c>
      <c r="K2300" s="347">
        <v>120</v>
      </c>
      <c r="L2300" s="347">
        <v>1</v>
      </c>
      <c r="M2300" s="347">
        <f t="shared" si="4"/>
        <v>120</v>
      </c>
      <c r="N2300" s="736"/>
      <c r="R2300" s="413" t="s">
        <v>3251</v>
      </c>
      <c r="S2300" s="347"/>
    </row>
    <row r="2301" spans="1:19" ht="15.75" thickBot="1" x14ac:dyDescent="0.3">
      <c r="A2301" t="s">
        <v>3317</v>
      </c>
      <c r="B2301" s="50" t="s">
        <v>213</v>
      </c>
      <c r="C2301" s="214"/>
      <c r="D2301" s="349">
        <v>610000004821</v>
      </c>
      <c r="E2301" s="349">
        <f>VLOOKUP(D2301,'[1]Task list &amp; Maintenace plan'!$B:$G,6,FALSE)</f>
        <v>101255</v>
      </c>
      <c r="F2301" s="349" t="s">
        <v>3249</v>
      </c>
      <c r="G2301" s="351" t="s">
        <v>223</v>
      </c>
      <c r="H2301" s="351" t="s">
        <v>3253</v>
      </c>
      <c r="I2301" s="350">
        <v>180</v>
      </c>
      <c r="J2301" s="350">
        <v>1</v>
      </c>
      <c r="K2301" s="350">
        <v>120</v>
      </c>
      <c r="L2301" s="350">
        <v>1</v>
      </c>
      <c r="M2301" s="350">
        <f t="shared" si="4"/>
        <v>120</v>
      </c>
      <c r="N2301" s="738"/>
      <c r="R2301" s="414" t="s">
        <v>3254</v>
      </c>
      <c r="S2301" s="350"/>
    </row>
    <row r="2302" spans="1:19" x14ac:dyDescent="0.25">
      <c r="A2302" t="s">
        <v>3317</v>
      </c>
      <c r="B2302" s="50" t="s">
        <v>252</v>
      </c>
      <c r="C2302" s="51"/>
      <c r="D2302" s="428">
        <v>610000004822</v>
      </c>
      <c r="E2302" s="428">
        <f>VLOOKUP(D2302,'[1]Task list &amp; Maintenace plan'!$B:$G,6,FALSE)</f>
        <v>101256</v>
      </c>
      <c r="F2302" s="428" t="s">
        <v>3255</v>
      </c>
      <c r="G2302" s="429" t="s">
        <v>262</v>
      </c>
      <c r="H2302" s="429" t="s">
        <v>3256</v>
      </c>
      <c r="I2302" s="430">
        <v>15</v>
      </c>
      <c r="J2302" s="430"/>
      <c r="K2302" s="430">
        <v>10</v>
      </c>
      <c r="L2302" s="430">
        <v>1</v>
      </c>
      <c r="M2302" s="430">
        <f t="shared" si="4"/>
        <v>10</v>
      </c>
      <c r="N2302" s="432" t="s">
        <v>20</v>
      </c>
      <c r="R2302" s="431"/>
      <c r="S2302" s="430"/>
    </row>
    <row r="2303" spans="1:19" x14ac:dyDescent="0.25">
      <c r="A2303" t="s">
        <v>3317</v>
      </c>
      <c r="B2303" s="50" t="s">
        <v>252</v>
      </c>
      <c r="C2303" s="51"/>
      <c r="D2303" s="346">
        <v>610000004823</v>
      </c>
      <c r="E2303" s="346">
        <f>VLOOKUP(D2303,'[1]Task list &amp; Maintenace plan'!$B:$G,6,FALSE)</f>
        <v>101257</v>
      </c>
      <c r="F2303" s="346" t="s">
        <v>3257</v>
      </c>
      <c r="G2303" s="348" t="s">
        <v>3258</v>
      </c>
      <c r="H2303" s="348" t="s">
        <v>3259</v>
      </c>
      <c r="I2303" s="347">
        <v>15</v>
      </c>
      <c r="J2303" s="347"/>
      <c r="K2303" s="347">
        <v>10</v>
      </c>
      <c r="L2303" s="347">
        <v>1</v>
      </c>
      <c r="M2303" s="347">
        <f t="shared" si="4"/>
        <v>10</v>
      </c>
      <c r="N2303" s="733" t="s">
        <v>3174</v>
      </c>
      <c r="R2303" s="413" t="s">
        <v>3159</v>
      </c>
      <c r="S2303" s="347"/>
    </row>
    <row r="2304" spans="1:19" x14ac:dyDescent="0.25">
      <c r="A2304" t="s">
        <v>3317</v>
      </c>
      <c r="B2304" s="50" t="s">
        <v>252</v>
      </c>
      <c r="C2304" s="51"/>
      <c r="D2304" s="349">
        <v>610000004823</v>
      </c>
      <c r="E2304" s="349">
        <f>VLOOKUP(D2304,'[1]Task list &amp; Maintenace plan'!$B:$G,6,FALSE)</f>
        <v>101257</v>
      </c>
      <c r="F2304" s="349" t="s">
        <v>3257</v>
      </c>
      <c r="G2304" s="351" t="s">
        <v>260</v>
      </c>
      <c r="H2304" s="351" t="s">
        <v>3260</v>
      </c>
      <c r="I2304" s="350">
        <v>15</v>
      </c>
      <c r="J2304" s="350"/>
      <c r="K2304" s="350">
        <v>10</v>
      </c>
      <c r="L2304" s="350">
        <v>1</v>
      </c>
      <c r="M2304" s="350">
        <f t="shared" si="4"/>
        <v>10</v>
      </c>
      <c r="N2304" s="737"/>
      <c r="R2304" s="414" t="s">
        <v>3159</v>
      </c>
      <c r="S2304" s="350"/>
    </row>
    <row r="2305" spans="1:19" x14ac:dyDescent="0.25">
      <c r="A2305" t="s">
        <v>3317</v>
      </c>
      <c r="B2305" s="50" t="s">
        <v>252</v>
      </c>
      <c r="C2305" s="51"/>
      <c r="D2305" s="343">
        <v>610000004824</v>
      </c>
      <c r="E2305" s="343">
        <f>VLOOKUP(D2305,'[1]Task list &amp; Maintenace plan'!$B:$G,6,FALSE)</f>
        <v>101258</v>
      </c>
      <c r="F2305" s="343" t="s">
        <v>3261</v>
      </c>
      <c r="G2305" s="345" t="s">
        <v>3258</v>
      </c>
      <c r="H2305" s="345" t="s">
        <v>3262</v>
      </c>
      <c r="I2305" s="344">
        <v>30</v>
      </c>
      <c r="J2305" s="344"/>
      <c r="K2305" s="344">
        <v>30</v>
      </c>
      <c r="L2305" s="344">
        <v>1</v>
      </c>
      <c r="M2305" s="344">
        <f t="shared" si="4"/>
        <v>30</v>
      </c>
      <c r="N2305" s="733" t="s">
        <v>20</v>
      </c>
      <c r="R2305" s="418"/>
      <c r="S2305" s="344"/>
    </row>
    <row r="2306" spans="1:19" x14ac:dyDescent="0.25">
      <c r="A2306" t="s">
        <v>3317</v>
      </c>
      <c r="B2306" s="50" t="s">
        <v>252</v>
      </c>
      <c r="C2306" s="51"/>
      <c r="D2306" s="346">
        <v>610000004824</v>
      </c>
      <c r="E2306" s="346">
        <f>VLOOKUP(D2306,'[1]Task list &amp; Maintenace plan'!$B:$G,6,FALSE)</f>
        <v>101258</v>
      </c>
      <c r="F2306" s="346" t="s">
        <v>3261</v>
      </c>
      <c r="G2306" s="348" t="s">
        <v>260</v>
      </c>
      <c r="H2306" s="348" t="s">
        <v>3263</v>
      </c>
      <c r="I2306" s="347">
        <v>30</v>
      </c>
      <c r="J2306" s="347"/>
      <c r="K2306" s="347">
        <v>30</v>
      </c>
      <c r="L2306" s="347">
        <v>1</v>
      </c>
      <c r="M2306" s="347">
        <f t="shared" si="4"/>
        <v>30</v>
      </c>
      <c r="N2306" s="736"/>
      <c r="R2306" s="413"/>
      <c r="S2306" s="347"/>
    </row>
    <row r="2307" spans="1:19" x14ac:dyDescent="0.25">
      <c r="A2307" t="s">
        <v>3317</v>
      </c>
      <c r="B2307" s="50" t="s">
        <v>252</v>
      </c>
      <c r="C2307" s="51"/>
      <c r="D2307" s="349">
        <v>610000004824</v>
      </c>
      <c r="E2307" s="349">
        <f>VLOOKUP(D2307,'[1]Task list &amp; Maintenace plan'!$B:$G,6,FALSE)</f>
        <v>101258</v>
      </c>
      <c r="F2307" s="349" t="s">
        <v>3261</v>
      </c>
      <c r="G2307" s="351" t="s">
        <v>262</v>
      </c>
      <c r="H2307" s="351" t="s">
        <v>3264</v>
      </c>
      <c r="I2307" s="350">
        <v>30</v>
      </c>
      <c r="J2307" s="350"/>
      <c r="K2307" s="350">
        <v>30</v>
      </c>
      <c r="L2307" s="350">
        <v>1</v>
      </c>
      <c r="M2307" s="350">
        <f t="shared" si="4"/>
        <v>30</v>
      </c>
      <c r="N2307" s="737"/>
      <c r="R2307" s="414"/>
      <c r="S2307" s="350"/>
    </row>
    <row r="2308" spans="1:19" x14ac:dyDescent="0.25">
      <c r="A2308" t="s">
        <v>3317</v>
      </c>
      <c r="B2308" s="50" t="s">
        <v>252</v>
      </c>
      <c r="C2308" s="51"/>
      <c r="D2308" s="343">
        <v>610000004825</v>
      </c>
      <c r="E2308" s="343">
        <f>VLOOKUP(D2308,'[1]Task list &amp; Maintenace plan'!$B:$G,6,FALSE)</f>
        <v>101259</v>
      </c>
      <c r="F2308" s="343" t="s">
        <v>3265</v>
      </c>
      <c r="G2308" s="345" t="s">
        <v>3258</v>
      </c>
      <c r="H2308" s="345" t="s">
        <v>3266</v>
      </c>
      <c r="I2308" s="344">
        <v>180</v>
      </c>
      <c r="J2308" s="344">
        <v>1</v>
      </c>
      <c r="K2308" s="344">
        <v>90</v>
      </c>
      <c r="L2308" s="344">
        <v>2</v>
      </c>
      <c r="M2308" s="344">
        <f t="shared" si="4"/>
        <v>180</v>
      </c>
      <c r="N2308" s="733" t="s">
        <v>3174</v>
      </c>
      <c r="R2308" s="418" t="s">
        <v>3251</v>
      </c>
      <c r="S2308" s="344"/>
    </row>
    <row r="2309" spans="1:19" x14ac:dyDescent="0.25">
      <c r="A2309" t="s">
        <v>3317</v>
      </c>
      <c r="B2309" s="50" t="s">
        <v>252</v>
      </c>
      <c r="C2309" s="51"/>
      <c r="D2309" s="346">
        <v>610000004825</v>
      </c>
      <c r="E2309" s="346">
        <f>VLOOKUP(D2309,'[1]Task list &amp; Maintenace plan'!$B:$G,6,FALSE)</f>
        <v>101259</v>
      </c>
      <c r="F2309" s="346" t="s">
        <v>3265</v>
      </c>
      <c r="G2309" s="348" t="s">
        <v>260</v>
      </c>
      <c r="H2309" s="348" t="s">
        <v>3267</v>
      </c>
      <c r="I2309" s="347">
        <v>180</v>
      </c>
      <c r="J2309" s="347">
        <v>1</v>
      </c>
      <c r="K2309" s="347">
        <v>90</v>
      </c>
      <c r="L2309" s="347">
        <v>2</v>
      </c>
      <c r="M2309" s="347">
        <f t="shared" si="4"/>
        <v>180</v>
      </c>
      <c r="N2309" s="736"/>
      <c r="R2309" s="413" t="s">
        <v>3251</v>
      </c>
      <c r="S2309" s="347"/>
    </row>
    <row r="2310" spans="1:19" x14ac:dyDescent="0.25">
      <c r="A2310" t="s">
        <v>3317</v>
      </c>
      <c r="B2310" s="50" t="s">
        <v>252</v>
      </c>
      <c r="C2310" s="51"/>
      <c r="D2310" s="349">
        <v>610000004825</v>
      </c>
      <c r="E2310" s="349">
        <f>VLOOKUP(D2310,'[1]Task list &amp; Maintenace plan'!$B:$G,6,FALSE)</f>
        <v>101259</v>
      </c>
      <c r="F2310" s="349" t="s">
        <v>3265</v>
      </c>
      <c r="G2310" s="351" t="s">
        <v>262</v>
      </c>
      <c r="H2310" s="351" t="s">
        <v>3268</v>
      </c>
      <c r="I2310" s="350">
        <v>180</v>
      </c>
      <c r="J2310" s="350">
        <v>1</v>
      </c>
      <c r="K2310" s="350">
        <v>90</v>
      </c>
      <c r="L2310" s="350">
        <v>2</v>
      </c>
      <c r="M2310" s="350">
        <f t="shared" si="4"/>
        <v>180</v>
      </c>
      <c r="N2310" s="737"/>
      <c r="R2310" s="414" t="s">
        <v>3269</v>
      </c>
      <c r="S2310" s="350"/>
    </row>
    <row r="2311" spans="1:19" x14ac:dyDescent="0.25">
      <c r="A2311" t="s">
        <v>3317</v>
      </c>
      <c r="B2311" s="50" t="s">
        <v>252</v>
      </c>
      <c r="C2311" s="51"/>
      <c r="D2311" s="349">
        <v>610000004826</v>
      </c>
      <c r="E2311" s="349">
        <f>VLOOKUP(D2311,'[1]Task list &amp; Maintenace plan'!$B:$G,6,FALSE)</f>
        <v>101260</v>
      </c>
      <c r="F2311" s="349" t="s">
        <v>3270</v>
      </c>
      <c r="G2311" s="351" t="s">
        <v>262</v>
      </c>
      <c r="H2311" s="420" t="s">
        <v>3271</v>
      </c>
      <c r="I2311" s="353">
        <v>180</v>
      </c>
      <c r="J2311" s="353">
        <v>1</v>
      </c>
      <c r="K2311" s="353">
        <v>30</v>
      </c>
      <c r="L2311" s="353">
        <v>1</v>
      </c>
      <c r="M2311" s="353">
        <f t="shared" si="4"/>
        <v>30</v>
      </c>
      <c r="N2311" s="412" t="s">
        <v>468</v>
      </c>
      <c r="R2311" s="411" t="s">
        <v>3272</v>
      </c>
      <c r="S2311" s="353"/>
    </row>
    <row r="2312" spans="1:19" ht="15.75" thickBot="1" x14ac:dyDescent="0.3">
      <c r="A2312" t="s">
        <v>3317</v>
      </c>
      <c r="B2312" s="50" t="s">
        <v>252</v>
      </c>
      <c r="C2312" s="214"/>
      <c r="D2312" s="349">
        <v>351979</v>
      </c>
      <c r="E2312" s="349">
        <f>VLOOKUP(D2312,'[1]Task list &amp; Maintenace plan'!$B:$G,6,FALSE)</f>
        <v>1436</v>
      </c>
      <c r="F2312" s="349" t="s">
        <v>3273</v>
      </c>
      <c r="G2312" s="351" t="s">
        <v>262</v>
      </c>
      <c r="H2312" s="420" t="s">
        <v>3274</v>
      </c>
      <c r="I2312" s="353">
        <v>365</v>
      </c>
      <c r="J2312" s="353">
        <v>1</v>
      </c>
      <c r="K2312" s="353">
        <v>60</v>
      </c>
      <c r="L2312" s="353">
        <v>1</v>
      </c>
      <c r="M2312" s="353">
        <f t="shared" si="4"/>
        <v>60</v>
      </c>
      <c r="N2312" s="412" t="s">
        <v>468</v>
      </c>
      <c r="R2312" s="411"/>
      <c r="S2312" s="353"/>
    </row>
    <row r="2313" spans="1:19" x14ac:dyDescent="0.25">
      <c r="A2313" t="s">
        <v>3317</v>
      </c>
      <c r="B2313" s="50" t="s">
        <v>270</v>
      </c>
      <c r="C2313" s="51"/>
      <c r="D2313" s="428">
        <v>610000004827</v>
      </c>
      <c r="E2313" s="428">
        <f>VLOOKUP(D2313,'[1]Task list &amp; Maintenace plan'!$B:$G,6,FALSE)</f>
        <v>101261</v>
      </c>
      <c r="F2313" s="428" t="s">
        <v>3275</v>
      </c>
      <c r="G2313" s="429" t="s">
        <v>279</v>
      </c>
      <c r="H2313" s="429" t="s">
        <v>3276</v>
      </c>
      <c r="I2313" s="430">
        <v>15</v>
      </c>
      <c r="J2313" s="430">
        <v>1</v>
      </c>
      <c r="K2313" s="430">
        <v>15</v>
      </c>
      <c r="L2313" s="430">
        <v>1</v>
      </c>
      <c r="M2313" s="430">
        <f t="shared" si="4"/>
        <v>15</v>
      </c>
      <c r="N2313" s="432" t="s">
        <v>20</v>
      </c>
      <c r="R2313" s="431"/>
      <c r="S2313" s="430"/>
    </row>
    <row r="2314" spans="1:19" x14ac:dyDescent="0.25">
      <c r="A2314" t="s">
        <v>3317</v>
      </c>
      <c r="B2314" s="50" t="s">
        <v>270</v>
      </c>
      <c r="C2314" s="51"/>
      <c r="D2314" s="423">
        <v>610000004828</v>
      </c>
      <c r="E2314" s="423">
        <f>VLOOKUP(D2314,'[1]Task list &amp; Maintenace plan'!$B:$G,6,FALSE)</f>
        <v>101262</v>
      </c>
      <c r="F2314" s="423" t="s">
        <v>3277</v>
      </c>
      <c r="G2314" s="433" t="s">
        <v>273</v>
      </c>
      <c r="H2314" s="433" t="s">
        <v>3278</v>
      </c>
      <c r="I2314" s="434">
        <v>90</v>
      </c>
      <c r="J2314" s="434">
        <v>1</v>
      </c>
      <c r="K2314" s="434">
        <v>60</v>
      </c>
      <c r="L2314" s="434">
        <v>1</v>
      </c>
      <c r="M2314" s="434">
        <f t="shared" si="4"/>
        <v>60</v>
      </c>
      <c r="N2314" s="436" t="s">
        <v>34</v>
      </c>
      <c r="R2314" s="435"/>
      <c r="S2314" s="434"/>
    </row>
    <row r="2315" spans="1:19" x14ac:dyDescent="0.25">
      <c r="A2315" t="s">
        <v>3317</v>
      </c>
      <c r="B2315" s="50" t="s">
        <v>270</v>
      </c>
      <c r="C2315" s="51"/>
      <c r="D2315" s="343">
        <v>610000004829</v>
      </c>
      <c r="E2315" s="343">
        <f>VLOOKUP(D2315,'[1]Task list &amp; Maintenace plan'!$B:$G,6,FALSE)</f>
        <v>101263</v>
      </c>
      <c r="F2315" s="343" t="s">
        <v>3279</v>
      </c>
      <c r="G2315" s="345" t="s">
        <v>275</v>
      </c>
      <c r="H2315" s="345" t="s">
        <v>3280</v>
      </c>
      <c r="I2315" s="344">
        <v>30</v>
      </c>
      <c r="J2315" s="344"/>
      <c r="K2315" s="344">
        <v>30</v>
      </c>
      <c r="L2315" s="344">
        <v>1</v>
      </c>
      <c r="M2315" s="344">
        <f t="shared" si="4"/>
        <v>30</v>
      </c>
      <c r="N2315" s="733" t="s">
        <v>3174</v>
      </c>
      <c r="R2315" s="418" t="s">
        <v>3281</v>
      </c>
      <c r="S2315" s="344"/>
    </row>
    <row r="2316" spans="1:19" x14ac:dyDescent="0.25">
      <c r="A2316" t="s">
        <v>3317</v>
      </c>
      <c r="B2316" s="50" t="s">
        <v>270</v>
      </c>
      <c r="C2316" s="51"/>
      <c r="D2316" s="346">
        <v>610000004829</v>
      </c>
      <c r="E2316" s="346">
        <f>VLOOKUP(D2316,'[1]Task list &amp; Maintenace plan'!$B:$G,6,FALSE)</f>
        <v>101263</v>
      </c>
      <c r="F2316" s="346" t="s">
        <v>3279</v>
      </c>
      <c r="G2316" s="348" t="s">
        <v>271</v>
      </c>
      <c r="H2316" s="348" t="s">
        <v>3282</v>
      </c>
      <c r="I2316" s="347">
        <v>30</v>
      </c>
      <c r="J2316" s="347"/>
      <c r="K2316" s="347">
        <v>30</v>
      </c>
      <c r="L2316" s="347">
        <v>1</v>
      </c>
      <c r="M2316" s="347">
        <f t="shared" si="4"/>
        <v>30</v>
      </c>
      <c r="N2316" s="736"/>
      <c r="R2316" s="413" t="s">
        <v>3281</v>
      </c>
      <c r="S2316" s="347"/>
    </row>
    <row r="2317" spans="1:19" x14ac:dyDescent="0.25">
      <c r="A2317" t="s">
        <v>3317</v>
      </c>
      <c r="B2317" s="50" t="s">
        <v>270</v>
      </c>
      <c r="C2317" s="51"/>
      <c r="D2317" s="346">
        <v>610000004829</v>
      </c>
      <c r="E2317" s="346">
        <f>VLOOKUP(D2317,'[1]Task list &amp; Maintenace plan'!$B:$G,6,FALSE)</f>
        <v>101263</v>
      </c>
      <c r="F2317" s="346" t="s">
        <v>3279</v>
      </c>
      <c r="G2317" s="348" t="s">
        <v>271</v>
      </c>
      <c r="H2317" s="348" t="s">
        <v>3283</v>
      </c>
      <c r="I2317" s="347">
        <v>30</v>
      </c>
      <c r="J2317" s="347"/>
      <c r="K2317" s="347">
        <v>30</v>
      </c>
      <c r="L2317" s="347">
        <v>1</v>
      </c>
      <c r="M2317" s="347">
        <f t="shared" si="4"/>
        <v>30</v>
      </c>
      <c r="N2317" s="736"/>
      <c r="R2317" s="413" t="s">
        <v>3281</v>
      </c>
      <c r="S2317" s="347"/>
    </row>
    <row r="2318" spans="1:19" x14ac:dyDescent="0.25">
      <c r="A2318" t="s">
        <v>3317</v>
      </c>
      <c r="B2318" s="50" t="s">
        <v>270</v>
      </c>
      <c r="C2318" s="51"/>
      <c r="D2318" s="349">
        <v>610000004829</v>
      </c>
      <c r="E2318" s="349">
        <f>VLOOKUP(D2318,'[1]Task list &amp; Maintenace plan'!$B:$G,6,FALSE)</f>
        <v>101263</v>
      </c>
      <c r="F2318" s="349" t="s">
        <v>3279</v>
      </c>
      <c r="G2318" s="351" t="s">
        <v>279</v>
      </c>
      <c r="H2318" s="351" t="s">
        <v>3284</v>
      </c>
      <c r="I2318" s="350">
        <v>30</v>
      </c>
      <c r="J2318" s="350"/>
      <c r="K2318" s="350">
        <v>30</v>
      </c>
      <c r="L2318" s="350">
        <v>1</v>
      </c>
      <c r="M2318" s="350">
        <f t="shared" si="4"/>
        <v>30</v>
      </c>
      <c r="N2318" s="737"/>
      <c r="R2318" s="414" t="s">
        <v>3281</v>
      </c>
      <c r="S2318" s="350"/>
    </row>
    <row r="2319" spans="1:19" ht="15.75" thickBot="1" x14ac:dyDescent="0.3">
      <c r="A2319" t="s">
        <v>3317</v>
      </c>
      <c r="B2319" s="50" t="s">
        <v>270</v>
      </c>
      <c r="C2319" s="51"/>
      <c r="D2319" s="363">
        <v>610000004830</v>
      </c>
      <c r="E2319" s="363">
        <f>VLOOKUP(D2319,'[1]Task list &amp; Maintenace plan'!$B:$G,6,FALSE)</f>
        <v>101264</v>
      </c>
      <c r="F2319" s="363" t="s">
        <v>3285</v>
      </c>
      <c r="G2319" s="365" t="s">
        <v>271</v>
      </c>
      <c r="H2319" s="365" t="s">
        <v>3286</v>
      </c>
      <c r="I2319" s="364">
        <v>180</v>
      </c>
      <c r="J2319" s="364">
        <v>1</v>
      </c>
      <c r="K2319" s="364">
        <v>30</v>
      </c>
      <c r="L2319" s="364">
        <v>2</v>
      </c>
      <c r="M2319" s="364">
        <f t="shared" si="4"/>
        <v>60</v>
      </c>
      <c r="N2319" s="437" t="s">
        <v>468</v>
      </c>
      <c r="R2319" s="427" t="s">
        <v>3254</v>
      </c>
      <c r="S2319" s="364"/>
    </row>
    <row r="2320" spans="1:19" ht="15.75" thickBot="1" x14ac:dyDescent="0.3">
      <c r="A2320" t="s">
        <v>3317</v>
      </c>
      <c r="B2320" s="438" t="s">
        <v>301</v>
      </c>
      <c r="C2320" s="439"/>
      <c r="D2320" s="440">
        <v>610000004831</v>
      </c>
      <c r="E2320" s="440">
        <f>VLOOKUP(D2320,'[1]Task list &amp; Maintenace plan'!$B:$G,6,FALSE)</f>
        <v>101265</v>
      </c>
      <c r="F2320" s="440" t="s">
        <v>3287</v>
      </c>
      <c r="G2320" s="441" t="s">
        <v>312</v>
      </c>
      <c r="H2320" s="441" t="s">
        <v>3288</v>
      </c>
      <c r="I2320" s="442">
        <v>15</v>
      </c>
      <c r="J2320" s="442">
        <v>1</v>
      </c>
      <c r="K2320" s="442">
        <v>15</v>
      </c>
      <c r="L2320" s="442">
        <v>1</v>
      </c>
      <c r="M2320" s="442">
        <f t="shared" si="4"/>
        <v>15</v>
      </c>
      <c r="N2320" s="444" t="s">
        <v>20</v>
      </c>
      <c r="R2320" s="443"/>
      <c r="S2320" s="442"/>
    </row>
    <row r="2321" spans="1:19" ht="15.75" thickBot="1" x14ac:dyDescent="0.3">
      <c r="A2321" t="s">
        <v>3317</v>
      </c>
      <c r="B2321" s="438" t="s">
        <v>301</v>
      </c>
      <c r="C2321" s="445"/>
      <c r="D2321" s="369">
        <v>610000004832</v>
      </c>
      <c r="E2321" s="369">
        <f>VLOOKUP(D2321,'[1]Task list &amp; Maintenace plan'!$B:$G,6,FALSE)</f>
        <v>101266</v>
      </c>
      <c r="F2321" s="369" t="s">
        <v>3289</v>
      </c>
      <c r="G2321" s="371" t="s">
        <v>312</v>
      </c>
      <c r="H2321" s="371" t="s">
        <v>3290</v>
      </c>
      <c r="I2321" s="370">
        <v>15</v>
      </c>
      <c r="J2321" s="370"/>
      <c r="K2321" s="370">
        <v>10</v>
      </c>
      <c r="L2321" s="370">
        <v>1</v>
      </c>
      <c r="M2321" s="370">
        <f t="shared" si="4"/>
        <v>10</v>
      </c>
      <c r="N2321" s="447" t="s">
        <v>20</v>
      </c>
      <c r="R2321" s="446"/>
      <c r="S2321" s="370"/>
    </row>
    <row r="2322" spans="1:19" ht="15.75" thickBot="1" x14ac:dyDescent="0.3">
      <c r="A2322" t="s">
        <v>3317</v>
      </c>
      <c r="B2322" s="438" t="s">
        <v>301</v>
      </c>
      <c r="C2322" s="445"/>
      <c r="D2322" s="448">
        <v>610000004833</v>
      </c>
      <c r="E2322" s="448">
        <f>VLOOKUP(D2322,'[1]Task list &amp; Maintenace plan'!$B:$G,6,FALSE)</f>
        <v>101267</v>
      </c>
      <c r="F2322" s="448" t="s">
        <v>3291</v>
      </c>
      <c r="G2322" s="384" t="s">
        <v>312</v>
      </c>
      <c r="H2322" s="384" t="s">
        <v>3292</v>
      </c>
      <c r="I2322" s="383">
        <v>15</v>
      </c>
      <c r="J2322" s="383"/>
      <c r="K2322" s="383">
        <v>10</v>
      </c>
      <c r="L2322" s="383">
        <v>1</v>
      </c>
      <c r="M2322" s="383">
        <f t="shared" si="4"/>
        <v>10</v>
      </c>
      <c r="N2322" s="450" t="s">
        <v>3174</v>
      </c>
      <c r="R2322" s="449" t="s">
        <v>3159</v>
      </c>
      <c r="S2322" s="383"/>
    </row>
    <row r="2323" spans="1:19" ht="15.75" thickBot="1" x14ac:dyDescent="0.3">
      <c r="A2323" t="s">
        <v>3317</v>
      </c>
      <c r="B2323" s="438" t="s">
        <v>301</v>
      </c>
      <c r="C2323" s="445"/>
      <c r="D2323" s="326"/>
      <c r="E2323" s="326">
        <f>E2328+1</f>
        <v>1438</v>
      </c>
      <c r="F2323" s="326"/>
      <c r="G2323" s="328" t="s">
        <v>3293</v>
      </c>
      <c r="H2323" s="328" t="s">
        <v>3294</v>
      </c>
      <c r="I2323" s="327">
        <v>30</v>
      </c>
      <c r="J2323" s="327"/>
      <c r="K2323" s="327">
        <v>10</v>
      </c>
      <c r="L2323" s="327">
        <v>1</v>
      </c>
      <c r="M2323" s="327">
        <f t="shared" si="4"/>
        <v>10</v>
      </c>
      <c r="N2323" s="740" t="s">
        <v>20</v>
      </c>
      <c r="R2323" s="451"/>
      <c r="S2323" s="327"/>
    </row>
    <row r="2324" spans="1:19" ht="15.75" thickBot="1" x14ac:dyDescent="0.3">
      <c r="A2324" t="s">
        <v>3317</v>
      </c>
      <c r="B2324" s="438" t="s">
        <v>301</v>
      </c>
      <c r="C2324" s="445"/>
      <c r="D2324" s="326"/>
      <c r="E2324" s="326">
        <v>1438</v>
      </c>
      <c r="F2324" s="326"/>
      <c r="G2324" s="328" t="s">
        <v>3295</v>
      </c>
      <c r="H2324" s="328" t="s">
        <v>3296</v>
      </c>
      <c r="I2324" s="327">
        <v>30</v>
      </c>
      <c r="J2324" s="327"/>
      <c r="K2324" s="327">
        <v>10</v>
      </c>
      <c r="L2324" s="327">
        <v>1</v>
      </c>
      <c r="M2324" s="327">
        <f t="shared" si="4"/>
        <v>10</v>
      </c>
      <c r="N2324" s="741"/>
      <c r="R2324" s="451"/>
      <c r="S2324" s="327"/>
    </row>
    <row r="2325" spans="1:19" ht="15.75" thickBot="1" x14ac:dyDescent="0.3">
      <c r="A2325" t="s">
        <v>3317</v>
      </c>
      <c r="B2325" s="438" t="s">
        <v>301</v>
      </c>
      <c r="C2325" s="445"/>
      <c r="D2325" s="326"/>
      <c r="E2325" s="326">
        <v>1438</v>
      </c>
      <c r="F2325" s="326"/>
      <c r="G2325" s="328" t="s">
        <v>3297</v>
      </c>
      <c r="H2325" s="328" t="s">
        <v>3298</v>
      </c>
      <c r="I2325" s="327">
        <v>30</v>
      </c>
      <c r="J2325" s="327"/>
      <c r="K2325" s="327">
        <v>10</v>
      </c>
      <c r="L2325" s="327">
        <v>1</v>
      </c>
      <c r="M2325" s="327">
        <f t="shared" si="4"/>
        <v>10</v>
      </c>
      <c r="N2325" s="741"/>
      <c r="R2325" s="451"/>
      <c r="S2325" s="327"/>
    </row>
    <row r="2326" spans="1:19" ht="15.75" thickBot="1" x14ac:dyDescent="0.3">
      <c r="A2326" t="s">
        <v>3317</v>
      </c>
      <c r="B2326" s="438" t="s">
        <v>301</v>
      </c>
      <c r="C2326" s="452"/>
      <c r="D2326" s="326"/>
      <c r="E2326" s="326">
        <v>1438</v>
      </c>
      <c r="F2326" s="326"/>
      <c r="G2326" s="328" t="s">
        <v>3115</v>
      </c>
      <c r="H2326" s="328" t="s">
        <v>3298</v>
      </c>
      <c r="I2326" s="327">
        <v>30</v>
      </c>
      <c r="J2326" s="327"/>
      <c r="K2326" s="327">
        <v>10</v>
      </c>
      <c r="L2326" s="327">
        <v>1</v>
      </c>
      <c r="M2326" s="327">
        <f t="shared" si="4"/>
        <v>10</v>
      </c>
      <c r="N2326" s="741"/>
      <c r="R2326" s="451"/>
      <c r="S2326" s="327"/>
    </row>
    <row r="2327" spans="1:19" ht="15.75" thickBot="1" x14ac:dyDescent="0.3">
      <c r="A2327" t="s">
        <v>3317</v>
      </c>
      <c r="B2327" s="438" t="s">
        <v>301</v>
      </c>
      <c r="C2327" s="445"/>
      <c r="D2327" s="337"/>
      <c r="E2327" s="337">
        <v>1438</v>
      </c>
      <c r="F2327" s="337"/>
      <c r="G2327" s="339" t="s">
        <v>3117</v>
      </c>
      <c r="H2327" s="339" t="s">
        <v>3298</v>
      </c>
      <c r="I2327" s="338">
        <v>30</v>
      </c>
      <c r="J2327" s="338"/>
      <c r="K2327" s="338">
        <v>10</v>
      </c>
      <c r="L2327" s="338">
        <v>1</v>
      </c>
      <c r="M2327" s="338">
        <f t="shared" si="4"/>
        <v>10</v>
      </c>
      <c r="N2327" s="742"/>
      <c r="R2327" s="453"/>
      <c r="S2327" s="338"/>
    </row>
    <row r="2328" spans="1:19" ht="15.75" thickBot="1" x14ac:dyDescent="0.3">
      <c r="A2328" t="s">
        <v>3317</v>
      </c>
      <c r="B2328" s="438" t="s">
        <v>301</v>
      </c>
      <c r="C2328" s="454"/>
      <c r="D2328" s="369">
        <v>351980</v>
      </c>
      <c r="E2328" s="369">
        <f>VLOOKUP(D2328,'[1]Task list &amp; Maintenace plan'!$B:$G,6,FALSE)</f>
        <v>1437</v>
      </c>
      <c r="F2328" s="369" t="s">
        <v>3299</v>
      </c>
      <c r="G2328" s="371" t="s">
        <v>312</v>
      </c>
      <c r="H2328" s="371" t="s">
        <v>3300</v>
      </c>
      <c r="I2328" s="370">
        <v>90</v>
      </c>
      <c r="J2328" s="370">
        <v>1</v>
      </c>
      <c r="K2328" s="370">
        <v>60</v>
      </c>
      <c r="L2328" s="370">
        <v>1</v>
      </c>
      <c r="M2328" s="370">
        <f t="shared" si="4"/>
        <v>60</v>
      </c>
      <c r="N2328" s="447" t="s">
        <v>468</v>
      </c>
      <c r="R2328" s="446"/>
      <c r="S2328" s="370"/>
    </row>
    <row r="2329" spans="1:19" ht="15.75" thickBot="1" x14ac:dyDescent="0.3">
      <c r="A2329" t="s">
        <v>3317</v>
      </c>
      <c r="B2329" s="438" t="s">
        <v>301</v>
      </c>
      <c r="C2329" s="445"/>
      <c r="D2329" s="448"/>
      <c r="E2329" s="448">
        <v>1439</v>
      </c>
      <c r="F2329" s="448"/>
      <c r="G2329" s="384" t="s">
        <v>3293</v>
      </c>
      <c r="H2329" s="384" t="s">
        <v>3301</v>
      </c>
      <c r="I2329" s="383">
        <v>180</v>
      </c>
      <c r="J2329" s="383">
        <v>1</v>
      </c>
      <c r="K2329" s="383">
        <v>60</v>
      </c>
      <c r="L2329" s="383">
        <v>2</v>
      </c>
      <c r="M2329" s="383">
        <f t="shared" si="4"/>
        <v>120</v>
      </c>
      <c r="N2329" s="450" t="s">
        <v>3174</v>
      </c>
      <c r="R2329" s="449"/>
      <c r="S2329" s="383"/>
    </row>
    <row r="2330" spans="1:19" ht="15.75" thickBot="1" x14ac:dyDescent="0.3">
      <c r="A2330" t="s">
        <v>3317</v>
      </c>
      <c r="B2330" s="438" t="s">
        <v>301</v>
      </c>
      <c r="C2330" s="445"/>
      <c r="D2330" s="448"/>
      <c r="E2330" s="448">
        <v>1440</v>
      </c>
      <c r="F2330" s="448"/>
      <c r="G2330" s="384" t="s">
        <v>3295</v>
      </c>
      <c r="H2330" s="384" t="s">
        <v>3302</v>
      </c>
      <c r="I2330" s="383">
        <v>180</v>
      </c>
      <c r="J2330" s="383">
        <v>1</v>
      </c>
      <c r="K2330" s="383">
        <v>60</v>
      </c>
      <c r="L2330" s="383">
        <v>2</v>
      </c>
      <c r="M2330" s="383">
        <f t="shared" si="4"/>
        <v>120</v>
      </c>
      <c r="N2330" s="450" t="s">
        <v>3174</v>
      </c>
      <c r="R2330" s="449"/>
      <c r="S2330" s="383"/>
    </row>
    <row r="2331" spans="1:19" ht="15.75" thickBot="1" x14ac:dyDescent="0.3">
      <c r="A2331" t="s">
        <v>3317</v>
      </c>
      <c r="B2331" s="438" t="s">
        <v>301</v>
      </c>
      <c r="C2331" s="445"/>
      <c r="D2331" s="448"/>
      <c r="E2331" s="448">
        <v>1441</v>
      </c>
      <c r="F2331" s="448"/>
      <c r="G2331" s="384" t="s">
        <v>302</v>
      </c>
      <c r="H2331" s="384" t="s">
        <v>3303</v>
      </c>
      <c r="I2331" s="383">
        <v>180</v>
      </c>
      <c r="J2331" s="383">
        <v>1</v>
      </c>
      <c r="K2331" s="383">
        <v>60</v>
      </c>
      <c r="L2331" s="383">
        <v>2</v>
      </c>
      <c r="M2331" s="383">
        <f t="shared" si="4"/>
        <v>120</v>
      </c>
      <c r="N2331" s="450" t="s">
        <v>3174</v>
      </c>
      <c r="R2331" s="449"/>
      <c r="S2331" s="383"/>
    </row>
    <row r="2332" spans="1:19" ht="15.75" thickBot="1" x14ac:dyDescent="0.3">
      <c r="A2332" t="s">
        <v>3317</v>
      </c>
      <c r="B2332" s="438" t="s">
        <v>301</v>
      </c>
      <c r="C2332" s="214"/>
      <c r="D2332" s="363">
        <v>610000004834</v>
      </c>
      <c r="E2332" s="363">
        <f>VLOOKUP(D2332,'[1]Task list &amp; Maintenace plan'!$B:$G,6,FALSE)</f>
        <v>101268</v>
      </c>
      <c r="F2332" s="363" t="s">
        <v>3304</v>
      </c>
      <c r="G2332" s="365" t="s">
        <v>312</v>
      </c>
      <c r="H2332" s="365" t="s">
        <v>3305</v>
      </c>
      <c r="I2332" s="364">
        <v>180</v>
      </c>
      <c r="J2332" s="364">
        <v>1</v>
      </c>
      <c r="K2332" s="364">
        <v>30</v>
      </c>
      <c r="L2332" s="364">
        <v>2</v>
      </c>
      <c r="M2332" s="364">
        <f t="shared" si="4"/>
        <v>60</v>
      </c>
      <c r="N2332" s="437" t="s">
        <v>3174</v>
      </c>
      <c r="R2332" s="427" t="s">
        <v>3254</v>
      </c>
      <c r="S2332" s="364"/>
    </row>
    <row r="2333" spans="1:19" x14ac:dyDescent="0.25">
      <c r="A2333" t="s">
        <v>3317</v>
      </c>
      <c r="B2333" s="50" t="s">
        <v>325</v>
      </c>
      <c r="C2333" s="51"/>
      <c r="D2333" s="343">
        <v>610000004835</v>
      </c>
      <c r="E2333" s="343">
        <f>VLOOKUP(D2333,'[1]Task list &amp; Maintenace plan'!$B:$G,6,FALSE)</f>
        <v>101269</v>
      </c>
      <c r="F2333" s="343" t="s">
        <v>3306</v>
      </c>
      <c r="G2333" s="345" t="s">
        <v>326</v>
      </c>
      <c r="H2333" s="345" t="s">
        <v>3307</v>
      </c>
      <c r="I2333" s="344">
        <v>15</v>
      </c>
      <c r="J2333" s="344"/>
      <c r="K2333" s="344">
        <v>10</v>
      </c>
      <c r="L2333" s="344">
        <v>1</v>
      </c>
      <c r="M2333" s="344">
        <f t="shared" si="4"/>
        <v>10</v>
      </c>
      <c r="N2333" s="739" t="s">
        <v>3174</v>
      </c>
      <c r="R2333" s="418" t="s">
        <v>3159</v>
      </c>
      <c r="S2333" s="344"/>
    </row>
    <row r="2334" spans="1:19" x14ac:dyDescent="0.25">
      <c r="A2334" t="s">
        <v>3317</v>
      </c>
      <c r="B2334" s="50" t="s">
        <v>325</v>
      </c>
      <c r="C2334" s="51"/>
      <c r="D2334" s="346">
        <v>610000004835</v>
      </c>
      <c r="E2334" s="346">
        <f>VLOOKUP(D2334,'[1]Task list &amp; Maintenace plan'!$B:$G,6,FALSE)</f>
        <v>101269</v>
      </c>
      <c r="F2334" s="346" t="s">
        <v>3306</v>
      </c>
      <c r="G2334" s="348" t="s">
        <v>333</v>
      </c>
      <c r="H2334" s="348" t="s">
        <v>3308</v>
      </c>
      <c r="I2334" s="347">
        <v>15</v>
      </c>
      <c r="J2334" s="347"/>
      <c r="K2334" s="347">
        <v>10</v>
      </c>
      <c r="L2334" s="347">
        <v>1</v>
      </c>
      <c r="M2334" s="347">
        <f t="shared" si="4"/>
        <v>10</v>
      </c>
      <c r="N2334" s="736"/>
      <c r="R2334" s="413" t="s">
        <v>3159</v>
      </c>
      <c r="S2334" s="347"/>
    </row>
    <row r="2335" spans="1:19" x14ac:dyDescent="0.25">
      <c r="A2335" t="s">
        <v>3317</v>
      </c>
      <c r="B2335" s="50" t="s">
        <v>325</v>
      </c>
      <c r="C2335" s="51"/>
      <c r="D2335" s="349">
        <v>610000004835</v>
      </c>
      <c r="E2335" s="349">
        <f>VLOOKUP(D2335,'[1]Task list &amp; Maintenace plan'!$B:$G,6,FALSE)</f>
        <v>101269</v>
      </c>
      <c r="F2335" s="349" t="s">
        <v>3306</v>
      </c>
      <c r="G2335" s="351" t="s">
        <v>3309</v>
      </c>
      <c r="H2335" s="351" t="s">
        <v>3310</v>
      </c>
      <c r="I2335" s="350">
        <v>15</v>
      </c>
      <c r="J2335" s="350"/>
      <c r="K2335" s="350">
        <v>10</v>
      </c>
      <c r="L2335" s="350">
        <v>1</v>
      </c>
      <c r="M2335" s="350">
        <f t="shared" si="4"/>
        <v>10</v>
      </c>
      <c r="N2335" s="737"/>
      <c r="R2335" s="414" t="s">
        <v>3159</v>
      </c>
      <c r="S2335" s="350"/>
    </row>
    <row r="2336" spans="1:19" x14ac:dyDescent="0.25">
      <c r="A2336" t="s">
        <v>3317</v>
      </c>
      <c r="B2336" s="50" t="s">
        <v>325</v>
      </c>
      <c r="C2336" s="51"/>
      <c r="D2336" s="343">
        <v>610000004836</v>
      </c>
      <c r="E2336" s="343">
        <f>VLOOKUP(D2336,'[1]Task list &amp; Maintenace plan'!$B:$G,6,FALSE)</f>
        <v>101270</v>
      </c>
      <c r="F2336" s="343" t="s">
        <v>3311</v>
      </c>
      <c r="G2336" s="345" t="s">
        <v>326</v>
      </c>
      <c r="H2336" s="345" t="s">
        <v>3312</v>
      </c>
      <c r="I2336" s="344">
        <v>180</v>
      </c>
      <c r="J2336" s="344">
        <v>1</v>
      </c>
      <c r="K2336" s="344">
        <v>90</v>
      </c>
      <c r="L2336" s="344">
        <v>2</v>
      </c>
      <c r="M2336" s="344">
        <f t="shared" si="4"/>
        <v>180</v>
      </c>
      <c r="N2336" s="733" t="s">
        <v>3174</v>
      </c>
      <c r="R2336" s="418" t="s">
        <v>3251</v>
      </c>
      <c r="S2336" s="344"/>
    </row>
    <row r="2337" spans="1:19" x14ac:dyDescent="0.25">
      <c r="A2337" t="s">
        <v>3317</v>
      </c>
      <c r="B2337" s="50" t="s">
        <v>325</v>
      </c>
      <c r="C2337" s="51"/>
      <c r="D2337" s="346">
        <v>610000004836</v>
      </c>
      <c r="E2337" s="346">
        <f>VLOOKUP(D2337,'[1]Task list &amp; Maintenace plan'!$B:$G,6,FALSE)</f>
        <v>101270</v>
      </c>
      <c r="F2337" s="346" t="s">
        <v>3311</v>
      </c>
      <c r="G2337" s="348" t="s">
        <v>333</v>
      </c>
      <c r="H2337" s="348" t="s">
        <v>3313</v>
      </c>
      <c r="I2337" s="347">
        <v>180</v>
      </c>
      <c r="J2337" s="347">
        <v>1</v>
      </c>
      <c r="K2337" s="347">
        <v>90</v>
      </c>
      <c r="L2337" s="347">
        <v>2</v>
      </c>
      <c r="M2337" s="347">
        <f t="shared" si="4"/>
        <v>180</v>
      </c>
      <c r="N2337" s="736"/>
      <c r="R2337" s="413" t="s">
        <v>3251</v>
      </c>
      <c r="S2337" s="347"/>
    </row>
    <row r="2338" spans="1:19" x14ac:dyDescent="0.25">
      <c r="A2338" t="s">
        <v>3317</v>
      </c>
      <c r="B2338" s="50" t="s">
        <v>325</v>
      </c>
      <c r="C2338" s="382"/>
      <c r="D2338" s="349">
        <v>610000004836</v>
      </c>
      <c r="E2338" s="349">
        <f>VLOOKUP(D2338,'[1]Task list &amp; Maintenace plan'!$B:$G,6,FALSE)</f>
        <v>101270</v>
      </c>
      <c r="F2338" s="349" t="s">
        <v>3311</v>
      </c>
      <c r="G2338" s="351" t="s">
        <v>3309</v>
      </c>
      <c r="H2338" s="351" t="s">
        <v>3314</v>
      </c>
      <c r="I2338" s="350">
        <v>180</v>
      </c>
      <c r="J2338" s="350">
        <v>1</v>
      </c>
      <c r="K2338" s="350">
        <v>90</v>
      </c>
      <c r="L2338" s="350">
        <v>2</v>
      </c>
      <c r="M2338" s="350">
        <f t="shared" si="4"/>
        <v>180</v>
      </c>
      <c r="N2338" s="737"/>
      <c r="R2338" s="414" t="s">
        <v>3251</v>
      </c>
      <c r="S2338" s="350"/>
    </row>
    <row r="2339" spans="1:19" x14ac:dyDescent="0.25">
      <c r="A2339" t="s">
        <v>3317</v>
      </c>
      <c r="B2339" s="455" t="s">
        <v>174</v>
      </c>
      <c r="C2339" s="456"/>
      <c r="D2339" s="457"/>
      <c r="E2339" s="458"/>
      <c r="F2339" s="459" t="s">
        <v>3315</v>
      </c>
      <c r="G2339" s="460" t="s">
        <v>175</v>
      </c>
      <c r="H2339" s="460" t="s">
        <v>3316</v>
      </c>
      <c r="I2339" s="459">
        <v>15</v>
      </c>
      <c r="J2339" s="461"/>
      <c r="K2339" s="462">
        <v>5</v>
      </c>
      <c r="L2339" s="459">
        <v>1</v>
      </c>
      <c r="M2339" s="459">
        <f t="shared" si="4"/>
        <v>5</v>
      </c>
      <c r="N2339" s="463" t="s">
        <v>20</v>
      </c>
      <c r="R2339" s="459"/>
      <c r="S2339" s="459">
        <v>1</v>
      </c>
    </row>
    <row r="2340" spans="1:19" x14ac:dyDescent="0.25">
      <c r="A2340" t="s">
        <v>3317</v>
      </c>
      <c r="B2340" s="464" t="s">
        <v>341</v>
      </c>
      <c r="C2340" s="465"/>
      <c r="D2340" s="417">
        <v>610000004651</v>
      </c>
      <c r="E2340" s="417">
        <f>VLOOKUP(D2340,'[1]Task list &amp; Maintenace plan'!$B:$G,6,FALSE)</f>
        <v>101085</v>
      </c>
      <c r="F2340" s="421" t="s">
        <v>3318</v>
      </c>
      <c r="G2340" s="420" t="s">
        <v>354</v>
      </c>
      <c r="H2340" s="420" t="s">
        <v>3319</v>
      </c>
      <c r="I2340" s="421">
        <v>15</v>
      </c>
      <c r="J2340" s="421"/>
      <c r="K2340" s="421">
        <v>15</v>
      </c>
      <c r="L2340" s="421">
        <v>1</v>
      </c>
      <c r="M2340" s="421">
        <f>K2340*L2340</f>
        <v>15</v>
      </c>
      <c r="N2340" s="733" t="s">
        <v>20</v>
      </c>
      <c r="R2340" s="421"/>
      <c r="S2340" s="421"/>
    </row>
    <row r="2341" spans="1:19" x14ac:dyDescent="0.25">
      <c r="A2341" t="s">
        <v>3317</v>
      </c>
      <c r="B2341" s="464" t="s">
        <v>341</v>
      </c>
      <c r="C2341" s="51"/>
      <c r="D2341" s="349">
        <v>610000004651</v>
      </c>
      <c r="E2341" s="349">
        <f>VLOOKUP(D2341,'[1]Task list &amp; Maintenace plan'!$B:$G,6,FALSE)</f>
        <v>101085</v>
      </c>
      <c r="F2341" s="350" t="s">
        <v>3318</v>
      </c>
      <c r="G2341" s="351" t="s">
        <v>344</v>
      </c>
      <c r="H2341" s="351" t="s">
        <v>3320</v>
      </c>
      <c r="I2341" s="350">
        <v>15</v>
      </c>
      <c r="J2341" s="350"/>
      <c r="K2341" s="350">
        <v>15</v>
      </c>
      <c r="L2341" s="350">
        <v>1</v>
      </c>
      <c r="M2341" s="350">
        <f t="shared" ref="M2341:M2405" si="5">K2341*L2341</f>
        <v>15</v>
      </c>
      <c r="N2341" s="735"/>
      <c r="R2341" s="350"/>
      <c r="S2341" s="350"/>
    </row>
    <row r="2342" spans="1:19" x14ac:dyDescent="0.25">
      <c r="A2342" t="s">
        <v>3317</v>
      </c>
      <c r="B2342" s="464" t="s">
        <v>341</v>
      </c>
      <c r="C2342" s="51"/>
      <c r="D2342" s="417">
        <v>610000004652</v>
      </c>
      <c r="E2342" s="417">
        <f>VLOOKUP(D2342,'[1]Task list &amp; Maintenace plan'!$B:$G,6,FALSE)</f>
        <v>101086</v>
      </c>
      <c r="F2342" s="421" t="s">
        <v>3321</v>
      </c>
      <c r="G2342" s="420" t="s">
        <v>346</v>
      </c>
      <c r="H2342" s="420" t="s">
        <v>3322</v>
      </c>
      <c r="I2342" s="421">
        <v>15</v>
      </c>
      <c r="J2342" s="421"/>
      <c r="K2342" s="421">
        <v>15</v>
      </c>
      <c r="L2342" s="421">
        <v>1</v>
      </c>
      <c r="M2342" s="421">
        <f t="shared" si="5"/>
        <v>15</v>
      </c>
      <c r="N2342" s="733" t="s">
        <v>3174</v>
      </c>
      <c r="R2342" s="421" t="s">
        <v>3159</v>
      </c>
      <c r="S2342" s="421"/>
    </row>
    <row r="2343" spans="1:19" x14ac:dyDescent="0.25">
      <c r="A2343" t="s">
        <v>3317</v>
      </c>
      <c r="B2343" s="464" t="s">
        <v>341</v>
      </c>
      <c r="C2343" s="51"/>
      <c r="D2343" s="349">
        <v>610000004652</v>
      </c>
      <c r="E2343" s="349">
        <f>VLOOKUP(D2343,'[1]Task list &amp; Maintenace plan'!$B:$G,6,FALSE)</f>
        <v>101086</v>
      </c>
      <c r="F2343" s="350" t="s">
        <v>3321</v>
      </c>
      <c r="G2343" s="351" t="s">
        <v>349</v>
      </c>
      <c r="H2343" s="351" t="s">
        <v>3323</v>
      </c>
      <c r="I2343" s="350">
        <v>15</v>
      </c>
      <c r="J2343" s="350"/>
      <c r="K2343" s="350">
        <v>15</v>
      </c>
      <c r="L2343" s="350">
        <v>1</v>
      </c>
      <c r="M2343" s="350">
        <f t="shared" si="5"/>
        <v>15</v>
      </c>
      <c r="N2343" s="735"/>
      <c r="R2343" s="350" t="s">
        <v>3159</v>
      </c>
      <c r="S2343" s="350"/>
    </row>
    <row r="2344" spans="1:19" x14ac:dyDescent="0.25">
      <c r="A2344" t="s">
        <v>3317</v>
      </c>
      <c r="B2344" s="464" t="s">
        <v>341</v>
      </c>
      <c r="C2344" s="51"/>
      <c r="D2344" s="343">
        <v>610000004653</v>
      </c>
      <c r="E2344" s="343">
        <f>VLOOKUP(D2344,'[1]Task list &amp; Maintenace plan'!$B:$G,6,FALSE)</f>
        <v>101087</v>
      </c>
      <c r="F2344" s="344" t="s">
        <v>3324</v>
      </c>
      <c r="G2344" s="345" t="s">
        <v>342</v>
      </c>
      <c r="H2344" s="345" t="s">
        <v>3325</v>
      </c>
      <c r="I2344" s="344">
        <v>30</v>
      </c>
      <c r="J2344" s="344"/>
      <c r="K2344" s="344">
        <v>15</v>
      </c>
      <c r="L2344" s="344">
        <v>1</v>
      </c>
      <c r="M2344" s="344">
        <f t="shared" si="5"/>
        <v>15</v>
      </c>
      <c r="N2344" s="733" t="s">
        <v>20</v>
      </c>
      <c r="R2344" s="344"/>
      <c r="S2344" s="344"/>
    </row>
    <row r="2345" spans="1:19" x14ac:dyDescent="0.25">
      <c r="A2345" t="s">
        <v>3317</v>
      </c>
      <c r="B2345" s="464" t="s">
        <v>341</v>
      </c>
      <c r="C2345" s="51"/>
      <c r="D2345" s="346">
        <v>610000004653</v>
      </c>
      <c r="E2345" s="346">
        <f>VLOOKUP(D2345,'[1]Task list &amp; Maintenace plan'!$B:$G,6,FALSE)</f>
        <v>101087</v>
      </c>
      <c r="F2345" s="347" t="s">
        <v>3324</v>
      </c>
      <c r="G2345" s="348" t="s">
        <v>342</v>
      </c>
      <c r="H2345" s="348" t="s">
        <v>3326</v>
      </c>
      <c r="I2345" s="347">
        <v>30</v>
      </c>
      <c r="J2345" s="347"/>
      <c r="K2345" s="347">
        <v>15</v>
      </c>
      <c r="L2345" s="347">
        <v>1</v>
      </c>
      <c r="M2345" s="347">
        <f t="shared" si="5"/>
        <v>15</v>
      </c>
      <c r="N2345" s="734"/>
      <c r="R2345" s="347"/>
      <c r="S2345" s="347"/>
    </row>
    <row r="2346" spans="1:19" x14ac:dyDescent="0.25">
      <c r="A2346" t="s">
        <v>3317</v>
      </c>
      <c r="B2346" s="464" t="s">
        <v>341</v>
      </c>
      <c r="C2346" s="51"/>
      <c r="D2346" s="346">
        <v>610000004653</v>
      </c>
      <c r="E2346" s="346">
        <f>VLOOKUP(D2346,'[1]Task list &amp; Maintenace plan'!$B:$G,6,FALSE)</f>
        <v>101087</v>
      </c>
      <c r="F2346" s="347" t="s">
        <v>3324</v>
      </c>
      <c r="G2346" s="348" t="s">
        <v>342</v>
      </c>
      <c r="H2346" s="348" t="s">
        <v>3327</v>
      </c>
      <c r="I2346" s="347">
        <v>30</v>
      </c>
      <c r="J2346" s="347"/>
      <c r="K2346" s="347">
        <v>15</v>
      </c>
      <c r="L2346" s="347">
        <v>1</v>
      </c>
      <c r="M2346" s="347">
        <f t="shared" si="5"/>
        <v>15</v>
      </c>
      <c r="N2346" s="734"/>
      <c r="R2346" s="347"/>
      <c r="S2346" s="347"/>
    </row>
    <row r="2347" spans="1:19" x14ac:dyDescent="0.25">
      <c r="A2347" t="s">
        <v>3317</v>
      </c>
      <c r="B2347" s="464" t="s">
        <v>341</v>
      </c>
      <c r="C2347" s="51"/>
      <c r="D2347" s="346">
        <v>610000004653</v>
      </c>
      <c r="E2347" s="346">
        <f>VLOOKUP(D2347,'[1]Task list &amp; Maintenace plan'!$B:$G,6,FALSE)</f>
        <v>101087</v>
      </c>
      <c r="F2347" s="347" t="s">
        <v>3324</v>
      </c>
      <c r="G2347" s="348" t="s">
        <v>342</v>
      </c>
      <c r="H2347" s="348" t="s">
        <v>3328</v>
      </c>
      <c r="I2347" s="347">
        <v>30</v>
      </c>
      <c r="J2347" s="347"/>
      <c r="K2347" s="347">
        <v>15</v>
      </c>
      <c r="L2347" s="347">
        <v>1</v>
      </c>
      <c r="M2347" s="347">
        <f t="shared" si="5"/>
        <v>15</v>
      </c>
      <c r="N2347" s="734"/>
      <c r="R2347" s="347"/>
      <c r="S2347" s="347"/>
    </row>
    <row r="2348" spans="1:19" x14ac:dyDescent="0.25">
      <c r="A2348" t="s">
        <v>3317</v>
      </c>
      <c r="B2348" s="464" t="s">
        <v>341</v>
      </c>
      <c r="C2348" s="51"/>
      <c r="D2348" s="349">
        <v>610000004653</v>
      </c>
      <c r="E2348" s="349">
        <f>VLOOKUP(D2348,'[1]Task list &amp; Maintenace plan'!$B:$G,6,FALSE)</f>
        <v>101087</v>
      </c>
      <c r="F2348" s="350" t="s">
        <v>3324</v>
      </c>
      <c r="G2348" s="351" t="s">
        <v>342</v>
      </c>
      <c r="H2348" s="351" t="s">
        <v>3329</v>
      </c>
      <c r="I2348" s="350">
        <v>30</v>
      </c>
      <c r="J2348" s="350"/>
      <c r="K2348" s="350">
        <v>15</v>
      </c>
      <c r="L2348" s="350">
        <v>1</v>
      </c>
      <c r="M2348" s="350">
        <f t="shared" si="5"/>
        <v>15</v>
      </c>
      <c r="N2348" s="735"/>
      <c r="R2348" s="350" t="s">
        <v>3330</v>
      </c>
      <c r="S2348" s="350"/>
    </row>
    <row r="2349" spans="1:19" x14ac:dyDescent="0.25">
      <c r="A2349" t="s">
        <v>3317</v>
      </c>
      <c r="B2349" s="464" t="s">
        <v>341</v>
      </c>
      <c r="C2349" s="51"/>
      <c r="D2349" s="352">
        <v>356727</v>
      </c>
      <c r="E2349" s="352">
        <f>VLOOKUP(D2349,'[1]Task list &amp; Maintenace plan'!$B:$G,6,FALSE)</f>
        <v>1990</v>
      </c>
      <c r="F2349" s="353" t="s">
        <v>3331</v>
      </c>
      <c r="G2349" s="61" t="s">
        <v>352</v>
      </c>
      <c r="H2349" s="61" t="s">
        <v>3332</v>
      </c>
      <c r="I2349" s="353">
        <v>120</v>
      </c>
      <c r="J2349" s="353">
        <v>1</v>
      </c>
      <c r="K2349" s="353">
        <v>120</v>
      </c>
      <c r="L2349" s="353">
        <v>2</v>
      </c>
      <c r="M2349" s="353">
        <f t="shared" si="5"/>
        <v>240</v>
      </c>
      <c r="N2349" s="412" t="s">
        <v>468</v>
      </c>
      <c r="R2349" s="353"/>
      <c r="S2349" s="353"/>
    </row>
    <row r="2350" spans="1:19" x14ac:dyDescent="0.25">
      <c r="A2350" t="s">
        <v>3317</v>
      </c>
      <c r="B2350" s="464" t="s">
        <v>341</v>
      </c>
      <c r="C2350" s="51"/>
      <c r="D2350" s="343">
        <v>610000004654</v>
      </c>
      <c r="E2350" s="343">
        <f>VLOOKUP(D2350,'[1]Task list &amp; Maintenace plan'!$B:$G,6,FALSE)</f>
        <v>101088</v>
      </c>
      <c r="F2350" s="344" t="s">
        <v>3333</v>
      </c>
      <c r="G2350" s="345" t="s">
        <v>346</v>
      </c>
      <c r="H2350" s="345" t="s">
        <v>3334</v>
      </c>
      <c r="I2350" s="344">
        <v>180</v>
      </c>
      <c r="J2350" s="344">
        <v>1</v>
      </c>
      <c r="K2350" s="344">
        <v>120</v>
      </c>
      <c r="L2350" s="344">
        <v>2</v>
      </c>
      <c r="M2350" s="344">
        <f t="shared" si="5"/>
        <v>240</v>
      </c>
      <c r="N2350" s="733" t="s">
        <v>3174</v>
      </c>
      <c r="R2350" s="344" t="s">
        <v>3254</v>
      </c>
      <c r="S2350" s="344"/>
    </row>
    <row r="2351" spans="1:19" x14ac:dyDescent="0.25">
      <c r="A2351" t="s">
        <v>3317</v>
      </c>
      <c r="B2351" s="464" t="s">
        <v>341</v>
      </c>
      <c r="C2351" s="51"/>
      <c r="D2351" s="346">
        <v>610000004654</v>
      </c>
      <c r="E2351" s="346">
        <f>VLOOKUP(D2351,'[1]Task list &amp; Maintenace plan'!$B:$G,6,FALSE)</f>
        <v>101088</v>
      </c>
      <c r="F2351" s="347" t="s">
        <v>3333</v>
      </c>
      <c r="G2351" s="348" t="s">
        <v>349</v>
      </c>
      <c r="H2351" s="348" t="s">
        <v>3335</v>
      </c>
      <c r="I2351" s="347">
        <v>180</v>
      </c>
      <c r="J2351" s="347">
        <v>1</v>
      </c>
      <c r="K2351" s="347">
        <v>120</v>
      </c>
      <c r="L2351" s="347">
        <v>2</v>
      </c>
      <c r="M2351" s="347">
        <f t="shared" si="5"/>
        <v>240</v>
      </c>
      <c r="N2351" s="736"/>
      <c r="R2351" s="347" t="s">
        <v>3254</v>
      </c>
      <c r="S2351" s="347"/>
    </row>
    <row r="2352" spans="1:19" x14ac:dyDescent="0.25">
      <c r="A2352" t="s">
        <v>3317</v>
      </c>
      <c r="B2352" s="464" t="s">
        <v>341</v>
      </c>
      <c r="C2352" s="51"/>
      <c r="D2352" s="346">
        <v>610000004654</v>
      </c>
      <c r="E2352" s="346">
        <f>VLOOKUP(D2352,'[1]Task list &amp; Maintenace plan'!$B:$G,6,FALSE)</f>
        <v>101088</v>
      </c>
      <c r="F2352" s="347" t="s">
        <v>3333</v>
      </c>
      <c r="G2352" s="348" t="s">
        <v>352</v>
      </c>
      <c r="H2352" s="348" t="s">
        <v>3336</v>
      </c>
      <c r="I2352" s="347">
        <v>180</v>
      </c>
      <c r="J2352" s="347">
        <v>1</v>
      </c>
      <c r="K2352" s="347">
        <v>120</v>
      </c>
      <c r="L2352" s="347">
        <v>2</v>
      </c>
      <c r="M2352" s="347">
        <f t="shared" si="5"/>
        <v>240</v>
      </c>
      <c r="N2352" s="736"/>
      <c r="R2352" s="347" t="s">
        <v>3254</v>
      </c>
      <c r="S2352" s="347"/>
    </row>
    <row r="2353" spans="1:19" x14ac:dyDescent="0.25">
      <c r="A2353" t="s">
        <v>3317</v>
      </c>
      <c r="B2353" s="464" t="s">
        <v>341</v>
      </c>
      <c r="C2353" s="51"/>
      <c r="D2353" s="346">
        <v>610000004654</v>
      </c>
      <c r="E2353" s="346">
        <f>VLOOKUP(D2353,'[1]Task list &amp; Maintenace plan'!$B:$G,6,FALSE)</f>
        <v>101088</v>
      </c>
      <c r="F2353" s="347" t="s">
        <v>3333</v>
      </c>
      <c r="G2353" s="348" t="s">
        <v>354</v>
      </c>
      <c r="H2353" s="348" t="s">
        <v>3337</v>
      </c>
      <c r="I2353" s="347">
        <v>180</v>
      </c>
      <c r="J2353" s="347">
        <v>1</v>
      </c>
      <c r="K2353" s="347">
        <v>120</v>
      </c>
      <c r="L2353" s="347">
        <v>2</v>
      </c>
      <c r="M2353" s="347">
        <f t="shared" si="5"/>
        <v>240</v>
      </c>
      <c r="N2353" s="736"/>
      <c r="R2353" s="347" t="s">
        <v>3254</v>
      </c>
      <c r="S2353" s="347"/>
    </row>
    <row r="2354" spans="1:19" x14ac:dyDescent="0.25">
      <c r="A2354" t="s">
        <v>3317</v>
      </c>
      <c r="B2354" s="464" t="s">
        <v>341</v>
      </c>
      <c r="C2354" s="51"/>
      <c r="D2354" s="349">
        <v>610000004654</v>
      </c>
      <c r="E2354" s="349">
        <f>VLOOKUP(D2354,'[1]Task list &amp; Maintenace plan'!$B:$G,6,FALSE)</f>
        <v>101088</v>
      </c>
      <c r="F2354" s="350" t="s">
        <v>3333</v>
      </c>
      <c r="G2354" s="351" t="s">
        <v>344</v>
      </c>
      <c r="H2354" s="351" t="s">
        <v>3338</v>
      </c>
      <c r="I2354" s="350">
        <v>180</v>
      </c>
      <c r="J2354" s="350">
        <v>1</v>
      </c>
      <c r="K2354" s="350">
        <v>120</v>
      </c>
      <c r="L2354" s="350">
        <v>2</v>
      </c>
      <c r="M2354" s="350">
        <f t="shared" si="5"/>
        <v>240</v>
      </c>
      <c r="N2354" s="737"/>
      <c r="R2354" s="350" t="s">
        <v>3254</v>
      </c>
      <c r="S2354" s="350"/>
    </row>
    <row r="2355" spans="1:19" x14ac:dyDescent="0.25">
      <c r="A2355" t="s">
        <v>3317</v>
      </c>
      <c r="B2355" s="464" t="s">
        <v>341</v>
      </c>
      <c r="C2355" s="51"/>
      <c r="D2355" s="352">
        <v>610000004655</v>
      </c>
      <c r="E2355" s="352">
        <f>VLOOKUP(D2355,'[1]Task list &amp; Maintenace plan'!$B:$G,6,FALSE)</f>
        <v>101089</v>
      </c>
      <c r="F2355" s="353" t="s">
        <v>3339</v>
      </c>
      <c r="G2355" s="61" t="s">
        <v>354</v>
      </c>
      <c r="H2355" s="61" t="s">
        <v>3340</v>
      </c>
      <c r="I2355" s="353">
        <v>180</v>
      </c>
      <c r="J2355" s="353">
        <v>1</v>
      </c>
      <c r="K2355" s="353">
        <v>90</v>
      </c>
      <c r="L2355" s="353">
        <v>1</v>
      </c>
      <c r="M2355" s="353">
        <f t="shared" si="5"/>
        <v>90</v>
      </c>
      <c r="N2355" s="412" t="s">
        <v>468</v>
      </c>
      <c r="R2355" s="353" t="s">
        <v>3341</v>
      </c>
      <c r="S2355" s="353" t="s">
        <v>3342</v>
      </c>
    </row>
    <row r="2356" spans="1:19" ht="15.75" thickBot="1" x14ac:dyDescent="0.3">
      <c r="A2356" t="s">
        <v>3317</v>
      </c>
      <c r="B2356" s="464" t="s">
        <v>341</v>
      </c>
      <c r="C2356" s="214"/>
      <c r="D2356" s="363">
        <v>351977</v>
      </c>
      <c r="E2356" s="363">
        <f>VLOOKUP(D2356,'[1]Task list &amp; Maintenace plan'!$B:$G,6,FALSE)</f>
        <v>1434</v>
      </c>
      <c r="F2356" s="364" t="s">
        <v>3343</v>
      </c>
      <c r="G2356" s="365" t="s">
        <v>354</v>
      </c>
      <c r="H2356" s="365" t="s">
        <v>3344</v>
      </c>
      <c r="I2356" s="364">
        <v>365</v>
      </c>
      <c r="J2356" s="364">
        <v>1</v>
      </c>
      <c r="K2356" s="364">
        <v>60</v>
      </c>
      <c r="L2356" s="364">
        <v>1</v>
      </c>
      <c r="M2356" s="364">
        <f t="shared" si="5"/>
        <v>60</v>
      </c>
      <c r="N2356" s="437" t="s">
        <v>3345</v>
      </c>
      <c r="R2356" s="364"/>
      <c r="S2356" s="364"/>
    </row>
    <row r="2357" spans="1:19" x14ac:dyDescent="0.25">
      <c r="A2357" t="s">
        <v>3317</v>
      </c>
      <c r="B2357" s="50" t="s">
        <v>372</v>
      </c>
      <c r="C2357" s="51"/>
      <c r="D2357" s="343">
        <v>610000004657</v>
      </c>
      <c r="E2357" s="343">
        <f>VLOOKUP(D2357,'[1]Task list &amp; Maintenace plan'!$B:$G,6,FALSE)</f>
        <v>101091</v>
      </c>
      <c r="F2357" s="344" t="s">
        <v>3346</v>
      </c>
      <c r="G2357" s="345" t="s">
        <v>275</v>
      </c>
      <c r="H2357" s="345" t="s">
        <v>3347</v>
      </c>
      <c r="I2357" s="344">
        <v>15</v>
      </c>
      <c r="J2357" s="344"/>
      <c r="K2357" s="344">
        <v>10</v>
      </c>
      <c r="L2357" s="344">
        <v>1</v>
      </c>
      <c r="M2357" s="344">
        <f t="shared" si="5"/>
        <v>10</v>
      </c>
      <c r="N2357" s="739" t="s">
        <v>3174</v>
      </c>
      <c r="R2357" s="344" t="s">
        <v>3281</v>
      </c>
      <c r="S2357" s="344"/>
    </row>
    <row r="2358" spans="1:19" x14ac:dyDescent="0.25">
      <c r="A2358" t="s">
        <v>3317</v>
      </c>
      <c r="B2358" s="50" t="s">
        <v>372</v>
      </c>
      <c r="C2358" s="51"/>
      <c r="D2358" s="346">
        <v>610000004657</v>
      </c>
      <c r="E2358" s="346">
        <f>VLOOKUP(D2358,'[1]Task list &amp; Maintenace plan'!$B:$G,6,FALSE)</f>
        <v>101091</v>
      </c>
      <c r="F2358" s="347" t="s">
        <v>3346</v>
      </c>
      <c r="G2358" s="348" t="s">
        <v>271</v>
      </c>
      <c r="H2358" s="348" t="s">
        <v>3348</v>
      </c>
      <c r="I2358" s="347">
        <v>15</v>
      </c>
      <c r="J2358" s="347"/>
      <c r="K2358" s="347">
        <v>10</v>
      </c>
      <c r="L2358" s="347">
        <v>1</v>
      </c>
      <c r="M2358" s="347">
        <f t="shared" si="5"/>
        <v>10</v>
      </c>
      <c r="N2358" s="736"/>
      <c r="R2358" s="347" t="s">
        <v>3281</v>
      </c>
      <c r="S2358" s="347"/>
    </row>
    <row r="2359" spans="1:19" x14ac:dyDescent="0.25">
      <c r="A2359" t="s">
        <v>3317</v>
      </c>
      <c r="B2359" s="50" t="s">
        <v>372</v>
      </c>
      <c r="C2359" s="51"/>
      <c r="D2359" s="349">
        <v>610000004657</v>
      </c>
      <c r="E2359" s="349">
        <f>VLOOKUP(D2359,'[1]Task list &amp; Maintenace plan'!$B:$G,6,FALSE)</f>
        <v>101091</v>
      </c>
      <c r="F2359" s="350" t="s">
        <v>3346</v>
      </c>
      <c r="G2359" s="351" t="s">
        <v>279</v>
      </c>
      <c r="H2359" s="351" t="s">
        <v>3349</v>
      </c>
      <c r="I2359" s="350">
        <v>15</v>
      </c>
      <c r="J2359" s="350"/>
      <c r="K2359" s="350">
        <v>10</v>
      </c>
      <c r="L2359" s="350">
        <v>1</v>
      </c>
      <c r="M2359" s="350">
        <f t="shared" si="5"/>
        <v>10</v>
      </c>
      <c r="N2359" s="737"/>
      <c r="R2359" s="350" t="s">
        <v>3281</v>
      </c>
      <c r="S2359" s="350"/>
    </row>
    <row r="2360" spans="1:19" x14ac:dyDescent="0.25">
      <c r="A2360" t="s">
        <v>3317</v>
      </c>
      <c r="B2360" s="50" t="s">
        <v>372</v>
      </c>
      <c r="C2360" s="51"/>
      <c r="D2360" s="343">
        <v>610000004658</v>
      </c>
      <c r="E2360" s="343">
        <f>VLOOKUP(D2360,'[1]Task list &amp; Maintenace plan'!$B:$G,6,FALSE)</f>
        <v>101092</v>
      </c>
      <c r="F2360" s="344" t="s">
        <v>3350</v>
      </c>
      <c r="G2360" s="345" t="s">
        <v>275</v>
      </c>
      <c r="H2360" s="345" t="s">
        <v>3351</v>
      </c>
      <c r="I2360" s="344">
        <v>30</v>
      </c>
      <c r="J2360" s="344">
        <v>1</v>
      </c>
      <c r="K2360" s="344">
        <v>15</v>
      </c>
      <c r="L2360" s="344">
        <v>1</v>
      </c>
      <c r="M2360" s="344">
        <f t="shared" si="5"/>
        <v>15</v>
      </c>
      <c r="N2360" s="733" t="s">
        <v>20</v>
      </c>
      <c r="R2360" s="344"/>
      <c r="S2360" s="344"/>
    </row>
    <row r="2361" spans="1:19" x14ac:dyDescent="0.25">
      <c r="A2361" t="s">
        <v>3317</v>
      </c>
      <c r="B2361" s="50" t="s">
        <v>372</v>
      </c>
      <c r="C2361" s="51"/>
      <c r="D2361" s="349">
        <v>610000004658</v>
      </c>
      <c r="E2361" s="349">
        <f>VLOOKUP(D2361,'[1]Task list &amp; Maintenace plan'!$B:$G,6,FALSE)</f>
        <v>101092</v>
      </c>
      <c r="F2361" s="350" t="s">
        <v>3350</v>
      </c>
      <c r="G2361" s="351" t="s">
        <v>279</v>
      </c>
      <c r="H2361" s="351" t="s">
        <v>3352</v>
      </c>
      <c r="I2361" s="350">
        <v>30</v>
      </c>
      <c r="J2361" s="350">
        <v>1</v>
      </c>
      <c r="K2361" s="350">
        <v>15</v>
      </c>
      <c r="L2361" s="350">
        <v>1</v>
      </c>
      <c r="M2361" s="350">
        <f t="shared" si="5"/>
        <v>15</v>
      </c>
      <c r="N2361" s="737"/>
      <c r="R2361" s="350"/>
      <c r="S2361" s="350"/>
    </row>
    <row r="2362" spans="1:19" ht="15.75" thickBot="1" x14ac:dyDescent="0.3">
      <c r="A2362" t="s">
        <v>3317</v>
      </c>
      <c r="B2362" s="50" t="s">
        <v>372</v>
      </c>
      <c r="C2362" s="214"/>
      <c r="D2362" s="466">
        <v>610000004659</v>
      </c>
      <c r="E2362" s="466">
        <f>VLOOKUP(D2362,'[1]Task list &amp; Maintenace plan'!$B:$G,6,FALSE)</f>
        <v>101093</v>
      </c>
      <c r="F2362" s="467" t="s">
        <v>3353</v>
      </c>
      <c r="G2362" s="468" t="s">
        <v>271</v>
      </c>
      <c r="H2362" s="468" t="s">
        <v>3354</v>
      </c>
      <c r="I2362" s="467">
        <v>180</v>
      </c>
      <c r="J2362" s="467">
        <v>1</v>
      </c>
      <c r="K2362" s="467">
        <v>60</v>
      </c>
      <c r="L2362" s="467">
        <v>1</v>
      </c>
      <c r="M2362" s="467">
        <f t="shared" si="5"/>
        <v>60</v>
      </c>
      <c r="N2362" s="469" t="s">
        <v>3174</v>
      </c>
      <c r="R2362" s="467" t="s">
        <v>3254</v>
      </c>
      <c r="S2362" s="467"/>
    </row>
    <row r="2363" spans="1:19" x14ac:dyDescent="0.25">
      <c r="A2363" t="s">
        <v>3317</v>
      </c>
      <c r="B2363" s="50" t="s">
        <v>385</v>
      </c>
      <c r="C2363" s="51"/>
      <c r="D2363" s="343">
        <v>610000004660</v>
      </c>
      <c r="E2363" s="343">
        <f>VLOOKUP(D2363,'[1]Task list &amp; Maintenace plan'!$B:$G,6,FALSE)</f>
        <v>101094</v>
      </c>
      <c r="F2363" s="344" t="s">
        <v>3355</v>
      </c>
      <c r="G2363" s="345" t="s">
        <v>386</v>
      </c>
      <c r="H2363" s="345" t="s">
        <v>3356</v>
      </c>
      <c r="I2363" s="344">
        <v>7</v>
      </c>
      <c r="J2363" s="344">
        <v>1</v>
      </c>
      <c r="K2363" s="344">
        <v>15</v>
      </c>
      <c r="L2363" s="344">
        <v>1</v>
      </c>
      <c r="M2363" s="344">
        <f t="shared" si="5"/>
        <v>15</v>
      </c>
      <c r="N2363" s="739" t="s">
        <v>3174</v>
      </c>
      <c r="R2363" s="344" t="s">
        <v>3159</v>
      </c>
      <c r="S2363" s="344"/>
    </row>
    <row r="2364" spans="1:19" x14ac:dyDescent="0.25">
      <c r="A2364" t="s">
        <v>3317</v>
      </c>
      <c r="B2364" s="50" t="s">
        <v>385</v>
      </c>
      <c r="C2364" s="51"/>
      <c r="D2364" s="349">
        <v>610000004660</v>
      </c>
      <c r="E2364" s="349">
        <f>VLOOKUP(D2364,'[1]Task list &amp; Maintenace plan'!$B:$G,6,FALSE)</f>
        <v>101094</v>
      </c>
      <c r="F2364" s="350" t="s">
        <v>3355</v>
      </c>
      <c r="G2364" s="351" t="s">
        <v>389</v>
      </c>
      <c r="H2364" s="351" t="s">
        <v>3357</v>
      </c>
      <c r="I2364" s="350">
        <v>7</v>
      </c>
      <c r="J2364" s="350">
        <v>1</v>
      </c>
      <c r="K2364" s="350">
        <v>15</v>
      </c>
      <c r="L2364" s="350">
        <v>1</v>
      </c>
      <c r="M2364" s="350">
        <f t="shared" si="5"/>
        <v>15</v>
      </c>
      <c r="N2364" s="737"/>
      <c r="R2364" s="350" t="s">
        <v>3159</v>
      </c>
      <c r="S2364" s="350"/>
    </row>
    <row r="2365" spans="1:19" x14ac:dyDescent="0.25">
      <c r="A2365" t="s">
        <v>3317</v>
      </c>
      <c r="B2365" s="50" t="s">
        <v>385</v>
      </c>
      <c r="C2365" s="51"/>
      <c r="D2365" s="343">
        <v>610000004661</v>
      </c>
      <c r="E2365" s="343">
        <f>VLOOKUP(D2365,'[1]Task list &amp; Maintenace plan'!$B:$G,6,FALSE)</f>
        <v>101095</v>
      </c>
      <c r="F2365" s="344" t="s">
        <v>3358</v>
      </c>
      <c r="G2365" s="345" t="s">
        <v>393</v>
      </c>
      <c r="H2365" s="345" t="s">
        <v>3359</v>
      </c>
      <c r="I2365" s="344">
        <v>15</v>
      </c>
      <c r="J2365" s="344">
        <v>1</v>
      </c>
      <c r="K2365" s="344">
        <v>30</v>
      </c>
      <c r="L2365" s="344">
        <v>1</v>
      </c>
      <c r="M2365" s="344">
        <f t="shared" si="5"/>
        <v>30</v>
      </c>
      <c r="N2365" s="733" t="s">
        <v>20</v>
      </c>
      <c r="R2365" s="344" t="s">
        <v>3360</v>
      </c>
      <c r="S2365" s="344"/>
    </row>
    <row r="2366" spans="1:19" x14ac:dyDescent="0.25">
      <c r="A2366" t="s">
        <v>3317</v>
      </c>
      <c r="B2366" s="50" t="s">
        <v>385</v>
      </c>
      <c r="C2366" s="51"/>
      <c r="D2366" s="346">
        <v>610000004661</v>
      </c>
      <c r="E2366" s="346">
        <f>VLOOKUP(D2366,'[1]Task list &amp; Maintenace plan'!$B:$G,6,FALSE)</f>
        <v>101095</v>
      </c>
      <c r="F2366" s="347" t="s">
        <v>3358</v>
      </c>
      <c r="G2366" s="348" t="s">
        <v>395</v>
      </c>
      <c r="H2366" s="348" t="s">
        <v>3361</v>
      </c>
      <c r="I2366" s="347">
        <v>15</v>
      </c>
      <c r="J2366" s="347">
        <v>1</v>
      </c>
      <c r="K2366" s="347">
        <v>30</v>
      </c>
      <c r="L2366" s="347">
        <v>1</v>
      </c>
      <c r="M2366" s="347">
        <f t="shared" si="5"/>
        <v>30</v>
      </c>
      <c r="N2366" s="736"/>
      <c r="R2366" s="347" t="s">
        <v>3360</v>
      </c>
      <c r="S2366" s="347"/>
    </row>
    <row r="2367" spans="1:19" x14ac:dyDescent="0.25">
      <c r="A2367" t="s">
        <v>3317</v>
      </c>
      <c r="B2367" s="50" t="s">
        <v>385</v>
      </c>
      <c r="C2367" s="51"/>
      <c r="D2367" s="349">
        <v>610000004661</v>
      </c>
      <c r="E2367" s="349">
        <f>VLOOKUP(D2367,'[1]Task list &amp; Maintenace plan'!$B:$G,6,FALSE)</f>
        <v>101095</v>
      </c>
      <c r="F2367" s="350" t="s">
        <v>3358</v>
      </c>
      <c r="G2367" s="351" t="s">
        <v>386</v>
      </c>
      <c r="H2367" s="351" t="s">
        <v>3362</v>
      </c>
      <c r="I2367" s="350">
        <v>15</v>
      </c>
      <c r="J2367" s="350">
        <v>1</v>
      </c>
      <c r="K2367" s="350">
        <v>30</v>
      </c>
      <c r="L2367" s="350">
        <v>1</v>
      </c>
      <c r="M2367" s="350">
        <f t="shared" si="5"/>
        <v>30</v>
      </c>
      <c r="N2367" s="737"/>
      <c r="R2367" s="350"/>
      <c r="S2367" s="350"/>
    </row>
    <row r="2368" spans="1:19" x14ac:dyDescent="0.25">
      <c r="A2368" t="s">
        <v>3317</v>
      </c>
      <c r="B2368" s="50" t="s">
        <v>385</v>
      </c>
      <c r="C2368" s="51"/>
      <c r="D2368" s="343">
        <v>610000004662</v>
      </c>
      <c r="E2368" s="343">
        <f>VLOOKUP(D2368,'[1]Task list &amp; Maintenace plan'!$B:$G,6,FALSE)</f>
        <v>101096</v>
      </c>
      <c r="F2368" s="344" t="s">
        <v>3363</v>
      </c>
      <c r="G2368" s="345" t="s">
        <v>393</v>
      </c>
      <c r="H2368" s="345" t="s">
        <v>3364</v>
      </c>
      <c r="I2368" s="344">
        <v>15</v>
      </c>
      <c r="J2368" s="344"/>
      <c r="K2368" s="344">
        <v>30</v>
      </c>
      <c r="L2368" s="344">
        <v>1</v>
      </c>
      <c r="M2368" s="344">
        <f t="shared" si="5"/>
        <v>30</v>
      </c>
      <c r="N2368" s="733" t="s">
        <v>3174</v>
      </c>
      <c r="R2368" s="344" t="s">
        <v>3281</v>
      </c>
      <c r="S2368" s="344"/>
    </row>
    <row r="2369" spans="1:19" x14ac:dyDescent="0.25">
      <c r="A2369" t="s">
        <v>3317</v>
      </c>
      <c r="B2369" s="50" t="s">
        <v>385</v>
      </c>
      <c r="C2369" s="51"/>
      <c r="D2369" s="346">
        <v>610000004662</v>
      </c>
      <c r="E2369" s="346">
        <f>VLOOKUP(D2369,'[1]Task list &amp; Maintenace plan'!$B:$G,6,FALSE)</f>
        <v>101096</v>
      </c>
      <c r="F2369" s="347" t="s">
        <v>3363</v>
      </c>
      <c r="G2369" s="348" t="s">
        <v>397</v>
      </c>
      <c r="H2369" s="348" t="s">
        <v>3365</v>
      </c>
      <c r="I2369" s="347">
        <v>15</v>
      </c>
      <c r="J2369" s="347"/>
      <c r="K2369" s="347">
        <v>30</v>
      </c>
      <c r="L2369" s="347">
        <v>1</v>
      </c>
      <c r="M2369" s="347">
        <f t="shared" si="5"/>
        <v>30</v>
      </c>
      <c r="N2369" s="736"/>
      <c r="R2369" s="347" t="s">
        <v>3281</v>
      </c>
      <c r="S2369" s="347"/>
    </row>
    <row r="2370" spans="1:19" x14ac:dyDescent="0.25">
      <c r="A2370" t="s">
        <v>3317</v>
      </c>
      <c r="B2370" s="50" t="s">
        <v>385</v>
      </c>
      <c r="C2370" s="51"/>
      <c r="D2370" s="346">
        <v>610000004662</v>
      </c>
      <c r="E2370" s="346">
        <f>VLOOKUP(D2370,'[1]Task list &amp; Maintenace plan'!$B:$G,6,FALSE)</f>
        <v>101096</v>
      </c>
      <c r="F2370" s="347" t="s">
        <v>3363</v>
      </c>
      <c r="G2370" s="348" t="s">
        <v>395</v>
      </c>
      <c r="H2370" s="348" t="s">
        <v>3366</v>
      </c>
      <c r="I2370" s="347">
        <v>15</v>
      </c>
      <c r="J2370" s="347"/>
      <c r="K2370" s="347">
        <v>30</v>
      </c>
      <c r="L2370" s="347">
        <v>1</v>
      </c>
      <c r="M2370" s="347">
        <f t="shared" si="5"/>
        <v>30</v>
      </c>
      <c r="N2370" s="736"/>
      <c r="R2370" s="347" t="s">
        <v>3159</v>
      </c>
      <c r="S2370" s="347"/>
    </row>
    <row r="2371" spans="1:19" x14ac:dyDescent="0.25">
      <c r="A2371" t="s">
        <v>3317</v>
      </c>
      <c r="B2371" s="50" t="s">
        <v>385</v>
      </c>
      <c r="C2371" s="51"/>
      <c r="D2371" s="349">
        <v>610000004662</v>
      </c>
      <c r="E2371" s="349">
        <f>VLOOKUP(D2371,'[1]Task list &amp; Maintenace plan'!$B:$G,6,FALSE)</f>
        <v>101096</v>
      </c>
      <c r="F2371" s="350" t="s">
        <v>3363</v>
      </c>
      <c r="G2371" s="351" t="s">
        <v>399</v>
      </c>
      <c r="H2371" s="351" t="s">
        <v>3367</v>
      </c>
      <c r="I2371" s="350">
        <v>15</v>
      </c>
      <c r="J2371" s="350"/>
      <c r="K2371" s="350">
        <v>30</v>
      </c>
      <c r="L2371" s="350">
        <v>1</v>
      </c>
      <c r="M2371" s="350">
        <f t="shared" si="5"/>
        <v>30</v>
      </c>
      <c r="N2371" s="737"/>
      <c r="R2371" s="350" t="s">
        <v>3159</v>
      </c>
      <c r="S2371" s="350"/>
    </row>
    <row r="2372" spans="1:19" x14ac:dyDescent="0.25">
      <c r="A2372" t="s">
        <v>3317</v>
      </c>
      <c r="B2372" s="50" t="s">
        <v>385</v>
      </c>
      <c r="C2372" s="51"/>
      <c r="D2372" s="417">
        <v>610000004663</v>
      </c>
      <c r="E2372" s="417">
        <f>VLOOKUP(D2372,'[1]Task list &amp; Maintenace plan'!$B:$G,6,FALSE)</f>
        <v>101097</v>
      </c>
      <c r="F2372" s="421" t="s">
        <v>3368</v>
      </c>
      <c r="G2372" s="420" t="s">
        <v>391</v>
      </c>
      <c r="H2372" s="420" t="s">
        <v>3369</v>
      </c>
      <c r="I2372" s="421">
        <v>30</v>
      </c>
      <c r="J2372" s="421"/>
      <c r="K2372" s="421">
        <v>60</v>
      </c>
      <c r="L2372" s="421">
        <v>1</v>
      </c>
      <c r="M2372" s="421">
        <f t="shared" si="5"/>
        <v>60</v>
      </c>
      <c r="N2372" s="733" t="s">
        <v>3174</v>
      </c>
      <c r="R2372" s="421" t="s">
        <v>3159</v>
      </c>
      <c r="S2372" s="421"/>
    </row>
    <row r="2373" spans="1:19" x14ac:dyDescent="0.25">
      <c r="A2373" t="s">
        <v>3317</v>
      </c>
      <c r="B2373" s="50" t="s">
        <v>385</v>
      </c>
      <c r="C2373" s="51"/>
      <c r="D2373" s="346">
        <v>610000004663</v>
      </c>
      <c r="E2373" s="346">
        <f>VLOOKUP(D2373,'[1]Task list &amp; Maintenace plan'!$B:$G,6,FALSE)</f>
        <v>101097</v>
      </c>
      <c r="F2373" s="347" t="s">
        <v>3368</v>
      </c>
      <c r="G2373" s="348" t="s">
        <v>391</v>
      </c>
      <c r="H2373" s="348" t="s">
        <v>3370</v>
      </c>
      <c r="I2373" s="347">
        <v>30</v>
      </c>
      <c r="J2373" s="347"/>
      <c r="K2373" s="347">
        <v>60</v>
      </c>
      <c r="L2373" s="347">
        <v>1</v>
      </c>
      <c r="M2373" s="347">
        <f t="shared" si="5"/>
        <v>60</v>
      </c>
      <c r="N2373" s="736"/>
      <c r="R2373" s="347" t="s">
        <v>3159</v>
      </c>
      <c r="S2373" s="347"/>
    </row>
    <row r="2374" spans="1:19" x14ac:dyDescent="0.25">
      <c r="A2374" t="s">
        <v>3317</v>
      </c>
      <c r="B2374" s="50" t="s">
        <v>385</v>
      </c>
      <c r="C2374" s="51"/>
      <c r="D2374" s="346">
        <v>610000004663</v>
      </c>
      <c r="E2374" s="346">
        <f>VLOOKUP(D2374,'[1]Task list &amp; Maintenace plan'!$B:$G,6,FALSE)</f>
        <v>101097</v>
      </c>
      <c r="F2374" s="347" t="s">
        <v>3368</v>
      </c>
      <c r="G2374" s="348" t="s">
        <v>399</v>
      </c>
      <c r="H2374" s="348" t="s">
        <v>3371</v>
      </c>
      <c r="I2374" s="347">
        <v>30</v>
      </c>
      <c r="J2374" s="347">
        <v>1</v>
      </c>
      <c r="K2374" s="347">
        <v>60</v>
      </c>
      <c r="L2374" s="347">
        <v>1</v>
      </c>
      <c r="M2374" s="347">
        <f t="shared" si="5"/>
        <v>60</v>
      </c>
      <c r="N2374" s="736"/>
      <c r="R2374" s="347"/>
      <c r="S2374" s="347"/>
    </row>
    <row r="2375" spans="1:19" x14ac:dyDescent="0.25">
      <c r="A2375" t="s">
        <v>3317</v>
      </c>
      <c r="B2375" s="50" t="s">
        <v>385</v>
      </c>
      <c r="C2375" s="51"/>
      <c r="D2375" s="346">
        <v>610000004663</v>
      </c>
      <c r="E2375" s="346">
        <f>VLOOKUP(D2375,'[1]Task list &amp; Maintenace plan'!$B:$G,6,FALSE)</f>
        <v>101097</v>
      </c>
      <c r="F2375" s="347" t="s">
        <v>3368</v>
      </c>
      <c r="G2375" s="348" t="s">
        <v>386</v>
      </c>
      <c r="H2375" s="348" t="s">
        <v>3372</v>
      </c>
      <c r="I2375" s="347">
        <v>30</v>
      </c>
      <c r="J2375" s="347">
        <v>1</v>
      </c>
      <c r="K2375" s="347">
        <v>60</v>
      </c>
      <c r="L2375" s="347">
        <v>1</v>
      </c>
      <c r="M2375" s="347">
        <f t="shared" si="5"/>
        <v>60</v>
      </c>
      <c r="N2375" s="736"/>
      <c r="R2375" s="347"/>
      <c r="S2375" s="347"/>
    </row>
    <row r="2376" spans="1:19" x14ac:dyDescent="0.25">
      <c r="A2376" t="s">
        <v>3317</v>
      </c>
      <c r="B2376" s="50" t="s">
        <v>385</v>
      </c>
      <c r="C2376" s="51"/>
      <c r="D2376" s="346">
        <v>610000004663</v>
      </c>
      <c r="E2376" s="346">
        <f>VLOOKUP(D2376,'[1]Task list &amp; Maintenace plan'!$B:$G,6,FALSE)</f>
        <v>101097</v>
      </c>
      <c r="F2376" s="347" t="s">
        <v>3368</v>
      </c>
      <c r="G2376" s="348" t="s">
        <v>395</v>
      </c>
      <c r="H2376" s="348" t="s">
        <v>3373</v>
      </c>
      <c r="I2376" s="347">
        <v>30</v>
      </c>
      <c r="J2376" s="347">
        <v>1</v>
      </c>
      <c r="K2376" s="347">
        <v>60</v>
      </c>
      <c r="L2376" s="347">
        <v>1</v>
      </c>
      <c r="M2376" s="347">
        <f t="shared" si="5"/>
        <v>60</v>
      </c>
      <c r="N2376" s="736"/>
      <c r="R2376" s="347"/>
      <c r="S2376" s="347"/>
    </row>
    <row r="2377" spans="1:19" x14ac:dyDescent="0.25">
      <c r="A2377" t="s">
        <v>3317</v>
      </c>
      <c r="B2377" s="50" t="s">
        <v>385</v>
      </c>
      <c r="C2377" s="51"/>
      <c r="D2377" s="346">
        <v>610000004663</v>
      </c>
      <c r="E2377" s="346">
        <f>VLOOKUP(D2377,'[1]Task list &amp; Maintenace plan'!$B:$G,6,FALSE)</f>
        <v>101097</v>
      </c>
      <c r="F2377" s="347" t="s">
        <v>3368</v>
      </c>
      <c r="G2377" s="348" t="s">
        <v>389</v>
      </c>
      <c r="H2377" s="348" t="s">
        <v>3374</v>
      </c>
      <c r="I2377" s="347">
        <v>30</v>
      </c>
      <c r="J2377" s="347">
        <v>1</v>
      </c>
      <c r="K2377" s="347">
        <v>60</v>
      </c>
      <c r="L2377" s="347">
        <v>1</v>
      </c>
      <c r="M2377" s="347">
        <f t="shared" si="5"/>
        <v>60</v>
      </c>
      <c r="N2377" s="736"/>
      <c r="R2377" s="347"/>
      <c r="S2377" s="347"/>
    </row>
    <row r="2378" spans="1:19" x14ac:dyDescent="0.25">
      <c r="A2378" t="s">
        <v>3317</v>
      </c>
      <c r="B2378" s="50" t="s">
        <v>385</v>
      </c>
      <c r="C2378" s="51"/>
      <c r="D2378" s="349">
        <v>610000004663</v>
      </c>
      <c r="E2378" s="349">
        <f>VLOOKUP(D2378,'[1]Task list &amp; Maintenace plan'!$B:$G,6,FALSE)</f>
        <v>101097</v>
      </c>
      <c r="F2378" s="350" t="s">
        <v>3368</v>
      </c>
      <c r="G2378" s="351" t="s">
        <v>391</v>
      </c>
      <c r="H2378" s="351" t="s">
        <v>3375</v>
      </c>
      <c r="I2378" s="350">
        <v>30</v>
      </c>
      <c r="J2378" s="350"/>
      <c r="K2378" s="350">
        <v>60</v>
      </c>
      <c r="L2378" s="350">
        <v>1</v>
      </c>
      <c r="M2378" s="350">
        <f t="shared" si="5"/>
        <v>60</v>
      </c>
      <c r="N2378" s="737"/>
      <c r="R2378" s="350" t="s">
        <v>3376</v>
      </c>
      <c r="S2378" s="350"/>
    </row>
    <row r="2379" spans="1:19" x14ac:dyDescent="0.25">
      <c r="A2379" t="s">
        <v>3317</v>
      </c>
      <c r="B2379" s="50" t="s">
        <v>385</v>
      </c>
      <c r="C2379" s="51"/>
      <c r="D2379" s="417">
        <v>610000004664</v>
      </c>
      <c r="E2379" s="417">
        <f>VLOOKUP(D2379,'[1]Task list &amp; Maintenace plan'!$B:$G,6,FALSE)</f>
        <v>101098</v>
      </c>
      <c r="F2379" s="421" t="s">
        <v>3377</v>
      </c>
      <c r="G2379" s="420" t="s">
        <v>386</v>
      </c>
      <c r="H2379" s="420" t="s">
        <v>3378</v>
      </c>
      <c r="I2379" s="421">
        <v>180</v>
      </c>
      <c r="J2379" s="421">
        <v>1</v>
      </c>
      <c r="K2379" s="421">
        <v>300</v>
      </c>
      <c r="L2379" s="421">
        <v>3</v>
      </c>
      <c r="M2379" s="421">
        <f t="shared" si="5"/>
        <v>900</v>
      </c>
      <c r="N2379" s="733" t="s">
        <v>468</v>
      </c>
      <c r="R2379" s="421"/>
      <c r="S2379" s="421"/>
    </row>
    <row r="2380" spans="1:19" x14ac:dyDescent="0.25">
      <c r="A2380" t="s">
        <v>3317</v>
      </c>
      <c r="B2380" s="50" t="s">
        <v>385</v>
      </c>
      <c r="C2380" s="51"/>
      <c r="D2380" s="349">
        <v>610000004664</v>
      </c>
      <c r="E2380" s="349">
        <f>VLOOKUP(D2380,'[1]Task list &amp; Maintenace plan'!$B:$G,6,FALSE)</f>
        <v>101098</v>
      </c>
      <c r="F2380" s="350" t="s">
        <v>3377</v>
      </c>
      <c r="G2380" s="351" t="s">
        <v>389</v>
      </c>
      <c r="H2380" s="351" t="s">
        <v>3379</v>
      </c>
      <c r="I2380" s="350">
        <v>180</v>
      </c>
      <c r="J2380" s="350">
        <v>1</v>
      </c>
      <c r="K2380" s="350">
        <v>300</v>
      </c>
      <c r="L2380" s="350">
        <v>3</v>
      </c>
      <c r="M2380" s="350">
        <f t="shared" si="5"/>
        <v>900</v>
      </c>
      <c r="N2380" s="737"/>
      <c r="R2380" s="350"/>
      <c r="S2380" s="350"/>
    </row>
    <row r="2381" spans="1:19" x14ac:dyDescent="0.25">
      <c r="A2381" t="s">
        <v>3317</v>
      </c>
      <c r="B2381" s="50" t="s">
        <v>385</v>
      </c>
      <c r="C2381" s="51"/>
      <c r="D2381" s="343">
        <v>610000004665</v>
      </c>
      <c r="E2381" s="343">
        <f>VLOOKUP(D2381,'[1]Task list &amp; Maintenace plan'!$B:$G,6,FALSE)</f>
        <v>101099</v>
      </c>
      <c r="F2381" s="344" t="s">
        <v>3380</v>
      </c>
      <c r="G2381" s="345" t="s">
        <v>399</v>
      </c>
      <c r="H2381" s="345" t="s">
        <v>3381</v>
      </c>
      <c r="I2381" s="344">
        <v>180</v>
      </c>
      <c r="J2381" s="344">
        <v>1</v>
      </c>
      <c r="K2381" s="344">
        <v>120</v>
      </c>
      <c r="L2381" s="344">
        <v>2</v>
      </c>
      <c r="M2381" s="344">
        <f t="shared" si="5"/>
        <v>240</v>
      </c>
      <c r="N2381" s="733" t="s">
        <v>3174</v>
      </c>
      <c r="R2381" s="344" t="s">
        <v>3254</v>
      </c>
      <c r="S2381" s="344"/>
    </row>
    <row r="2382" spans="1:19" x14ac:dyDescent="0.25">
      <c r="A2382" t="s">
        <v>3317</v>
      </c>
      <c r="B2382" s="50" t="s">
        <v>385</v>
      </c>
      <c r="C2382" s="51"/>
      <c r="D2382" s="346">
        <v>610000004665</v>
      </c>
      <c r="E2382" s="346">
        <f>VLOOKUP(D2382,'[1]Task list &amp; Maintenace plan'!$B:$G,6,FALSE)</f>
        <v>101099</v>
      </c>
      <c r="F2382" s="347" t="s">
        <v>3380</v>
      </c>
      <c r="G2382" s="348" t="s">
        <v>386</v>
      </c>
      <c r="H2382" s="348" t="s">
        <v>3382</v>
      </c>
      <c r="I2382" s="347">
        <v>180</v>
      </c>
      <c r="J2382" s="347">
        <v>1</v>
      </c>
      <c r="K2382" s="347">
        <v>120</v>
      </c>
      <c r="L2382" s="347">
        <v>2</v>
      </c>
      <c r="M2382" s="347">
        <f t="shared" si="5"/>
        <v>240</v>
      </c>
      <c r="N2382" s="734"/>
      <c r="R2382" s="347" t="s">
        <v>3254</v>
      </c>
      <c r="S2382" s="347"/>
    </row>
    <row r="2383" spans="1:19" x14ac:dyDescent="0.25">
      <c r="A2383" t="s">
        <v>3317</v>
      </c>
      <c r="B2383" s="50" t="s">
        <v>385</v>
      </c>
      <c r="C2383" s="51"/>
      <c r="D2383" s="346">
        <v>610000004665</v>
      </c>
      <c r="E2383" s="346">
        <f>VLOOKUP(D2383,'[1]Task list &amp; Maintenace plan'!$B:$G,6,FALSE)</f>
        <v>101099</v>
      </c>
      <c r="F2383" s="347" t="s">
        <v>3380</v>
      </c>
      <c r="G2383" s="348" t="s">
        <v>395</v>
      </c>
      <c r="H2383" s="348" t="s">
        <v>3383</v>
      </c>
      <c r="I2383" s="347">
        <v>180</v>
      </c>
      <c r="J2383" s="347">
        <v>1</v>
      </c>
      <c r="K2383" s="347">
        <v>120</v>
      </c>
      <c r="L2383" s="347">
        <v>2</v>
      </c>
      <c r="M2383" s="347">
        <f t="shared" si="5"/>
        <v>240</v>
      </c>
      <c r="N2383" s="734"/>
      <c r="R2383" s="347" t="s">
        <v>3254</v>
      </c>
      <c r="S2383" s="347"/>
    </row>
    <row r="2384" spans="1:19" x14ac:dyDescent="0.25">
      <c r="A2384" t="s">
        <v>3317</v>
      </c>
      <c r="B2384" s="50" t="s">
        <v>385</v>
      </c>
      <c r="C2384" s="51"/>
      <c r="D2384" s="349">
        <v>610000004665</v>
      </c>
      <c r="E2384" s="349">
        <f>VLOOKUP(D2384,'[1]Task list &amp; Maintenace plan'!$B:$G,6,FALSE)</f>
        <v>101099</v>
      </c>
      <c r="F2384" s="350" t="s">
        <v>3380</v>
      </c>
      <c r="G2384" s="351" t="s">
        <v>389</v>
      </c>
      <c r="H2384" s="351" t="s">
        <v>3384</v>
      </c>
      <c r="I2384" s="350">
        <v>180</v>
      </c>
      <c r="J2384" s="350">
        <v>1</v>
      </c>
      <c r="K2384" s="350">
        <v>120</v>
      </c>
      <c r="L2384" s="350">
        <v>2</v>
      </c>
      <c r="M2384" s="350">
        <f t="shared" si="5"/>
        <v>240</v>
      </c>
      <c r="N2384" s="735"/>
      <c r="R2384" s="350" t="s">
        <v>3254</v>
      </c>
      <c r="S2384" s="350"/>
    </row>
    <row r="2385" spans="1:19" x14ac:dyDescent="0.25">
      <c r="A2385" t="s">
        <v>3317</v>
      </c>
      <c r="B2385" s="50" t="s">
        <v>385</v>
      </c>
      <c r="C2385" s="51"/>
      <c r="D2385" s="354">
        <v>610000004666</v>
      </c>
      <c r="E2385" s="354">
        <v>101100</v>
      </c>
      <c r="F2385" s="355" t="s">
        <v>3385</v>
      </c>
      <c r="G2385" s="356" t="s">
        <v>393</v>
      </c>
      <c r="H2385" s="356" t="s">
        <v>3386</v>
      </c>
      <c r="I2385" s="355">
        <v>180</v>
      </c>
      <c r="J2385" s="355">
        <v>1</v>
      </c>
      <c r="K2385" s="355">
        <v>300</v>
      </c>
      <c r="L2385" s="355">
        <v>4</v>
      </c>
      <c r="M2385" s="355">
        <v>1200</v>
      </c>
      <c r="N2385" s="733" t="s">
        <v>468</v>
      </c>
      <c r="R2385" s="355"/>
      <c r="S2385" s="355"/>
    </row>
    <row r="2386" spans="1:19" x14ac:dyDescent="0.25">
      <c r="A2386" t="s">
        <v>3317</v>
      </c>
      <c r="B2386" s="50" t="s">
        <v>385</v>
      </c>
      <c r="C2386" s="51"/>
      <c r="D2386" s="423">
        <v>610000004666</v>
      </c>
      <c r="E2386" s="423">
        <v>101100</v>
      </c>
      <c r="F2386" s="434" t="s">
        <v>3385</v>
      </c>
      <c r="G2386" s="433" t="s">
        <v>397</v>
      </c>
      <c r="H2386" s="433" t="s">
        <v>3387</v>
      </c>
      <c r="I2386" s="434">
        <v>180</v>
      </c>
      <c r="J2386" s="434">
        <v>1</v>
      </c>
      <c r="K2386" s="434">
        <v>300</v>
      </c>
      <c r="L2386" s="434">
        <v>4</v>
      </c>
      <c r="M2386" s="434">
        <v>1200</v>
      </c>
      <c r="N2386" s="735"/>
      <c r="R2386" s="434"/>
      <c r="S2386" s="434"/>
    </row>
    <row r="2387" spans="1:19" ht="15.75" thickBot="1" x14ac:dyDescent="0.3">
      <c r="A2387" t="s">
        <v>3317</v>
      </c>
      <c r="B2387" s="50" t="s">
        <v>385</v>
      </c>
      <c r="C2387" s="214"/>
      <c r="D2387" s="363">
        <v>358950</v>
      </c>
      <c r="E2387" s="363">
        <v>2853</v>
      </c>
      <c r="F2387" s="364" t="s">
        <v>3388</v>
      </c>
      <c r="G2387" s="365" t="s">
        <v>389</v>
      </c>
      <c r="H2387" s="365" t="s">
        <v>3389</v>
      </c>
      <c r="I2387" s="364">
        <v>365</v>
      </c>
      <c r="J2387" s="364">
        <v>1</v>
      </c>
      <c r="K2387" s="364">
        <v>120</v>
      </c>
      <c r="L2387" s="364">
        <v>2</v>
      </c>
      <c r="M2387" s="364">
        <f t="shared" si="5"/>
        <v>240</v>
      </c>
      <c r="N2387" s="437" t="s">
        <v>468</v>
      </c>
      <c r="R2387" s="364"/>
      <c r="S2387" s="364"/>
    </row>
    <row r="2388" spans="1:19" x14ac:dyDescent="0.25">
      <c r="A2388" t="s">
        <v>3317</v>
      </c>
      <c r="B2388" s="50" t="s">
        <v>413</v>
      </c>
      <c r="C2388" s="51"/>
      <c r="D2388" s="428">
        <v>610000004667</v>
      </c>
      <c r="E2388" s="428">
        <f>VLOOKUP(D2388,'[1]Task list &amp; Maintenace plan'!$B:$G,6,FALSE)</f>
        <v>101101</v>
      </c>
      <c r="F2388" s="430" t="s">
        <v>3390</v>
      </c>
      <c r="G2388" s="429" t="s">
        <v>419</v>
      </c>
      <c r="H2388" s="429" t="s">
        <v>3391</v>
      </c>
      <c r="I2388" s="430">
        <v>15</v>
      </c>
      <c r="J2388" s="430">
        <v>1</v>
      </c>
      <c r="K2388" s="430">
        <v>10</v>
      </c>
      <c r="L2388" s="430">
        <v>1</v>
      </c>
      <c r="M2388" s="430">
        <f t="shared" si="5"/>
        <v>10</v>
      </c>
      <c r="N2388" s="432" t="s">
        <v>20</v>
      </c>
      <c r="R2388" s="430"/>
      <c r="S2388" s="430"/>
    </row>
    <row r="2389" spans="1:19" x14ac:dyDescent="0.25">
      <c r="A2389" t="s">
        <v>3317</v>
      </c>
      <c r="B2389" s="50" t="s">
        <v>413</v>
      </c>
      <c r="C2389" s="51"/>
      <c r="D2389" s="417">
        <v>610000004668</v>
      </c>
      <c r="E2389" s="417">
        <f>VLOOKUP(D2389,'[1]Task list &amp; Maintenace plan'!$B:$G,6,FALSE)</f>
        <v>101102</v>
      </c>
      <c r="F2389" s="421" t="s">
        <v>3392</v>
      </c>
      <c r="G2389" s="420" t="s">
        <v>419</v>
      </c>
      <c r="H2389" s="420" t="s">
        <v>3393</v>
      </c>
      <c r="I2389" s="421">
        <v>15</v>
      </c>
      <c r="J2389" s="421"/>
      <c r="K2389" s="421">
        <v>10</v>
      </c>
      <c r="L2389" s="421">
        <v>1</v>
      </c>
      <c r="M2389" s="421">
        <f t="shared" si="5"/>
        <v>10</v>
      </c>
      <c r="N2389" s="733" t="s">
        <v>3174</v>
      </c>
      <c r="R2389" s="421" t="s">
        <v>3281</v>
      </c>
      <c r="S2389" s="421"/>
    </row>
    <row r="2390" spans="1:19" x14ac:dyDescent="0.25">
      <c r="A2390" t="s">
        <v>3317</v>
      </c>
      <c r="B2390" s="50" t="s">
        <v>413</v>
      </c>
      <c r="C2390" s="51"/>
      <c r="D2390" s="349">
        <v>610000004668</v>
      </c>
      <c r="E2390" s="349">
        <f>VLOOKUP(D2390,'[1]Task list &amp; Maintenace plan'!$B:$G,6,FALSE)</f>
        <v>101102</v>
      </c>
      <c r="F2390" s="350" t="s">
        <v>3392</v>
      </c>
      <c r="G2390" s="351" t="s">
        <v>426</v>
      </c>
      <c r="H2390" s="351" t="s">
        <v>3394</v>
      </c>
      <c r="I2390" s="350">
        <v>15</v>
      </c>
      <c r="J2390" s="350"/>
      <c r="K2390" s="350">
        <v>10</v>
      </c>
      <c r="L2390" s="350">
        <v>1</v>
      </c>
      <c r="M2390" s="350">
        <f t="shared" si="5"/>
        <v>10</v>
      </c>
      <c r="N2390" s="735"/>
      <c r="R2390" s="350" t="s">
        <v>3159</v>
      </c>
      <c r="S2390" s="350"/>
    </row>
    <row r="2391" spans="1:19" x14ac:dyDescent="0.25">
      <c r="A2391" t="s">
        <v>3317</v>
      </c>
      <c r="B2391" s="50" t="s">
        <v>413</v>
      </c>
      <c r="C2391" s="51"/>
      <c r="D2391" s="352">
        <v>610000004669</v>
      </c>
      <c r="E2391" s="352">
        <f>VLOOKUP(D2391,'[1]Task list &amp; Maintenace plan'!$B:$G,6,FALSE)</f>
        <v>101103</v>
      </c>
      <c r="F2391" s="353" t="s">
        <v>3395</v>
      </c>
      <c r="G2391" s="61" t="s">
        <v>419</v>
      </c>
      <c r="H2391" s="61" t="s">
        <v>3396</v>
      </c>
      <c r="I2391" s="353">
        <v>30</v>
      </c>
      <c r="J2391" s="353"/>
      <c r="K2391" s="353">
        <v>10</v>
      </c>
      <c r="L2391" s="353">
        <v>1</v>
      </c>
      <c r="M2391" s="353">
        <f t="shared" si="5"/>
        <v>10</v>
      </c>
      <c r="N2391" s="412" t="s">
        <v>20</v>
      </c>
      <c r="R2391" s="353"/>
      <c r="S2391" s="353"/>
    </row>
    <row r="2392" spans="1:19" x14ac:dyDescent="0.25">
      <c r="A2392" t="s">
        <v>3317</v>
      </c>
      <c r="B2392" s="50" t="s">
        <v>413</v>
      </c>
      <c r="C2392" s="51"/>
      <c r="D2392" s="352">
        <v>610000004670</v>
      </c>
      <c r="E2392" s="352">
        <f>VLOOKUP(D2392,'[1]Task list &amp; Maintenace plan'!$B:$G,6,FALSE)</f>
        <v>101104</v>
      </c>
      <c r="F2392" s="353" t="s">
        <v>3397</v>
      </c>
      <c r="G2392" s="61" t="s">
        <v>414</v>
      </c>
      <c r="H2392" s="61" t="s">
        <v>3398</v>
      </c>
      <c r="I2392" s="353">
        <v>90</v>
      </c>
      <c r="J2392" s="353">
        <v>1</v>
      </c>
      <c r="K2392" s="353">
        <v>15</v>
      </c>
      <c r="L2392" s="353">
        <v>1</v>
      </c>
      <c r="M2392" s="353">
        <f t="shared" si="5"/>
        <v>15</v>
      </c>
      <c r="N2392" s="412" t="s">
        <v>3174</v>
      </c>
      <c r="R2392" s="353"/>
      <c r="S2392" s="353"/>
    </row>
    <row r="2393" spans="1:19" x14ac:dyDescent="0.25">
      <c r="A2393" t="s">
        <v>3317</v>
      </c>
      <c r="B2393" s="50" t="s">
        <v>413</v>
      </c>
      <c r="C2393" s="51"/>
      <c r="D2393" s="423">
        <v>610000004671</v>
      </c>
      <c r="E2393" s="423">
        <f>VLOOKUP(D2393,'[1]Task list &amp; Maintenace plan'!$B:$G,6,FALSE)</f>
        <v>101105</v>
      </c>
      <c r="F2393" s="434" t="s">
        <v>3399</v>
      </c>
      <c r="G2393" s="433" t="s">
        <v>419</v>
      </c>
      <c r="H2393" s="433" t="s">
        <v>3400</v>
      </c>
      <c r="I2393" s="434">
        <v>90</v>
      </c>
      <c r="J2393" s="434">
        <v>1</v>
      </c>
      <c r="K2393" s="434">
        <v>60</v>
      </c>
      <c r="L2393" s="434">
        <v>1</v>
      </c>
      <c r="M2393" s="434">
        <f t="shared" si="5"/>
        <v>60</v>
      </c>
      <c r="N2393" s="436" t="s">
        <v>3174</v>
      </c>
      <c r="R2393" s="434" t="s">
        <v>3401</v>
      </c>
      <c r="S2393" s="434"/>
    </row>
    <row r="2394" spans="1:19" x14ac:dyDescent="0.25">
      <c r="A2394" t="s">
        <v>3317</v>
      </c>
      <c r="B2394" s="50" t="s">
        <v>413</v>
      </c>
      <c r="C2394" s="51"/>
      <c r="D2394" s="354">
        <v>610000004672</v>
      </c>
      <c r="E2394" s="354">
        <f>VLOOKUP(D2394,'[1]Task list &amp; Maintenace plan'!$B:$G,6,FALSE)</f>
        <v>101106</v>
      </c>
      <c r="F2394" s="355" t="s">
        <v>3402</v>
      </c>
      <c r="G2394" s="356" t="s">
        <v>426</v>
      </c>
      <c r="H2394" s="356" t="s">
        <v>3403</v>
      </c>
      <c r="I2394" s="355">
        <v>180</v>
      </c>
      <c r="J2394" s="355">
        <v>1</v>
      </c>
      <c r="K2394" s="355">
        <v>30</v>
      </c>
      <c r="L2394" s="355">
        <v>2</v>
      </c>
      <c r="M2394" s="355">
        <f t="shared" si="5"/>
        <v>60</v>
      </c>
      <c r="N2394" s="470" t="s">
        <v>3174</v>
      </c>
      <c r="R2394" s="355" t="s">
        <v>3254</v>
      </c>
      <c r="S2394" s="355"/>
    </row>
    <row r="2395" spans="1:19" x14ac:dyDescent="0.25">
      <c r="A2395" t="s">
        <v>3317</v>
      </c>
      <c r="B2395" s="50" t="s">
        <v>413</v>
      </c>
      <c r="C2395" s="51"/>
      <c r="D2395" s="352">
        <v>342131</v>
      </c>
      <c r="E2395" s="352">
        <f>VLOOKUP(D2395,'[1]Task list &amp; Maintenace plan'!$B:$G,6,FALSE)</f>
        <v>444</v>
      </c>
      <c r="F2395" s="353" t="s">
        <v>3404</v>
      </c>
      <c r="G2395" s="61" t="s">
        <v>426</v>
      </c>
      <c r="H2395" s="61" t="s">
        <v>3405</v>
      </c>
      <c r="I2395" s="353">
        <v>180</v>
      </c>
      <c r="J2395" s="353">
        <v>1</v>
      </c>
      <c r="K2395" s="353">
        <v>240</v>
      </c>
      <c r="L2395" s="353">
        <v>5</v>
      </c>
      <c r="M2395" s="353">
        <f t="shared" si="5"/>
        <v>1200</v>
      </c>
      <c r="N2395" s="412" t="s">
        <v>468</v>
      </c>
      <c r="R2395" s="353"/>
      <c r="S2395" s="353"/>
    </row>
    <row r="2396" spans="1:19" ht="15.75" thickBot="1" x14ac:dyDescent="0.3">
      <c r="A2396" t="s">
        <v>3317</v>
      </c>
      <c r="B2396" s="50" t="s">
        <v>413</v>
      </c>
      <c r="C2396" s="214"/>
      <c r="D2396" s="363"/>
      <c r="E2396" s="363"/>
      <c r="F2396" s="364"/>
      <c r="G2396" s="365"/>
      <c r="H2396" s="365"/>
      <c r="I2396" s="364"/>
      <c r="J2396" s="364"/>
      <c r="K2396" s="364"/>
      <c r="L2396" s="364"/>
      <c r="M2396" s="364"/>
      <c r="N2396" s="471"/>
      <c r="R2396" s="364"/>
      <c r="S2396" s="364"/>
    </row>
    <row r="2397" spans="1:19" x14ac:dyDescent="0.25">
      <c r="A2397" t="s">
        <v>3317</v>
      </c>
      <c r="B2397" s="50" t="s">
        <v>453</v>
      </c>
      <c r="C2397" s="51"/>
      <c r="D2397" s="428">
        <v>610000004673</v>
      </c>
      <c r="E2397" s="428">
        <f>VLOOKUP(D2397,'[1]Task list &amp; Maintenace plan'!$B:$G,6,FALSE)</f>
        <v>101107</v>
      </c>
      <c r="F2397" s="430" t="s">
        <v>3406</v>
      </c>
      <c r="G2397" s="429" t="s">
        <v>454</v>
      </c>
      <c r="H2397" s="429" t="s">
        <v>3407</v>
      </c>
      <c r="I2397" s="430">
        <v>15</v>
      </c>
      <c r="J2397" s="430">
        <v>1</v>
      </c>
      <c r="K2397" s="430">
        <v>30</v>
      </c>
      <c r="L2397" s="430">
        <v>1</v>
      </c>
      <c r="M2397" s="430">
        <f t="shared" si="5"/>
        <v>30</v>
      </c>
      <c r="N2397" s="432" t="s">
        <v>34</v>
      </c>
      <c r="R2397" s="430"/>
      <c r="S2397" s="430"/>
    </row>
    <row r="2398" spans="1:19" x14ac:dyDescent="0.25">
      <c r="A2398" t="s">
        <v>3317</v>
      </c>
      <c r="B2398" s="50" t="s">
        <v>453</v>
      </c>
      <c r="C2398" s="51"/>
      <c r="D2398" s="343">
        <v>610000004674</v>
      </c>
      <c r="E2398" s="343">
        <f>VLOOKUP(D2398,'[1]Task list &amp; Maintenace plan'!$B:$G,6,FALSE)</f>
        <v>101108</v>
      </c>
      <c r="F2398" s="344" t="s">
        <v>3408</v>
      </c>
      <c r="G2398" s="345" t="s">
        <v>457</v>
      </c>
      <c r="H2398" s="345" t="s">
        <v>3409</v>
      </c>
      <c r="I2398" s="344">
        <v>15</v>
      </c>
      <c r="J2398" s="344"/>
      <c r="K2398" s="344">
        <v>30</v>
      </c>
      <c r="L2398" s="344">
        <v>1</v>
      </c>
      <c r="M2398" s="344">
        <f t="shared" si="5"/>
        <v>30</v>
      </c>
      <c r="N2398" s="733" t="s">
        <v>20</v>
      </c>
      <c r="R2398" s="344"/>
      <c r="S2398" s="344"/>
    </row>
    <row r="2399" spans="1:19" x14ac:dyDescent="0.25">
      <c r="A2399" t="s">
        <v>3317</v>
      </c>
      <c r="B2399" s="50" t="s">
        <v>453</v>
      </c>
      <c r="C2399" s="51"/>
      <c r="D2399" s="346">
        <v>610000004674</v>
      </c>
      <c r="E2399" s="346">
        <f>VLOOKUP(D2399,'[1]Task list &amp; Maintenace plan'!$B:$G,6,FALSE)</f>
        <v>101108</v>
      </c>
      <c r="F2399" s="347" t="s">
        <v>3408</v>
      </c>
      <c r="G2399" s="348" t="s">
        <v>457</v>
      </c>
      <c r="H2399" s="348" t="s">
        <v>3410</v>
      </c>
      <c r="I2399" s="347">
        <v>15</v>
      </c>
      <c r="J2399" s="347"/>
      <c r="K2399" s="347">
        <v>30</v>
      </c>
      <c r="L2399" s="347">
        <v>1</v>
      </c>
      <c r="M2399" s="347">
        <f t="shared" si="5"/>
        <v>30</v>
      </c>
      <c r="N2399" s="734"/>
      <c r="R2399" s="347"/>
      <c r="S2399" s="347"/>
    </row>
    <row r="2400" spans="1:19" x14ac:dyDescent="0.25">
      <c r="A2400" t="s">
        <v>3317</v>
      </c>
      <c r="B2400" s="50" t="s">
        <v>453</v>
      </c>
      <c r="C2400" s="51"/>
      <c r="D2400" s="349">
        <v>610000004674</v>
      </c>
      <c r="E2400" s="349">
        <f>VLOOKUP(D2400,'[1]Task list &amp; Maintenace plan'!$B:$G,6,FALSE)</f>
        <v>101108</v>
      </c>
      <c r="F2400" s="350" t="s">
        <v>3408</v>
      </c>
      <c r="G2400" s="351" t="s">
        <v>457</v>
      </c>
      <c r="H2400" s="351" t="s">
        <v>3411</v>
      </c>
      <c r="I2400" s="350">
        <v>15</v>
      </c>
      <c r="J2400" s="350">
        <v>1</v>
      </c>
      <c r="K2400" s="350">
        <v>30</v>
      </c>
      <c r="L2400" s="350">
        <v>1</v>
      </c>
      <c r="M2400" s="350">
        <f t="shared" si="5"/>
        <v>30</v>
      </c>
      <c r="N2400" s="735"/>
      <c r="R2400" s="350"/>
      <c r="S2400" s="350"/>
    </row>
    <row r="2401" spans="1:19" x14ac:dyDescent="0.25">
      <c r="A2401" t="s">
        <v>3317</v>
      </c>
      <c r="B2401" s="50" t="s">
        <v>453</v>
      </c>
      <c r="C2401" s="51"/>
      <c r="D2401" s="352">
        <v>610000004675</v>
      </c>
      <c r="E2401" s="352">
        <f>VLOOKUP(D2401,'[1]Task list &amp; Maintenace plan'!$B:$G,6,FALSE)</f>
        <v>101109</v>
      </c>
      <c r="F2401" s="353" t="s">
        <v>3412</v>
      </c>
      <c r="G2401" s="61" t="s">
        <v>457</v>
      </c>
      <c r="H2401" s="61" t="s">
        <v>3413</v>
      </c>
      <c r="I2401" s="353">
        <v>15</v>
      </c>
      <c r="J2401" s="353">
        <v>1</v>
      </c>
      <c r="K2401" s="353">
        <v>15</v>
      </c>
      <c r="L2401" s="353">
        <v>1</v>
      </c>
      <c r="M2401" s="353">
        <f t="shared" si="5"/>
        <v>15</v>
      </c>
      <c r="N2401" s="412" t="s">
        <v>3174</v>
      </c>
      <c r="R2401" s="353" t="s">
        <v>3159</v>
      </c>
      <c r="S2401" s="353"/>
    </row>
    <row r="2402" spans="1:19" ht="15.75" thickBot="1" x14ac:dyDescent="0.3">
      <c r="A2402" t="s">
        <v>3317</v>
      </c>
      <c r="B2402" s="50" t="s">
        <v>453</v>
      </c>
      <c r="C2402" s="214"/>
      <c r="D2402" s="363">
        <v>342289</v>
      </c>
      <c r="E2402" s="363">
        <f>VLOOKUP(D2402,'[1]Task list &amp; Maintenace plan'!$B:$G,6,FALSE)</f>
        <v>474</v>
      </c>
      <c r="F2402" s="364" t="s">
        <v>3414</v>
      </c>
      <c r="G2402" s="365" t="s">
        <v>457</v>
      </c>
      <c r="H2402" s="365" t="s">
        <v>3415</v>
      </c>
      <c r="I2402" s="364">
        <v>365</v>
      </c>
      <c r="J2402" s="364">
        <v>1</v>
      </c>
      <c r="K2402" s="364">
        <v>360</v>
      </c>
      <c r="L2402" s="364">
        <v>6</v>
      </c>
      <c r="M2402" s="364">
        <f t="shared" si="5"/>
        <v>2160</v>
      </c>
      <c r="N2402" s="437" t="s">
        <v>468</v>
      </c>
      <c r="R2402" s="364"/>
      <c r="S2402" s="364"/>
    </row>
    <row r="2403" spans="1:19" x14ac:dyDescent="0.25">
      <c r="A2403" t="s">
        <v>3317</v>
      </c>
      <c r="B2403" s="50" t="s">
        <v>469</v>
      </c>
      <c r="C2403" s="51"/>
      <c r="D2403" s="428">
        <v>610000004676</v>
      </c>
      <c r="E2403" s="428">
        <f>VLOOKUP(D2403,'[1]Task list &amp; Maintenace plan'!$B:$G,6,FALSE)</f>
        <v>101110</v>
      </c>
      <c r="F2403" s="430" t="s">
        <v>3416</v>
      </c>
      <c r="G2403" s="429" t="s">
        <v>3417</v>
      </c>
      <c r="H2403" s="429" t="s">
        <v>3418</v>
      </c>
      <c r="I2403" s="430">
        <v>15</v>
      </c>
      <c r="J2403" s="430"/>
      <c r="K2403" s="430">
        <v>10</v>
      </c>
      <c r="L2403" s="430">
        <v>1</v>
      </c>
      <c r="M2403" s="430">
        <f t="shared" si="5"/>
        <v>10</v>
      </c>
      <c r="N2403" s="432" t="s">
        <v>20</v>
      </c>
      <c r="R2403" s="430"/>
      <c r="S2403" s="430"/>
    </row>
    <row r="2404" spans="1:19" x14ac:dyDescent="0.25">
      <c r="A2404" t="s">
        <v>3317</v>
      </c>
      <c r="B2404" s="50" t="s">
        <v>469</v>
      </c>
      <c r="C2404" s="51"/>
      <c r="D2404" s="423">
        <v>610000004677</v>
      </c>
      <c r="E2404" s="423">
        <f>VLOOKUP(D2404,'[1]Task list &amp; Maintenace plan'!$B:$G,6,FALSE)</f>
        <v>101111</v>
      </c>
      <c r="F2404" s="434" t="s">
        <v>3419</v>
      </c>
      <c r="G2404" s="433" t="s">
        <v>312</v>
      </c>
      <c r="H2404" s="433" t="s">
        <v>3420</v>
      </c>
      <c r="I2404" s="434">
        <v>15</v>
      </c>
      <c r="J2404" s="434"/>
      <c r="K2404" s="434">
        <v>20</v>
      </c>
      <c r="L2404" s="434">
        <v>1</v>
      </c>
      <c r="M2404" s="434">
        <f t="shared" si="5"/>
        <v>20</v>
      </c>
      <c r="N2404" s="436" t="s">
        <v>3174</v>
      </c>
      <c r="R2404" s="434"/>
      <c r="S2404" s="434"/>
    </row>
    <row r="2405" spans="1:19" x14ac:dyDescent="0.25">
      <c r="A2405" t="s">
        <v>3317</v>
      </c>
      <c r="B2405" s="50" t="s">
        <v>469</v>
      </c>
      <c r="C2405" s="51"/>
      <c r="D2405" s="352">
        <v>610000004678</v>
      </c>
      <c r="E2405" s="352">
        <f>VLOOKUP(D2405,'[1]Task list &amp; Maintenace plan'!$B:$G,6,FALSE)</f>
        <v>101112</v>
      </c>
      <c r="F2405" s="353" t="s">
        <v>3421</v>
      </c>
      <c r="G2405" s="61" t="s">
        <v>3417</v>
      </c>
      <c r="H2405" s="61" t="s">
        <v>3422</v>
      </c>
      <c r="I2405" s="353">
        <v>30</v>
      </c>
      <c r="J2405" s="353"/>
      <c r="K2405" s="353">
        <v>10</v>
      </c>
      <c r="L2405" s="353">
        <v>1</v>
      </c>
      <c r="M2405" s="353">
        <f t="shared" si="5"/>
        <v>10</v>
      </c>
      <c r="N2405" s="412" t="s">
        <v>20</v>
      </c>
      <c r="R2405" s="353"/>
      <c r="S2405" s="353"/>
    </row>
    <row r="2406" spans="1:19" x14ac:dyDescent="0.25">
      <c r="A2406" t="s">
        <v>3317</v>
      </c>
      <c r="B2406" s="50" t="s">
        <v>469</v>
      </c>
      <c r="C2406" s="51"/>
      <c r="D2406" s="343">
        <v>610000004679</v>
      </c>
      <c r="E2406" s="343">
        <f>VLOOKUP(D2406,'[1]Task list &amp; Maintenace plan'!$B:$G,6,FALSE)</f>
        <v>101113</v>
      </c>
      <c r="F2406" s="344" t="s">
        <v>3424</v>
      </c>
      <c r="G2406" s="345" t="s">
        <v>3423</v>
      </c>
      <c r="H2406" s="345" t="s">
        <v>3425</v>
      </c>
      <c r="I2406" s="344">
        <v>30</v>
      </c>
      <c r="J2406" s="344">
        <v>1</v>
      </c>
      <c r="K2406" s="344">
        <v>90</v>
      </c>
      <c r="L2406" s="344">
        <v>3</v>
      </c>
      <c r="M2406" s="344">
        <f t="shared" ref="M2406:M2469" si="6">K2406*L2406</f>
        <v>270</v>
      </c>
      <c r="N2406" s="733" t="s">
        <v>468</v>
      </c>
      <c r="R2406" s="344"/>
      <c r="S2406" s="344"/>
    </row>
    <row r="2407" spans="1:19" x14ac:dyDescent="0.25">
      <c r="A2407" t="s">
        <v>3317</v>
      </c>
      <c r="B2407" s="50" t="s">
        <v>469</v>
      </c>
      <c r="C2407" s="51"/>
      <c r="D2407" s="349">
        <v>610000004679</v>
      </c>
      <c r="E2407" s="349">
        <f>VLOOKUP(D2407,'[1]Task list &amp; Maintenace plan'!$B:$G,6,FALSE)</f>
        <v>101113</v>
      </c>
      <c r="F2407" s="350" t="s">
        <v>3424</v>
      </c>
      <c r="G2407" s="351" t="s">
        <v>3423</v>
      </c>
      <c r="H2407" s="351" t="s">
        <v>3426</v>
      </c>
      <c r="I2407" s="350">
        <v>30</v>
      </c>
      <c r="J2407" s="350">
        <v>1</v>
      </c>
      <c r="K2407" s="350">
        <v>90</v>
      </c>
      <c r="L2407" s="350">
        <v>3</v>
      </c>
      <c r="M2407" s="350">
        <f t="shared" si="6"/>
        <v>270</v>
      </c>
      <c r="N2407" s="737"/>
      <c r="R2407" s="350"/>
      <c r="S2407" s="350"/>
    </row>
    <row r="2408" spans="1:19" x14ac:dyDescent="0.25">
      <c r="A2408" t="s">
        <v>3317</v>
      </c>
      <c r="B2408" s="50" t="s">
        <v>469</v>
      </c>
      <c r="C2408" s="51"/>
      <c r="D2408" s="349">
        <v>351978</v>
      </c>
      <c r="E2408" s="349">
        <f>VLOOKUP(D2408,'[1]Task list &amp; Maintenace plan'!$B:$G,6,FALSE)</f>
        <v>1435</v>
      </c>
      <c r="F2408" s="350" t="s">
        <v>3427</v>
      </c>
      <c r="G2408" s="351" t="s">
        <v>3423</v>
      </c>
      <c r="H2408" s="351" t="s">
        <v>3428</v>
      </c>
      <c r="I2408" s="350">
        <v>180</v>
      </c>
      <c r="J2408" s="350">
        <v>1</v>
      </c>
      <c r="K2408" s="350">
        <v>240</v>
      </c>
      <c r="L2408" s="350">
        <v>2</v>
      </c>
      <c r="M2408" s="350">
        <f t="shared" si="6"/>
        <v>480</v>
      </c>
      <c r="N2408" s="472" t="s">
        <v>20</v>
      </c>
      <c r="R2408" s="350"/>
      <c r="S2408" s="350"/>
    </row>
    <row r="2409" spans="1:19" x14ac:dyDescent="0.25">
      <c r="A2409" t="s">
        <v>3317</v>
      </c>
      <c r="B2409" s="50" t="s">
        <v>469</v>
      </c>
      <c r="C2409" s="51"/>
      <c r="D2409" s="352">
        <v>356702</v>
      </c>
      <c r="E2409" s="352">
        <f>VLOOKUP(D2409,'[1]Task list &amp; Maintenace plan'!$B:$G,6,FALSE)</f>
        <v>1616</v>
      </c>
      <c r="F2409" s="353" t="s">
        <v>3429</v>
      </c>
      <c r="G2409" s="61" t="s">
        <v>3417</v>
      </c>
      <c r="H2409" s="61" t="s">
        <v>3430</v>
      </c>
      <c r="I2409" s="353">
        <v>180</v>
      </c>
      <c r="J2409" s="353">
        <v>1</v>
      </c>
      <c r="K2409" s="353">
        <v>120</v>
      </c>
      <c r="L2409" s="353">
        <v>2</v>
      </c>
      <c r="M2409" s="353">
        <f t="shared" si="6"/>
        <v>240</v>
      </c>
      <c r="N2409" s="412" t="s">
        <v>468</v>
      </c>
      <c r="R2409" s="353"/>
      <c r="S2409" s="353"/>
    </row>
    <row r="2410" spans="1:19" ht="15.75" thickBot="1" x14ac:dyDescent="0.3">
      <c r="A2410" t="s">
        <v>3317</v>
      </c>
      <c r="B2410" s="50" t="s">
        <v>469</v>
      </c>
      <c r="C2410" s="214"/>
      <c r="D2410" s="363">
        <v>610000004680</v>
      </c>
      <c r="E2410" s="363">
        <f>VLOOKUP(D2410,'[1]Task list &amp; Maintenace plan'!$B:$G,6,FALSE)</f>
        <v>101114</v>
      </c>
      <c r="F2410" s="364" t="s">
        <v>3431</v>
      </c>
      <c r="G2410" s="365" t="s">
        <v>312</v>
      </c>
      <c r="H2410" s="365" t="s">
        <v>3432</v>
      </c>
      <c r="I2410" s="364">
        <v>365</v>
      </c>
      <c r="J2410" s="364">
        <v>1</v>
      </c>
      <c r="K2410" s="364">
        <v>240</v>
      </c>
      <c r="L2410" s="364">
        <v>4</v>
      </c>
      <c r="M2410" s="364">
        <f t="shared" si="6"/>
        <v>960</v>
      </c>
      <c r="N2410" s="437" t="s">
        <v>468</v>
      </c>
      <c r="R2410" s="364"/>
      <c r="S2410" s="364"/>
    </row>
    <row r="2411" spans="1:19" x14ac:dyDescent="0.25">
      <c r="A2411" t="s">
        <v>3317</v>
      </c>
      <c r="B2411" s="50" t="s">
        <v>489</v>
      </c>
      <c r="C2411" s="51"/>
      <c r="D2411" s="343">
        <v>610000004681</v>
      </c>
      <c r="E2411" s="343">
        <f>VLOOKUP(D2411,'[1]Task list &amp; Maintenace plan'!$B:$G,6,FALSE)</f>
        <v>101115</v>
      </c>
      <c r="F2411" s="344" t="s">
        <v>3433</v>
      </c>
      <c r="G2411" s="345" t="s">
        <v>326</v>
      </c>
      <c r="H2411" s="345" t="s">
        <v>3434</v>
      </c>
      <c r="I2411" s="344">
        <v>15</v>
      </c>
      <c r="J2411" s="344"/>
      <c r="K2411" s="344">
        <v>30</v>
      </c>
      <c r="L2411" s="344">
        <v>1</v>
      </c>
      <c r="M2411" s="344">
        <f t="shared" si="6"/>
        <v>30</v>
      </c>
      <c r="N2411" s="739" t="s">
        <v>20</v>
      </c>
      <c r="R2411" s="344"/>
      <c r="S2411" s="344"/>
    </row>
    <row r="2412" spans="1:19" x14ac:dyDescent="0.25">
      <c r="A2412" t="s">
        <v>3317</v>
      </c>
      <c r="B2412" s="50" t="s">
        <v>489</v>
      </c>
      <c r="C2412" s="51"/>
      <c r="D2412" s="349">
        <v>610000004681</v>
      </c>
      <c r="E2412" s="349">
        <f>VLOOKUP(D2412,'[1]Task list &amp; Maintenace plan'!$B:$G,6,FALSE)</f>
        <v>101115</v>
      </c>
      <c r="F2412" s="350" t="s">
        <v>3433</v>
      </c>
      <c r="G2412" s="351" t="s">
        <v>333</v>
      </c>
      <c r="H2412" s="351" t="s">
        <v>3435</v>
      </c>
      <c r="I2412" s="350">
        <v>15</v>
      </c>
      <c r="J2412" s="350"/>
      <c r="K2412" s="350">
        <v>30</v>
      </c>
      <c r="L2412" s="350">
        <v>1</v>
      </c>
      <c r="M2412" s="350">
        <f t="shared" si="6"/>
        <v>30</v>
      </c>
      <c r="N2412" s="735"/>
      <c r="R2412" s="350"/>
      <c r="S2412" s="350"/>
    </row>
    <row r="2413" spans="1:19" x14ac:dyDescent="0.25">
      <c r="A2413" t="s">
        <v>3317</v>
      </c>
      <c r="B2413" s="50" t="s">
        <v>489</v>
      </c>
      <c r="C2413" s="51"/>
      <c r="D2413" s="343">
        <v>610000004682</v>
      </c>
      <c r="E2413" s="343">
        <f>VLOOKUP(D2413,'[1]Task list &amp; Maintenace plan'!$B:$G,6,FALSE)</f>
        <v>101116</v>
      </c>
      <c r="F2413" s="344" t="s">
        <v>3436</v>
      </c>
      <c r="G2413" s="345" t="s">
        <v>326</v>
      </c>
      <c r="H2413" s="345" t="s">
        <v>3437</v>
      </c>
      <c r="I2413" s="344">
        <v>15</v>
      </c>
      <c r="J2413" s="344"/>
      <c r="K2413" s="344">
        <v>15</v>
      </c>
      <c r="L2413" s="344">
        <v>1</v>
      </c>
      <c r="M2413" s="344">
        <f t="shared" si="6"/>
        <v>15</v>
      </c>
      <c r="N2413" s="746" t="s">
        <v>3174</v>
      </c>
      <c r="R2413" s="344" t="s">
        <v>3159</v>
      </c>
      <c r="S2413" s="344"/>
    </row>
    <row r="2414" spans="1:19" x14ac:dyDescent="0.25">
      <c r="A2414" t="s">
        <v>3317</v>
      </c>
      <c r="B2414" s="50" t="s">
        <v>489</v>
      </c>
      <c r="C2414" s="51"/>
      <c r="D2414" s="349">
        <v>610000004682</v>
      </c>
      <c r="E2414" s="349">
        <f>VLOOKUP(D2414,'[1]Task list &amp; Maintenace plan'!$B:$G,6,FALSE)</f>
        <v>101116</v>
      </c>
      <c r="F2414" s="350" t="s">
        <v>3436</v>
      </c>
      <c r="G2414" s="351" t="s">
        <v>333</v>
      </c>
      <c r="H2414" s="351" t="s">
        <v>3438</v>
      </c>
      <c r="I2414" s="350">
        <v>15</v>
      </c>
      <c r="J2414" s="350"/>
      <c r="K2414" s="350">
        <v>15</v>
      </c>
      <c r="L2414" s="350">
        <v>1</v>
      </c>
      <c r="M2414" s="350">
        <f t="shared" si="6"/>
        <v>15</v>
      </c>
      <c r="N2414" s="747"/>
      <c r="R2414" s="350" t="s">
        <v>3159</v>
      </c>
      <c r="S2414" s="350"/>
    </row>
    <row r="2415" spans="1:19" x14ac:dyDescent="0.25">
      <c r="A2415" t="s">
        <v>3317</v>
      </c>
      <c r="B2415" s="50" t="s">
        <v>489</v>
      </c>
      <c r="C2415" s="51"/>
      <c r="D2415" s="343">
        <v>610000004683</v>
      </c>
      <c r="E2415" s="343">
        <f>VLOOKUP(D2415,'[1]Task list &amp; Maintenace plan'!$B:$G,6,FALSE)</f>
        <v>101117</v>
      </c>
      <c r="F2415" s="344" t="s">
        <v>3439</v>
      </c>
      <c r="G2415" s="345" t="s">
        <v>326</v>
      </c>
      <c r="H2415" s="345" t="s">
        <v>3312</v>
      </c>
      <c r="I2415" s="344">
        <v>180</v>
      </c>
      <c r="J2415" s="344">
        <v>1</v>
      </c>
      <c r="K2415" s="344">
        <v>90</v>
      </c>
      <c r="L2415" s="344">
        <v>2</v>
      </c>
      <c r="M2415" s="344">
        <f t="shared" si="6"/>
        <v>180</v>
      </c>
      <c r="N2415" s="733" t="s">
        <v>3174</v>
      </c>
      <c r="R2415" s="344" t="s">
        <v>3440</v>
      </c>
      <c r="S2415" s="344"/>
    </row>
    <row r="2416" spans="1:19" ht="15.75" thickBot="1" x14ac:dyDescent="0.3">
      <c r="A2416" t="s">
        <v>3317</v>
      </c>
      <c r="B2416" s="50" t="s">
        <v>489</v>
      </c>
      <c r="C2416" s="214"/>
      <c r="D2416" s="466">
        <v>610000004683</v>
      </c>
      <c r="E2416" s="466">
        <f>VLOOKUP(D2416,'[1]Task list &amp; Maintenace plan'!$B:$G,6,FALSE)</f>
        <v>101117</v>
      </c>
      <c r="F2416" s="467" t="s">
        <v>3439</v>
      </c>
      <c r="G2416" s="468" t="s">
        <v>333</v>
      </c>
      <c r="H2416" s="468" t="s">
        <v>3313</v>
      </c>
      <c r="I2416" s="467">
        <v>180</v>
      </c>
      <c r="J2416" s="467">
        <v>1</v>
      </c>
      <c r="K2416" s="467">
        <v>90</v>
      </c>
      <c r="L2416" s="467">
        <v>2</v>
      </c>
      <c r="M2416" s="467">
        <f t="shared" si="6"/>
        <v>180</v>
      </c>
      <c r="N2416" s="748"/>
      <c r="R2416" s="467" t="s">
        <v>3440</v>
      </c>
      <c r="S2416" s="467"/>
    </row>
    <row r="2417" spans="1:20" x14ac:dyDescent="0.25">
      <c r="A2417" t="s">
        <v>3317</v>
      </c>
      <c r="B2417" s="464" t="s">
        <v>14</v>
      </c>
      <c r="C2417" s="465" t="s">
        <v>15</v>
      </c>
      <c r="D2417" s="417">
        <v>358975</v>
      </c>
      <c r="E2417" s="417">
        <v>2790</v>
      </c>
      <c r="F2417" s="421" t="s">
        <v>3446</v>
      </c>
      <c r="G2417" s="420" t="s">
        <v>15</v>
      </c>
      <c r="H2417" s="420" t="s">
        <v>3447</v>
      </c>
      <c r="I2417" s="421">
        <v>15</v>
      </c>
      <c r="J2417" s="421"/>
      <c r="K2417" s="421">
        <v>15</v>
      </c>
      <c r="L2417" s="421">
        <v>1</v>
      </c>
      <c r="M2417" s="421">
        <f t="shared" si="6"/>
        <v>15</v>
      </c>
      <c r="N2417" s="475"/>
      <c r="O2417" s="476">
        <f>17/60</f>
        <v>0.28333333333333333</v>
      </c>
      <c r="P2417" s="477">
        <v>651</v>
      </c>
      <c r="Q2417" s="477" t="s">
        <v>19</v>
      </c>
      <c r="R2417" s="421"/>
      <c r="S2417" s="421"/>
      <c r="T2417" s="421">
        <f>I2417*24</f>
        <v>360</v>
      </c>
    </row>
    <row r="2418" spans="1:20" x14ac:dyDescent="0.25">
      <c r="A2418" t="s">
        <v>3317</v>
      </c>
      <c r="B2418" s="464" t="s">
        <v>14</v>
      </c>
      <c r="C2418" s="51" t="s">
        <v>17</v>
      </c>
      <c r="D2418" s="346">
        <v>358975</v>
      </c>
      <c r="E2418" s="346">
        <v>2790</v>
      </c>
      <c r="F2418" s="347" t="s">
        <v>3446</v>
      </c>
      <c r="G2418" s="348" t="s">
        <v>15</v>
      </c>
      <c r="H2418" s="348" t="s">
        <v>3448</v>
      </c>
      <c r="I2418" s="347">
        <v>15</v>
      </c>
      <c r="J2418" s="347"/>
      <c r="K2418" s="347">
        <v>15</v>
      </c>
      <c r="L2418" s="347">
        <v>1</v>
      </c>
      <c r="M2418" s="347">
        <f t="shared" si="6"/>
        <v>15</v>
      </c>
      <c r="N2418" s="478"/>
      <c r="O2418" s="479">
        <f t="shared" ref="O2418:O2434" si="7">17/60</f>
        <v>0.28333333333333333</v>
      </c>
      <c r="P2418" s="480">
        <v>651</v>
      </c>
      <c r="Q2418" s="480" t="s">
        <v>19</v>
      </c>
      <c r="R2418" s="347"/>
      <c r="S2418" s="347"/>
      <c r="T2418" s="347">
        <f>I2418*24</f>
        <v>360</v>
      </c>
    </row>
    <row r="2419" spans="1:20" x14ac:dyDescent="0.25">
      <c r="A2419" t="s">
        <v>3317</v>
      </c>
      <c r="B2419" s="464" t="s">
        <v>14</v>
      </c>
      <c r="C2419" s="51" t="s">
        <v>23</v>
      </c>
      <c r="D2419" s="346">
        <v>358975</v>
      </c>
      <c r="E2419" s="346">
        <v>2790</v>
      </c>
      <c r="F2419" s="347" t="s">
        <v>3446</v>
      </c>
      <c r="G2419" s="348" t="s">
        <v>15</v>
      </c>
      <c r="H2419" s="348" t="s">
        <v>3449</v>
      </c>
      <c r="I2419" s="347">
        <v>15</v>
      </c>
      <c r="J2419" s="347"/>
      <c r="K2419" s="347">
        <v>15</v>
      </c>
      <c r="L2419" s="347">
        <v>1</v>
      </c>
      <c r="M2419" s="347">
        <f t="shared" si="6"/>
        <v>15</v>
      </c>
      <c r="N2419" s="478"/>
      <c r="O2419" s="479">
        <f t="shared" si="7"/>
        <v>0.28333333333333333</v>
      </c>
      <c r="P2419" s="480">
        <v>651</v>
      </c>
      <c r="Q2419" s="480" t="s">
        <v>19</v>
      </c>
      <c r="R2419" s="347"/>
      <c r="S2419" s="347"/>
      <c r="T2419" s="347">
        <f>I2419*24</f>
        <v>360</v>
      </c>
    </row>
    <row r="2420" spans="1:20" x14ac:dyDescent="0.25">
      <c r="A2420" t="s">
        <v>3317</v>
      </c>
      <c r="B2420" s="464" t="s">
        <v>14</v>
      </c>
      <c r="C2420" s="51" t="s">
        <v>3001</v>
      </c>
      <c r="D2420" s="346">
        <v>358975</v>
      </c>
      <c r="E2420" s="346">
        <v>2790</v>
      </c>
      <c r="F2420" s="347" t="s">
        <v>3446</v>
      </c>
      <c r="G2420" s="348" t="s">
        <v>17</v>
      </c>
      <c r="H2420" s="348" t="s">
        <v>3450</v>
      </c>
      <c r="I2420" s="347">
        <v>15</v>
      </c>
      <c r="J2420" s="347"/>
      <c r="K2420" s="347">
        <v>15</v>
      </c>
      <c r="L2420" s="347">
        <v>1</v>
      </c>
      <c r="M2420" s="347">
        <f t="shared" si="6"/>
        <v>15</v>
      </c>
      <c r="N2420" s="478"/>
      <c r="O2420" s="479">
        <f t="shared" si="7"/>
        <v>0.28333333333333333</v>
      </c>
      <c r="P2420" s="480">
        <v>651</v>
      </c>
      <c r="Q2420" s="480" t="s">
        <v>19</v>
      </c>
      <c r="R2420" s="347"/>
      <c r="S2420" s="347"/>
      <c r="T2420" s="347">
        <f>I2420*24</f>
        <v>360</v>
      </c>
    </row>
    <row r="2421" spans="1:20" x14ac:dyDescent="0.25">
      <c r="A2421" t="s">
        <v>3317</v>
      </c>
      <c r="B2421" s="464" t="s">
        <v>14</v>
      </c>
      <c r="C2421" s="51" t="s">
        <v>3451</v>
      </c>
      <c r="D2421" s="346">
        <v>358975</v>
      </c>
      <c r="E2421" s="346">
        <v>2790</v>
      </c>
      <c r="F2421" s="347" t="s">
        <v>3446</v>
      </c>
      <c r="G2421" s="348" t="s">
        <v>17</v>
      </c>
      <c r="H2421" s="348" t="s">
        <v>3452</v>
      </c>
      <c r="I2421" s="347">
        <v>15</v>
      </c>
      <c r="J2421" s="347"/>
      <c r="K2421" s="347">
        <v>15</v>
      </c>
      <c r="L2421" s="347">
        <v>1</v>
      </c>
      <c r="M2421" s="347">
        <f t="shared" si="6"/>
        <v>15</v>
      </c>
      <c r="N2421" s="481" t="s">
        <v>20</v>
      </c>
      <c r="O2421" s="479">
        <f>17/60</f>
        <v>0.28333333333333333</v>
      </c>
      <c r="P2421" s="480">
        <v>651</v>
      </c>
      <c r="Q2421" s="480" t="s">
        <v>19</v>
      </c>
      <c r="R2421" s="347"/>
      <c r="S2421" s="347"/>
      <c r="T2421" s="347">
        <f>I2421*24</f>
        <v>360</v>
      </c>
    </row>
    <row r="2422" spans="1:20" x14ac:dyDescent="0.25">
      <c r="A2422" t="s">
        <v>3317</v>
      </c>
      <c r="B2422" s="464" t="s">
        <v>14</v>
      </c>
      <c r="C2422" s="51" t="s">
        <v>3453</v>
      </c>
      <c r="D2422" s="346">
        <v>358975</v>
      </c>
      <c r="E2422" s="346">
        <v>2790</v>
      </c>
      <c r="F2422" s="347" t="s">
        <v>3446</v>
      </c>
      <c r="G2422" s="328" t="s">
        <v>3001</v>
      </c>
      <c r="H2422" s="348" t="s">
        <v>3454</v>
      </c>
      <c r="I2422" s="347">
        <v>15</v>
      </c>
      <c r="J2422" s="347"/>
      <c r="K2422" s="347">
        <v>15</v>
      </c>
      <c r="L2422" s="347">
        <v>1</v>
      </c>
      <c r="M2422" s="347">
        <f t="shared" si="6"/>
        <v>15</v>
      </c>
      <c r="N2422" s="478"/>
      <c r="O2422" s="479">
        <f>20/60</f>
        <v>0.33333333333333331</v>
      </c>
      <c r="P2422" s="480">
        <v>651</v>
      </c>
      <c r="Q2422" s="480" t="s">
        <v>19</v>
      </c>
      <c r="R2422" s="347"/>
      <c r="S2422" s="347"/>
      <c r="T2422" s="347">
        <f>I2422*24</f>
        <v>360</v>
      </c>
    </row>
    <row r="2423" spans="1:20" x14ac:dyDescent="0.25">
      <c r="A2423" t="s">
        <v>3317</v>
      </c>
      <c r="B2423" s="464" t="s">
        <v>14</v>
      </c>
      <c r="C2423" s="51" t="s">
        <v>25</v>
      </c>
      <c r="D2423" s="346">
        <v>358975</v>
      </c>
      <c r="E2423" s="346">
        <v>2790</v>
      </c>
      <c r="F2423" s="347" t="s">
        <v>3446</v>
      </c>
      <c r="G2423" s="328" t="s">
        <v>25</v>
      </c>
      <c r="H2423" s="348" t="s">
        <v>3455</v>
      </c>
      <c r="I2423" s="347">
        <v>15</v>
      </c>
      <c r="J2423" s="347"/>
      <c r="K2423" s="347">
        <v>15</v>
      </c>
      <c r="L2423" s="347">
        <v>1</v>
      </c>
      <c r="M2423" s="347">
        <f t="shared" si="6"/>
        <v>15</v>
      </c>
      <c r="N2423" s="478"/>
      <c r="O2423" s="479">
        <v>1</v>
      </c>
      <c r="P2423" s="480">
        <v>651</v>
      </c>
      <c r="Q2423" s="480" t="s">
        <v>19</v>
      </c>
      <c r="R2423" s="347"/>
      <c r="S2423" s="347"/>
      <c r="T2423" s="347">
        <f>I2423*24</f>
        <v>360</v>
      </c>
    </row>
    <row r="2424" spans="1:20" x14ac:dyDescent="0.25">
      <c r="A2424" t="s">
        <v>3317</v>
      </c>
      <c r="B2424" s="464" t="s">
        <v>14</v>
      </c>
      <c r="C2424" s="51" t="s">
        <v>27</v>
      </c>
      <c r="D2424" s="346">
        <v>358975</v>
      </c>
      <c r="E2424" s="346">
        <v>2790</v>
      </c>
      <c r="F2424" s="347" t="s">
        <v>3446</v>
      </c>
      <c r="G2424" s="328" t="s">
        <v>25</v>
      </c>
      <c r="H2424" s="348" t="s">
        <v>3456</v>
      </c>
      <c r="I2424" s="347">
        <v>15</v>
      </c>
      <c r="J2424" s="347"/>
      <c r="K2424" s="347">
        <v>15</v>
      </c>
      <c r="L2424" s="347">
        <v>1</v>
      </c>
      <c r="M2424" s="347">
        <f t="shared" si="6"/>
        <v>15</v>
      </c>
      <c r="N2424" s="478"/>
      <c r="O2424" s="479">
        <v>1</v>
      </c>
      <c r="P2424" s="480">
        <v>651</v>
      </c>
      <c r="Q2424" s="480" t="s">
        <v>19</v>
      </c>
      <c r="R2424" s="347"/>
      <c r="S2424" s="347"/>
      <c r="T2424" s="347">
        <f>I2424*24</f>
        <v>360</v>
      </c>
    </row>
    <row r="2425" spans="1:20" x14ac:dyDescent="0.25">
      <c r="A2425" t="s">
        <v>3317</v>
      </c>
      <c r="B2425" s="464" t="s">
        <v>14</v>
      </c>
      <c r="C2425" s="51" t="s">
        <v>3003</v>
      </c>
      <c r="D2425" s="346">
        <v>358975</v>
      </c>
      <c r="E2425" s="346">
        <v>2790</v>
      </c>
      <c r="F2425" s="347" t="s">
        <v>3446</v>
      </c>
      <c r="G2425" s="328" t="s">
        <v>27</v>
      </c>
      <c r="H2425" s="348" t="s">
        <v>3457</v>
      </c>
      <c r="I2425" s="347">
        <v>15</v>
      </c>
      <c r="J2425" s="347"/>
      <c r="K2425" s="347">
        <v>15</v>
      </c>
      <c r="L2425" s="347">
        <v>1</v>
      </c>
      <c r="M2425" s="347">
        <f t="shared" si="6"/>
        <v>15</v>
      </c>
      <c r="N2425" s="478"/>
      <c r="O2425" s="482">
        <v>1</v>
      </c>
      <c r="P2425" s="480">
        <v>651</v>
      </c>
      <c r="Q2425" s="480" t="s">
        <v>19</v>
      </c>
      <c r="R2425" s="347"/>
      <c r="S2425" s="347"/>
      <c r="T2425" s="347">
        <f>I2425*24</f>
        <v>360</v>
      </c>
    </row>
    <row r="2426" spans="1:20" x14ac:dyDescent="0.25">
      <c r="A2426" t="s">
        <v>3317</v>
      </c>
      <c r="B2426" s="464" t="s">
        <v>14</v>
      </c>
      <c r="C2426" s="51" t="s">
        <v>3004</v>
      </c>
      <c r="D2426" s="349">
        <v>358975</v>
      </c>
      <c r="E2426" s="349">
        <v>2790</v>
      </c>
      <c r="F2426" s="350" t="s">
        <v>3446</v>
      </c>
      <c r="G2426" s="339" t="s">
        <v>3451</v>
      </c>
      <c r="H2426" s="351" t="s">
        <v>3458</v>
      </c>
      <c r="I2426" s="350">
        <v>15</v>
      </c>
      <c r="J2426" s="350"/>
      <c r="K2426" s="350">
        <v>15</v>
      </c>
      <c r="L2426" s="350">
        <v>1</v>
      </c>
      <c r="M2426" s="350">
        <f t="shared" si="6"/>
        <v>15</v>
      </c>
      <c r="N2426" s="483"/>
      <c r="O2426" s="484">
        <f>20/60</f>
        <v>0.33333333333333331</v>
      </c>
      <c r="P2426" s="485">
        <v>651</v>
      </c>
      <c r="Q2426" s="485" t="s">
        <v>19</v>
      </c>
      <c r="R2426" s="350"/>
      <c r="S2426" s="350"/>
      <c r="T2426" s="350">
        <f>I2426*24</f>
        <v>360</v>
      </c>
    </row>
    <row r="2427" spans="1:20" x14ac:dyDescent="0.25">
      <c r="A2427" t="s">
        <v>3317</v>
      </c>
      <c r="B2427" s="464" t="s">
        <v>14</v>
      </c>
      <c r="C2427" s="51" t="s">
        <v>29</v>
      </c>
      <c r="D2427" s="343">
        <v>360300</v>
      </c>
      <c r="E2427" s="343">
        <v>2793</v>
      </c>
      <c r="F2427" s="344" t="s">
        <v>3459</v>
      </c>
      <c r="G2427" s="345" t="s">
        <v>17</v>
      </c>
      <c r="H2427" s="345" t="s">
        <v>3460</v>
      </c>
      <c r="I2427" s="344">
        <v>15</v>
      </c>
      <c r="J2427" s="344"/>
      <c r="K2427" s="344">
        <v>15</v>
      </c>
      <c r="L2427" s="344">
        <v>1</v>
      </c>
      <c r="M2427" s="344">
        <f t="shared" si="6"/>
        <v>15</v>
      </c>
      <c r="N2427" s="486"/>
      <c r="O2427" s="482">
        <f>17/60</f>
        <v>0.28333333333333333</v>
      </c>
      <c r="P2427" s="487">
        <v>651</v>
      </c>
      <c r="Q2427" s="487" t="s">
        <v>19</v>
      </c>
      <c r="R2427" s="344" t="s">
        <v>3159</v>
      </c>
      <c r="S2427" s="344"/>
      <c r="T2427" s="344">
        <f>I2427*24</f>
        <v>360</v>
      </c>
    </row>
    <row r="2428" spans="1:20" x14ac:dyDescent="0.25">
      <c r="A2428" t="s">
        <v>3317</v>
      </c>
      <c r="B2428" s="464" t="s">
        <v>14</v>
      </c>
      <c r="C2428" s="51" t="s">
        <v>966</v>
      </c>
      <c r="D2428" s="346">
        <v>360300</v>
      </c>
      <c r="E2428" s="346">
        <v>2793</v>
      </c>
      <c r="F2428" s="347" t="s">
        <v>3459</v>
      </c>
      <c r="G2428" s="348" t="s">
        <v>27</v>
      </c>
      <c r="H2428" s="348" t="s">
        <v>3461</v>
      </c>
      <c r="I2428" s="347">
        <v>15</v>
      </c>
      <c r="J2428" s="347"/>
      <c r="K2428" s="347">
        <v>15</v>
      </c>
      <c r="L2428" s="347">
        <v>1</v>
      </c>
      <c r="M2428" s="347">
        <f t="shared" si="6"/>
        <v>15</v>
      </c>
      <c r="N2428" s="481" t="s">
        <v>3174</v>
      </c>
      <c r="O2428" s="482">
        <v>1</v>
      </c>
      <c r="P2428" s="480">
        <v>651</v>
      </c>
      <c r="Q2428" s="480" t="s">
        <v>19</v>
      </c>
      <c r="R2428" s="347" t="s">
        <v>3159</v>
      </c>
      <c r="S2428" s="347"/>
      <c r="T2428" s="347">
        <f>I2428*24</f>
        <v>360</v>
      </c>
    </row>
    <row r="2429" spans="1:20" x14ac:dyDescent="0.25">
      <c r="A2429" t="s">
        <v>3317</v>
      </c>
      <c r="B2429" s="464" t="s">
        <v>14</v>
      </c>
      <c r="C2429" s="51" t="s">
        <v>966</v>
      </c>
      <c r="D2429" s="349">
        <v>360300</v>
      </c>
      <c r="E2429" s="349">
        <v>2793</v>
      </c>
      <c r="F2429" s="350" t="s">
        <v>3459</v>
      </c>
      <c r="G2429" s="351" t="s">
        <v>29</v>
      </c>
      <c r="H2429" s="351" t="s">
        <v>3462</v>
      </c>
      <c r="I2429" s="350">
        <v>15</v>
      </c>
      <c r="J2429" s="350"/>
      <c r="K2429" s="350">
        <v>15</v>
      </c>
      <c r="L2429" s="350">
        <v>1</v>
      </c>
      <c r="M2429" s="350">
        <f t="shared" si="6"/>
        <v>15</v>
      </c>
      <c r="N2429" s="483"/>
      <c r="O2429" s="484">
        <v>1</v>
      </c>
      <c r="P2429" s="485">
        <v>651</v>
      </c>
      <c r="Q2429" s="485" t="s">
        <v>19</v>
      </c>
      <c r="R2429" s="350" t="s">
        <v>3159</v>
      </c>
      <c r="S2429" s="350"/>
      <c r="T2429" s="350">
        <f>I2429*24</f>
        <v>360</v>
      </c>
    </row>
    <row r="2430" spans="1:20" x14ac:dyDescent="0.25">
      <c r="A2430" t="s">
        <v>3317</v>
      </c>
      <c r="B2430" s="464" t="s">
        <v>14</v>
      </c>
      <c r="C2430" s="51" t="s">
        <v>966</v>
      </c>
      <c r="D2430" s="417">
        <v>360365</v>
      </c>
      <c r="E2430" s="417">
        <v>2794</v>
      </c>
      <c r="F2430" s="421" t="s">
        <v>3463</v>
      </c>
      <c r="G2430" s="420" t="s">
        <v>15</v>
      </c>
      <c r="H2430" s="420" t="s">
        <v>3464</v>
      </c>
      <c r="I2430" s="421">
        <v>30</v>
      </c>
      <c r="J2430" s="421"/>
      <c r="K2430" s="421">
        <v>15</v>
      </c>
      <c r="L2430" s="421">
        <v>1</v>
      </c>
      <c r="M2430" s="421">
        <f t="shared" si="6"/>
        <v>15</v>
      </c>
      <c r="N2430" s="425" t="s">
        <v>20</v>
      </c>
      <c r="O2430" s="488">
        <f t="shared" ref="O2430:O2431" si="8">17/60</f>
        <v>0.28333333333333333</v>
      </c>
      <c r="P2430" s="477">
        <v>651</v>
      </c>
      <c r="Q2430" s="477" t="s">
        <v>19</v>
      </c>
      <c r="R2430" s="421"/>
      <c r="S2430" s="421"/>
      <c r="T2430" s="421">
        <f>I2430*24</f>
        <v>720</v>
      </c>
    </row>
    <row r="2431" spans="1:20" x14ac:dyDescent="0.25">
      <c r="A2431" t="s">
        <v>3317</v>
      </c>
      <c r="B2431" s="464" t="s">
        <v>14</v>
      </c>
      <c r="C2431" s="51" t="s">
        <v>966</v>
      </c>
      <c r="D2431" s="349">
        <v>360365</v>
      </c>
      <c r="E2431" s="349">
        <v>2794</v>
      </c>
      <c r="F2431" s="350" t="s">
        <v>3463</v>
      </c>
      <c r="G2431" s="351" t="s">
        <v>15</v>
      </c>
      <c r="H2431" s="351" t="s">
        <v>3465</v>
      </c>
      <c r="I2431" s="350">
        <v>30</v>
      </c>
      <c r="J2431" s="350"/>
      <c r="K2431" s="350">
        <v>15</v>
      </c>
      <c r="L2431" s="350">
        <v>1</v>
      </c>
      <c r="M2431" s="350">
        <f t="shared" si="6"/>
        <v>15</v>
      </c>
      <c r="N2431" s="483"/>
      <c r="O2431" s="484">
        <f t="shared" si="8"/>
        <v>0.28333333333333333</v>
      </c>
      <c r="P2431" s="485">
        <v>651</v>
      </c>
      <c r="Q2431" s="485" t="s">
        <v>19</v>
      </c>
      <c r="R2431" s="350"/>
      <c r="S2431" s="350"/>
      <c r="T2431" s="350">
        <f>I2431*24</f>
        <v>720</v>
      </c>
    </row>
    <row r="2432" spans="1:20" x14ac:dyDescent="0.25">
      <c r="A2432" t="s">
        <v>3317</v>
      </c>
      <c r="B2432" s="464" t="s">
        <v>14</v>
      </c>
      <c r="C2432" s="51" t="s">
        <v>966</v>
      </c>
      <c r="D2432" s="417">
        <v>360366</v>
      </c>
      <c r="E2432" s="417">
        <v>2795</v>
      </c>
      <c r="F2432" s="421" t="s">
        <v>3466</v>
      </c>
      <c r="G2432" s="420" t="s">
        <v>3003</v>
      </c>
      <c r="H2432" s="420" t="s">
        <v>3467</v>
      </c>
      <c r="I2432" s="421">
        <v>60</v>
      </c>
      <c r="J2432" s="421">
        <v>1</v>
      </c>
      <c r="K2432" s="421">
        <v>15</v>
      </c>
      <c r="L2432" s="421">
        <v>1</v>
      </c>
      <c r="M2432" s="421">
        <f t="shared" si="6"/>
        <v>15</v>
      </c>
      <c r="N2432" s="475"/>
      <c r="O2432" s="488">
        <v>1</v>
      </c>
      <c r="P2432" s="477">
        <v>651</v>
      </c>
      <c r="Q2432" s="477" t="s">
        <v>19</v>
      </c>
      <c r="R2432" s="421"/>
      <c r="S2432" s="421"/>
      <c r="T2432" s="421">
        <f>I2432*24</f>
        <v>1440</v>
      </c>
    </row>
    <row r="2433" spans="1:20" x14ac:dyDescent="0.25">
      <c r="A2433" t="s">
        <v>3317</v>
      </c>
      <c r="B2433" s="464" t="s">
        <v>14</v>
      </c>
      <c r="C2433" s="51" t="s">
        <v>966</v>
      </c>
      <c r="D2433" s="346">
        <v>360366</v>
      </c>
      <c r="E2433" s="346">
        <v>2795</v>
      </c>
      <c r="F2433" s="347" t="s">
        <v>3466</v>
      </c>
      <c r="G2433" s="348" t="s">
        <v>3004</v>
      </c>
      <c r="H2433" s="348" t="s">
        <v>3468</v>
      </c>
      <c r="I2433" s="347">
        <v>60</v>
      </c>
      <c r="J2433" s="347">
        <v>1</v>
      </c>
      <c r="K2433" s="347">
        <v>15</v>
      </c>
      <c r="L2433" s="347">
        <v>1</v>
      </c>
      <c r="M2433" s="347">
        <f t="shared" si="6"/>
        <v>15</v>
      </c>
      <c r="N2433" s="481" t="s">
        <v>20</v>
      </c>
      <c r="O2433" s="489">
        <f>10/60*100%</f>
        <v>0.16666666666666666</v>
      </c>
      <c r="P2433" s="480">
        <v>651</v>
      </c>
      <c r="Q2433" s="480" t="s">
        <v>19</v>
      </c>
      <c r="R2433" s="347"/>
      <c r="S2433" s="347"/>
      <c r="T2433" s="347">
        <f>I2433*24</f>
        <v>1440</v>
      </c>
    </row>
    <row r="2434" spans="1:20" x14ac:dyDescent="0.25">
      <c r="A2434" t="s">
        <v>3317</v>
      </c>
      <c r="B2434" s="464" t="s">
        <v>14</v>
      </c>
      <c r="C2434" s="490"/>
      <c r="D2434" s="349">
        <v>360366</v>
      </c>
      <c r="E2434" s="349">
        <v>2795</v>
      </c>
      <c r="F2434" s="350" t="s">
        <v>3466</v>
      </c>
      <c r="G2434" s="351" t="s">
        <v>17</v>
      </c>
      <c r="H2434" s="351" t="s">
        <v>3469</v>
      </c>
      <c r="I2434" s="350">
        <v>60</v>
      </c>
      <c r="J2434" s="350">
        <v>1</v>
      </c>
      <c r="K2434" s="350">
        <v>15</v>
      </c>
      <c r="L2434" s="350">
        <v>1</v>
      </c>
      <c r="M2434" s="350">
        <f>K2434*L2434</f>
        <v>15</v>
      </c>
      <c r="N2434" s="483"/>
      <c r="O2434" s="491">
        <f t="shared" si="7"/>
        <v>0.28333333333333333</v>
      </c>
      <c r="P2434" s="485">
        <v>651</v>
      </c>
      <c r="Q2434" s="485" t="s">
        <v>19</v>
      </c>
      <c r="R2434" s="350"/>
      <c r="S2434" s="350"/>
      <c r="T2434" s="350">
        <f>I2434*24</f>
        <v>1440</v>
      </c>
    </row>
    <row r="2435" spans="1:20" x14ac:dyDescent="0.25">
      <c r="A2435" t="s">
        <v>3317</v>
      </c>
      <c r="B2435" s="464" t="s">
        <v>14</v>
      </c>
      <c r="C2435" s="51" t="s">
        <v>966</v>
      </c>
      <c r="D2435" s="343">
        <v>360381</v>
      </c>
      <c r="E2435" s="343">
        <v>2796</v>
      </c>
      <c r="F2435" s="344" t="s">
        <v>3470</v>
      </c>
      <c r="G2435" s="345" t="s">
        <v>27</v>
      </c>
      <c r="H2435" s="345" t="s">
        <v>3471</v>
      </c>
      <c r="I2435" s="344">
        <v>180</v>
      </c>
      <c r="J2435" s="344">
        <v>1</v>
      </c>
      <c r="K2435" s="344">
        <v>60</v>
      </c>
      <c r="L2435" s="344">
        <v>2</v>
      </c>
      <c r="M2435" s="344">
        <f t="shared" si="6"/>
        <v>120</v>
      </c>
      <c r="N2435" s="486"/>
      <c r="O2435" s="492">
        <v>1</v>
      </c>
      <c r="P2435" s="487">
        <v>651</v>
      </c>
      <c r="Q2435" s="487" t="s">
        <v>19</v>
      </c>
      <c r="R2435" s="344" t="s">
        <v>3251</v>
      </c>
      <c r="S2435" s="344" t="s">
        <v>3472</v>
      </c>
      <c r="T2435" s="344">
        <f>I2435*24</f>
        <v>4320</v>
      </c>
    </row>
    <row r="2436" spans="1:20" x14ac:dyDescent="0.25">
      <c r="A2436" t="s">
        <v>3317</v>
      </c>
      <c r="B2436" s="464" t="s">
        <v>14</v>
      </c>
      <c r="C2436" s="51" t="s">
        <v>966</v>
      </c>
      <c r="D2436" s="415">
        <v>360381</v>
      </c>
      <c r="E2436" s="415">
        <v>2796</v>
      </c>
      <c r="F2436" s="493" t="s">
        <v>3470</v>
      </c>
      <c r="G2436" s="494" t="s">
        <v>17</v>
      </c>
      <c r="H2436" s="494" t="s">
        <v>3473</v>
      </c>
      <c r="I2436" s="493">
        <v>180</v>
      </c>
      <c r="J2436" s="347">
        <v>1</v>
      </c>
      <c r="K2436" s="347">
        <v>60</v>
      </c>
      <c r="L2436" s="347">
        <v>2</v>
      </c>
      <c r="M2436" s="347">
        <f t="shared" si="6"/>
        <v>120</v>
      </c>
      <c r="N2436" s="481" t="s">
        <v>3174</v>
      </c>
      <c r="O2436" s="495">
        <f t="shared" ref="O2436" si="9">17/60</f>
        <v>0.28333333333333333</v>
      </c>
      <c r="P2436" s="496">
        <v>651</v>
      </c>
      <c r="Q2436" s="496" t="s">
        <v>19</v>
      </c>
      <c r="R2436" s="347" t="s">
        <v>3251</v>
      </c>
      <c r="S2436" s="347" t="s">
        <v>3474</v>
      </c>
      <c r="T2436" s="493">
        <f>I2436*24</f>
        <v>4320</v>
      </c>
    </row>
    <row r="2437" spans="1:20" x14ac:dyDescent="0.25">
      <c r="A2437" t="s">
        <v>3317</v>
      </c>
      <c r="B2437" s="464" t="s">
        <v>14</v>
      </c>
      <c r="C2437" s="51" t="s">
        <v>966</v>
      </c>
      <c r="D2437" s="352">
        <v>360382</v>
      </c>
      <c r="E2437" s="352">
        <v>2797</v>
      </c>
      <c r="F2437" s="353" t="s">
        <v>3475</v>
      </c>
      <c r="G2437" s="61" t="s">
        <v>3003</v>
      </c>
      <c r="H2437" s="61" t="s">
        <v>3476</v>
      </c>
      <c r="I2437" s="353">
        <v>180</v>
      </c>
      <c r="J2437" s="350">
        <v>1</v>
      </c>
      <c r="K2437" s="350">
        <v>60</v>
      </c>
      <c r="L2437" s="350">
        <v>2</v>
      </c>
      <c r="M2437" s="350">
        <f t="shared" si="6"/>
        <v>120</v>
      </c>
      <c r="N2437" s="483"/>
      <c r="O2437" s="497">
        <v>1</v>
      </c>
      <c r="P2437" s="498">
        <v>651</v>
      </c>
      <c r="Q2437" s="498" t="s">
        <v>19</v>
      </c>
      <c r="R2437" s="350" t="s">
        <v>3477</v>
      </c>
      <c r="S2437" s="350" t="s">
        <v>3478</v>
      </c>
      <c r="T2437" s="353">
        <f>I2437*24</f>
        <v>4320</v>
      </c>
    </row>
    <row r="2438" spans="1:20" ht="15.75" thickBot="1" x14ac:dyDescent="0.3">
      <c r="A2438" t="s">
        <v>3317</v>
      </c>
      <c r="B2438" s="464" t="s">
        <v>14</v>
      </c>
      <c r="C2438" s="214" t="s">
        <v>966</v>
      </c>
      <c r="D2438" s="357">
        <v>360382</v>
      </c>
      <c r="E2438" s="357">
        <v>2797</v>
      </c>
      <c r="F2438" s="358" t="s">
        <v>3475</v>
      </c>
      <c r="G2438" s="359" t="s">
        <v>3004</v>
      </c>
      <c r="H2438" s="359" t="s">
        <v>3479</v>
      </c>
      <c r="I2438" s="358">
        <v>180</v>
      </c>
      <c r="J2438" s="358">
        <v>1</v>
      </c>
      <c r="K2438" s="358">
        <v>60</v>
      </c>
      <c r="L2438" s="358">
        <v>1</v>
      </c>
      <c r="M2438" s="358">
        <f t="shared" si="6"/>
        <v>60</v>
      </c>
      <c r="N2438" s="499" t="s">
        <v>3174</v>
      </c>
      <c r="O2438" s="500">
        <f>10/60*100%</f>
        <v>0.16666666666666666</v>
      </c>
      <c r="P2438" s="501">
        <v>651</v>
      </c>
      <c r="Q2438" s="501" t="s">
        <v>19</v>
      </c>
      <c r="R2438" s="358" t="s">
        <v>3477</v>
      </c>
      <c r="S2438" s="358" t="s">
        <v>3480</v>
      </c>
      <c r="T2438" s="358">
        <f>I2438*24</f>
        <v>4320</v>
      </c>
    </row>
    <row r="2439" spans="1:20" x14ac:dyDescent="0.25">
      <c r="A2439" t="s">
        <v>3317</v>
      </c>
      <c r="B2439" s="50" t="s">
        <v>47</v>
      </c>
      <c r="C2439" s="445" t="s">
        <v>48</v>
      </c>
      <c r="D2439" s="343">
        <v>360383</v>
      </c>
      <c r="E2439" s="343">
        <v>2744</v>
      </c>
      <c r="F2439" s="344" t="s">
        <v>3481</v>
      </c>
      <c r="G2439" s="345" t="s">
        <v>48</v>
      </c>
      <c r="H2439" s="345" t="s">
        <v>3482</v>
      </c>
      <c r="I2439" s="344">
        <v>15</v>
      </c>
      <c r="J2439" s="344"/>
      <c r="K2439" s="344">
        <v>15</v>
      </c>
      <c r="L2439" s="344">
        <v>1</v>
      </c>
      <c r="M2439" s="749">
        <f t="shared" si="6"/>
        <v>15</v>
      </c>
      <c r="N2439" s="739" t="s">
        <v>20</v>
      </c>
      <c r="O2439" s="502"/>
      <c r="P2439" s="487">
        <v>651</v>
      </c>
      <c r="Q2439" s="487" t="s">
        <v>19</v>
      </c>
      <c r="R2439" s="344"/>
      <c r="S2439" s="344"/>
      <c r="T2439" s="344">
        <f>I2439*24</f>
        <v>360</v>
      </c>
    </row>
    <row r="2440" spans="1:20" x14ac:dyDescent="0.25">
      <c r="A2440" t="s">
        <v>3317</v>
      </c>
      <c r="B2440" s="50" t="s">
        <v>47</v>
      </c>
      <c r="C2440" s="445" t="s">
        <v>51</v>
      </c>
      <c r="D2440" s="346">
        <v>360383</v>
      </c>
      <c r="E2440" s="346">
        <v>2744</v>
      </c>
      <c r="F2440" s="347" t="s">
        <v>3481</v>
      </c>
      <c r="G2440" s="348" t="s">
        <v>51</v>
      </c>
      <c r="H2440" s="348" t="s">
        <v>3483</v>
      </c>
      <c r="I2440" s="347">
        <v>15</v>
      </c>
      <c r="J2440" s="347"/>
      <c r="K2440" s="347">
        <v>15</v>
      </c>
      <c r="L2440" s="347">
        <v>1</v>
      </c>
      <c r="M2440" s="734"/>
      <c r="N2440" s="736"/>
      <c r="O2440" s="479"/>
      <c r="P2440" s="480">
        <v>651</v>
      </c>
      <c r="Q2440" s="480" t="s">
        <v>19</v>
      </c>
      <c r="R2440" s="347"/>
      <c r="S2440" s="347"/>
      <c r="T2440" s="347">
        <f>I2440*24</f>
        <v>360</v>
      </c>
    </row>
    <row r="2441" spans="1:20" x14ac:dyDescent="0.25">
      <c r="A2441" t="s">
        <v>3317</v>
      </c>
      <c r="B2441" s="50" t="s">
        <v>47</v>
      </c>
      <c r="C2441" s="445" t="s">
        <v>53</v>
      </c>
      <c r="D2441" s="346">
        <v>360383</v>
      </c>
      <c r="E2441" s="346">
        <v>2744</v>
      </c>
      <c r="F2441" s="347" t="s">
        <v>3481</v>
      </c>
      <c r="G2441" s="348" t="s">
        <v>53</v>
      </c>
      <c r="H2441" s="348" t="s">
        <v>3484</v>
      </c>
      <c r="I2441" s="347">
        <v>15</v>
      </c>
      <c r="J2441" s="347"/>
      <c r="K2441" s="347">
        <v>15</v>
      </c>
      <c r="L2441" s="347">
        <v>1</v>
      </c>
      <c r="M2441" s="734"/>
      <c r="N2441" s="736"/>
      <c r="O2441" s="479"/>
      <c r="P2441" s="480">
        <v>651</v>
      </c>
      <c r="Q2441" s="480" t="s">
        <v>19</v>
      </c>
      <c r="R2441" s="347"/>
      <c r="S2441" s="347"/>
      <c r="T2441" s="347">
        <f>I2441*24</f>
        <v>360</v>
      </c>
    </row>
    <row r="2442" spans="1:20" x14ac:dyDescent="0.25">
      <c r="A2442" t="s">
        <v>3317</v>
      </c>
      <c r="B2442" s="50" t="s">
        <v>47</v>
      </c>
      <c r="C2442" s="445" t="s">
        <v>55</v>
      </c>
      <c r="D2442" s="346">
        <v>360383</v>
      </c>
      <c r="E2442" s="346">
        <v>2744</v>
      </c>
      <c r="F2442" s="347" t="s">
        <v>3481</v>
      </c>
      <c r="G2442" s="348" t="s">
        <v>51</v>
      </c>
      <c r="H2442" s="348" t="s">
        <v>3485</v>
      </c>
      <c r="I2442" s="347">
        <v>15</v>
      </c>
      <c r="J2442" s="347"/>
      <c r="K2442" s="347">
        <v>15</v>
      </c>
      <c r="L2442" s="347">
        <v>1</v>
      </c>
      <c r="M2442" s="734"/>
      <c r="N2442" s="736"/>
      <c r="O2442" s="479"/>
      <c r="P2442" s="480">
        <v>651</v>
      </c>
      <c r="Q2442" s="480" t="s">
        <v>19</v>
      </c>
      <c r="R2442" s="347"/>
      <c r="S2442" s="347"/>
      <c r="T2442" s="347">
        <f>I2442*24</f>
        <v>360</v>
      </c>
    </row>
    <row r="2443" spans="1:20" x14ac:dyDescent="0.25">
      <c r="A2443" t="s">
        <v>3317</v>
      </c>
      <c r="B2443" s="50" t="s">
        <v>47</v>
      </c>
      <c r="C2443" s="445" t="s">
        <v>3486</v>
      </c>
      <c r="D2443" s="346">
        <v>360383</v>
      </c>
      <c r="E2443" s="346">
        <v>2744</v>
      </c>
      <c r="F2443" s="347" t="s">
        <v>3481</v>
      </c>
      <c r="G2443" s="348" t="s">
        <v>53</v>
      </c>
      <c r="H2443" s="348" t="s">
        <v>3487</v>
      </c>
      <c r="I2443" s="347">
        <v>15</v>
      </c>
      <c r="J2443" s="347"/>
      <c r="K2443" s="347">
        <v>15</v>
      </c>
      <c r="L2443" s="347">
        <v>1</v>
      </c>
      <c r="M2443" s="734"/>
      <c r="N2443" s="736"/>
      <c r="O2443" s="479"/>
      <c r="P2443" s="480">
        <v>651</v>
      </c>
      <c r="Q2443" s="480" t="s">
        <v>19</v>
      </c>
      <c r="R2443" s="347"/>
      <c r="S2443" s="347"/>
      <c r="T2443" s="347">
        <f>I2443*24</f>
        <v>360</v>
      </c>
    </row>
    <row r="2444" spans="1:20" x14ac:dyDescent="0.25">
      <c r="A2444" t="s">
        <v>3317</v>
      </c>
      <c r="B2444" s="50" t="s">
        <v>47</v>
      </c>
      <c r="C2444" s="503" t="s">
        <v>3017</v>
      </c>
      <c r="D2444" s="346">
        <v>360383</v>
      </c>
      <c r="E2444" s="346">
        <v>2744</v>
      </c>
      <c r="F2444" s="347" t="s">
        <v>3481</v>
      </c>
      <c r="G2444" s="348" t="s">
        <v>51</v>
      </c>
      <c r="H2444" s="348" t="s">
        <v>3488</v>
      </c>
      <c r="I2444" s="347">
        <v>15</v>
      </c>
      <c r="J2444" s="347"/>
      <c r="K2444" s="347">
        <v>15</v>
      </c>
      <c r="L2444" s="347">
        <v>1</v>
      </c>
      <c r="M2444" s="734"/>
      <c r="N2444" s="736"/>
      <c r="O2444" s="479"/>
      <c r="P2444" s="480">
        <v>651</v>
      </c>
      <c r="Q2444" s="480" t="s">
        <v>19</v>
      </c>
      <c r="R2444" s="347"/>
      <c r="S2444" s="347"/>
      <c r="T2444" s="347">
        <f>I2444*24</f>
        <v>360</v>
      </c>
    </row>
    <row r="2445" spans="1:20" x14ac:dyDescent="0.25">
      <c r="A2445" t="s">
        <v>3317</v>
      </c>
      <c r="B2445" s="50" t="s">
        <v>47</v>
      </c>
      <c r="C2445" s="51"/>
      <c r="D2445" s="349">
        <v>360383</v>
      </c>
      <c r="E2445" s="349">
        <v>2744</v>
      </c>
      <c r="F2445" s="350" t="s">
        <v>3481</v>
      </c>
      <c r="G2445" s="351" t="s">
        <v>53</v>
      </c>
      <c r="H2445" s="351" t="s">
        <v>3489</v>
      </c>
      <c r="I2445" s="350">
        <v>15</v>
      </c>
      <c r="J2445" s="350"/>
      <c r="K2445" s="350">
        <v>15</v>
      </c>
      <c r="L2445" s="350">
        <v>1</v>
      </c>
      <c r="M2445" s="735"/>
      <c r="N2445" s="737"/>
      <c r="O2445" s="491"/>
      <c r="P2445" s="485">
        <v>651</v>
      </c>
      <c r="Q2445" s="485" t="s">
        <v>19</v>
      </c>
      <c r="R2445" s="350"/>
      <c r="S2445" s="350"/>
      <c r="T2445" s="350">
        <f>I2445*24</f>
        <v>360</v>
      </c>
    </row>
    <row r="2446" spans="1:20" x14ac:dyDescent="0.25">
      <c r="A2446" t="s">
        <v>3317</v>
      </c>
      <c r="B2446" s="50" t="s">
        <v>47</v>
      </c>
      <c r="C2446" s="445"/>
      <c r="D2446" s="334">
        <v>360384</v>
      </c>
      <c r="E2446" s="334">
        <v>2798</v>
      </c>
      <c r="F2446" s="335" t="s">
        <v>3490</v>
      </c>
      <c r="G2446" s="336" t="s">
        <v>3020</v>
      </c>
      <c r="H2446" s="336" t="s">
        <v>3491</v>
      </c>
      <c r="I2446" s="335">
        <v>15</v>
      </c>
      <c r="J2446" s="335"/>
      <c r="K2446" s="335">
        <v>15</v>
      </c>
      <c r="L2446" s="335">
        <v>1</v>
      </c>
      <c r="M2446" s="335">
        <f t="shared" si="6"/>
        <v>15</v>
      </c>
      <c r="N2446" s="740" t="s">
        <v>20</v>
      </c>
      <c r="O2446" s="505"/>
      <c r="P2446" s="506">
        <v>652</v>
      </c>
      <c r="Q2446" s="506" t="s">
        <v>76</v>
      </c>
      <c r="R2446" s="335"/>
      <c r="S2446" s="335"/>
      <c r="T2446" s="335">
        <f>I2446*24</f>
        <v>360</v>
      </c>
    </row>
    <row r="2447" spans="1:20" x14ac:dyDescent="0.25">
      <c r="A2447" t="s">
        <v>3317</v>
      </c>
      <c r="B2447" s="50" t="s">
        <v>47</v>
      </c>
      <c r="C2447" s="445"/>
      <c r="D2447" s="326">
        <v>360384</v>
      </c>
      <c r="E2447" s="326">
        <v>2798</v>
      </c>
      <c r="F2447" s="327" t="s">
        <v>3490</v>
      </c>
      <c r="G2447" s="328" t="s">
        <v>3021</v>
      </c>
      <c r="H2447" s="328" t="s">
        <v>3492</v>
      </c>
      <c r="I2447" s="327">
        <v>15</v>
      </c>
      <c r="J2447" s="327"/>
      <c r="K2447" s="327">
        <v>15</v>
      </c>
      <c r="L2447" s="327">
        <v>1</v>
      </c>
      <c r="M2447" s="327">
        <f t="shared" si="6"/>
        <v>15</v>
      </c>
      <c r="N2447" s="741"/>
      <c r="O2447" s="507"/>
      <c r="P2447" s="508">
        <v>652</v>
      </c>
      <c r="Q2447" s="508" t="s">
        <v>76</v>
      </c>
      <c r="R2447" s="327"/>
      <c r="S2447" s="327"/>
      <c r="T2447" s="327">
        <f>I2447*24</f>
        <v>360</v>
      </c>
    </row>
    <row r="2448" spans="1:20" x14ac:dyDescent="0.25">
      <c r="A2448" t="s">
        <v>3317</v>
      </c>
      <c r="B2448" s="50" t="s">
        <v>47</v>
      </c>
      <c r="C2448" s="445"/>
      <c r="D2448" s="326">
        <v>360384</v>
      </c>
      <c r="E2448" s="326">
        <v>2798</v>
      </c>
      <c r="F2448" s="327" t="s">
        <v>3490</v>
      </c>
      <c r="G2448" s="328" t="s">
        <v>3022</v>
      </c>
      <c r="H2448" s="328" t="s">
        <v>3493</v>
      </c>
      <c r="I2448" s="327">
        <v>15</v>
      </c>
      <c r="J2448" s="327"/>
      <c r="K2448" s="327">
        <v>15</v>
      </c>
      <c r="L2448" s="327">
        <v>1</v>
      </c>
      <c r="M2448" s="327">
        <f t="shared" si="6"/>
        <v>15</v>
      </c>
      <c r="N2448" s="741"/>
      <c r="O2448" s="507"/>
      <c r="P2448" s="508">
        <v>652</v>
      </c>
      <c r="Q2448" s="508" t="s">
        <v>76</v>
      </c>
      <c r="R2448" s="327"/>
      <c r="S2448" s="327"/>
      <c r="T2448" s="327">
        <f>I2448*24</f>
        <v>360</v>
      </c>
    </row>
    <row r="2449" spans="1:20" x14ac:dyDescent="0.25">
      <c r="A2449" t="s">
        <v>3317</v>
      </c>
      <c r="B2449" s="50" t="s">
        <v>47</v>
      </c>
      <c r="C2449" s="445"/>
      <c r="D2449" s="326">
        <v>360384</v>
      </c>
      <c r="E2449" s="326">
        <v>2798</v>
      </c>
      <c r="F2449" s="327" t="s">
        <v>3490</v>
      </c>
      <c r="G2449" s="328" t="s">
        <v>3023</v>
      </c>
      <c r="H2449" s="328" t="s">
        <v>3494</v>
      </c>
      <c r="I2449" s="327">
        <v>15</v>
      </c>
      <c r="J2449" s="327"/>
      <c r="K2449" s="327">
        <v>15</v>
      </c>
      <c r="L2449" s="327">
        <v>1</v>
      </c>
      <c r="M2449" s="327">
        <f t="shared" si="6"/>
        <v>15</v>
      </c>
      <c r="N2449" s="741"/>
      <c r="O2449" s="507"/>
      <c r="P2449" s="508">
        <v>652</v>
      </c>
      <c r="Q2449" s="508" t="s">
        <v>76</v>
      </c>
      <c r="R2449" s="327"/>
      <c r="S2449" s="327"/>
      <c r="T2449" s="327">
        <f>I2449*24</f>
        <v>360</v>
      </c>
    </row>
    <row r="2450" spans="1:20" x14ac:dyDescent="0.25">
      <c r="A2450" t="s">
        <v>3317</v>
      </c>
      <c r="B2450" s="50" t="s">
        <v>47</v>
      </c>
      <c r="C2450" s="445"/>
      <c r="D2450" s="326">
        <v>360384</v>
      </c>
      <c r="E2450" s="326">
        <v>2798</v>
      </c>
      <c r="F2450" s="327" t="s">
        <v>3490</v>
      </c>
      <c r="G2450" s="328" t="s">
        <v>3025</v>
      </c>
      <c r="H2450" s="328" t="s">
        <v>3495</v>
      </c>
      <c r="I2450" s="327">
        <v>15</v>
      </c>
      <c r="J2450" s="327"/>
      <c r="K2450" s="327">
        <v>15</v>
      </c>
      <c r="L2450" s="327">
        <v>1</v>
      </c>
      <c r="M2450" s="327">
        <f t="shared" si="6"/>
        <v>15</v>
      </c>
      <c r="N2450" s="741"/>
      <c r="O2450" s="507"/>
      <c r="P2450" s="508">
        <v>652</v>
      </c>
      <c r="Q2450" s="508" t="s">
        <v>76</v>
      </c>
      <c r="R2450" s="327"/>
      <c r="S2450" s="327"/>
      <c r="T2450" s="327">
        <f>I2450*24</f>
        <v>360</v>
      </c>
    </row>
    <row r="2451" spans="1:20" x14ac:dyDescent="0.25">
      <c r="A2451" t="s">
        <v>3317</v>
      </c>
      <c r="B2451" s="50" t="s">
        <v>47</v>
      </c>
      <c r="C2451" s="445"/>
      <c r="D2451" s="337">
        <v>360384</v>
      </c>
      <c r="E2451" s="337">
        <v>2798</v>
      </c>
      <c r="F2451" s="338" t="s">
        <v>3490</v>
      </c>
      <c r="G2451" s="339" t="s">
        <v>3027</v>
      </c>
      <c r="H2451" s="339" t="s">
        <v>3496</v>
      </c>
      <c r="I2451" s="338">
        <v>15</v>
      </c>
      <c r="J2451" s="338"/>
      <c r="K2451" s="338">
        <v>15</v>
      </c>
      <c r="L2451" s="338">
        <v>1</v>
      </c>
      <c r="M2451" s="338">
        <f t="shared" si="6"/>
        <v>15</v>
      </c>
      <c r="N2451" s="742"/>
      <c r="O2451" s="509"/>
      <c r="P2451" s="510">
        <v>652</v>
      </c>
      <c r="Q2451" s="510" t="s">
        <v>76</v>
      </c>
      <c r="R2451" s="338"/>
      <c r="S2451" s="338"/>
      <c r="T2451" s="338">
        <f>I2451*24</f>
        <v>360</v>
      </c>
    </row>
    <row r="2452" spans="1:20" x14ac:dyDescent="0.25">
      <c r="A2452" t="s">
        <v>3317</v>
      </c>
      <c r="B2452" s="50" t="s">
        <v>47</v>
      </c>
      <c r="C2452" s="445"/>
      <c r="D2452" s="337">
        <v>360385</v>
      </c>
      <c r="E2452" s="337">
        <v>2799</v>
      </c>
      <c r="F2452" s="338" t="s">
        <v>3497</v>
      </c>
      <c r="G2452" s="339" t="s">
        <v>48</v>
      </c>
      <c r="H2452" s="339" t="s">
        <v>3498</v>
      </c>
      <c r="I2452" s="338">
        <v>30</v>
      </c>
      <c r="J2452" s="338">
        <v>1</v>
      </c>
      <c r="K2452" s="338">
        <v>15</v>
      </c>
      <c r="L2452" s="338">
        <v>1</v>
      </c>
      <c r="M2452" s="338">
        <f t="shared" si="6"/>
        <v>15</v>
      </c>
      <c r="N2452" s="511">
        <v>13</v>
      </c>
      <c r="O2452" s="484"/>
      <c r="P2452" s="485">
        <v>651</v>
      </c>
      <c r="Q2452" s="485" t="s">
        <v>19</v>
      </c>
      <c r="R2452" s="338"/>
      <c r="S2452" s="338"/>
      <c r="T2452" s="338">
        <f>I2452*24</f>
        <v>720</v>
      </c>
    </row>
    <row r="2453" spans="1:20" x14ac:dyDescent="0.25">
      <c r="A2453" t="s">
        <v>3317</v>
      </c>
      <c r="B2453" s="50" t="s">
        <v>47</v>
      </c>
      <c r="C2453" s="445"/>
      <c r="D2453" s="340">
        <v>360386</v>
      </c>
      <c r="E2453" s="340">
        <v>2807</v>
      </c>
      <c r="F2453" s="341" t="s">
        <v>3499</v>
      </c>
      <c r="G2453" s="342" t="s">
        <v>51</v>
      </c>
      <c r="H2453" s="342" t="s">
        <v>3500</v>
      </c>
      <c r="I2453" s="330">
        <v>180</v>
      </c>
      <c r="J2453" s="330">
        <v>1</v>
      </c>
      <c r="K2453" s="750">
        <v>60</v>
      </c>
      <c r="L2453" s="750">
        <v>1</v>
      </c>
      <c r="M2453" s="750">
        <f t="shared" si="6"/>
        <v>60</v>
      </c>
      <c r="N2453" s="740" t="s">
        <v>3174</v>
      </c>
      <c r="O2453" s="512"/>
      <c r="P2453" s="513">
        <v>651</v>
      </c>
      <c r="Q2453" s="513" t="s">
        <v>19</v>
      </c>
      <c r="R2453" s="330" t="s">
        <v>3501</v>
      </c>
      <c r="S2453" s="330" t="s">
        <v>3502</v>
      </c>
      <c r="T2453" s="330">
        <f>I2453*24</f>
        <v>4320</v>
      </c>
    </row>
    <row r="2454" spans="1:20" x14ac:dyDescent="0.25">
      <c r="A2454" t="s">
        <v>3317</v>
      </c>
      <c r="B2454" s="50" t="s">
        <v>47</v>
      </c>
      <c r="C2454" s="445"/>
      <c r="D2454" s="337">
        <v>360386</v>
      </c>
      <c r="E2454" s="337">
        <v>2807</v>
      </c>
      <c r="F2454" s="338" t="s">
        <v>3499</v>
      </c>
      <c r="G2454" s="339" t="s">
        <v>53</v>
      </c>
      <c r="H2454" s="339" t="s">
        <v>3503</v>
      </c>
      <c r="I2454" s="383">
        <v>180</v>
      </c>
      <c r="J2454" s="383">
        <v>1</v>
      </c>
      <c r="K2454" s="744"/>
      <c r="L2454" s="744"/>
      <c r="M2454" s="744"/>
      <c r="N2454" s="742"/>
      <c r="O2454" s="514"/>
      <c r="P2454" s="515">
        <v>651</v>
      </c>
      <c r="Q2454" s="515" t="s">
        <v>19</v>
      </c>
      <c r="R2454" s="383" t="s">
        <v>3501</v>
      </c>
      <c r="S2454" s="383" t="s">
        <v>3502</v>
      </c>
      <c r="T2454" s="383">
        <f>I2454*24</f>
        <v>4320</v>
      </c>
    </row>
    <row r="2455" spans="1:20" x14ac:dyDescent="0.25">
      <c r="A2455" t="s">
        <v>3317</v>
      </c>
      <c r="B2455" s="50" t="s">
        <v>47</v>
      </c>
      <c r="C2455" s="445"/>
      <c r="D2455" s="340">
        <v>360387</v>
      </c>
      <c r="E2455" s="340">
        <v>2800</v>
      </c>
      <c r="F2455" s="341" t="s">
        <v>3504</v>
      </c>
      <c r="G2455" s="342" t="s">
        <v>3020</v>
      </c>
      <c r="H2455" s="342" t="s">
        <v>3505</v>
      </c>
      <c r="I2455" s="341">
        <v>365</v>
      </c>
      <c r="J2455" s="341">
        <v>1</v>
      </c>
      <c r="K2455" s="341">
        <v>60</v>
      </c>
      <c r="L2455" s="341">
        <v>2</v>
      </c>
      <c r="M2455" s="341">
        <f t="shared" si="6"/>
        <v>120</v>
      </c>
      <c r="N2455" s="740" t="s">
        <v>3174</v>
      </c>
      <c r="O2455" s="516"/>
      <c r="P2455" s="517">
        <v>652</v>
      </c>
      <c r="Q2455" s="517" t="s">
        <v>76</v>
      </c>
      <c r="R2455" s="341" t="s">
        <v>3251</v>
      </c>
      <c r="S2455" s="341"/>
      <c r="T2455" s="341">
        <f>I2455*24</f>
        <v>8760</v>
      </c>
    </row>
    <row r="2456" spans="1:20" x14ac:dyDescent="0.25">
      <c r="A2456" t="s">
        <v>3317</v>
      </c>
      <c r="B2456" s="50" t="s">
        <v>47</v>
      </c>
      <c r="C2456" s="445"/>
      <c r="D2456" s="326">
        <v>360387</v>
      </c>
      <c r="E2456" s="326">
        <v>2800</v>
      </c>
      <c r="F2456" s="341" t="s">
        <v>3504</v>
      </c>
      <c r="G2456" s="328" t="s">
        <v>3021</v>
      </c>
      <c r="H2456" s="342" t="s">
        <v>3506</v>
      </c>
      <c r="I2456" s="327">
        <v>365</v>
      </c>
      <c r="J2456" s="327">
        <v>1</v>
      </c>
      <c r="K2456" s="327">
        <v>60</v>
      </c>
      <c r="L2456" s="327">
        <v>2</v>
      </c>
      <c r="M2456" s="327">
        <f t="shared" si="6"/>
        <v>120</v>
      </c>
      <c r="N2456" s="741"/>
      <c r="O2456" s="507"/>
      <c r="P2456" s="508">
        <v>652</v>
      </c>
      <c r="Q2456" s="508" t="s">
        <v>76</v>
      </c>
      <c r="R2456" s="327" t="s">
        <v>3251</v>
      </c>
      <c r="S2456" s="327"/>
      <c r="T2456" s="327">
        <f>I2456*24</f>
        <v>8760</v>
      </c>
    </row>
    <row r="2457" spans="1:20" x14ac:dyDescent="0.25">
      <c r="A2457" t="s">
        <v>3317</v>
      </c>
      <c r="B2457" s="50" t="s">
        <v>47</v>
      </c>
      <c r="C2457" s="445"/>
      <c r="D2457" s="326">
        <v>360387</v>
      </c>
      <c r="E2457" s="326">
        <v>2800</v>
      </c>
      <c r="F2457" s="341" t="s">
        <v>3504</v>
      </c>
      <c r="G2457" s="328" t="s">
        <v>3022</v>
      </c>
      <c r="H2457" s="342" t="s">
        <v>3507</v>
      </c>
      <c r="I2457" s="327">
        <v>365</v>
      </c>
      <c r="J2457" s="327">
        <v>1</v>
      </c>
      <c r="K2457" s="327">
        <v>60</v>
      </c>
      <c r="L2457" s="327">
        <v>2</v>
      </c>
      <c r="M2457" s="327">
        <f t="shared" si="6"/>
        <v>120</v>
      </c>
      <c r="N2457" s="741"/>
      <c r="O2457" s="507"/>
      <c r="P2457" s="508">
        <v>652</v>
      </c>
      <c r="Q2457" s="508" t="s">
        <v>76</v>
      </c>
      <c r="R2457" s="327" t="s">
        <v>3251</v>
      </c>
      <c r="S2457" s="327"/>
      <c r="T2457" s="327">
        <f>I2457*24</f>
        <v>8760</v>
      </c>
    </row>
    <row r="2458" spans="1:20" x14ac:dyDescent="0.25">
      <c r="A2458" t="s">
        <v>3317</v>
      </c>
      <c r="B2458" s="50" t="s">
        <v>47</v>
      </c>
      <c r="C2458" s="445"/>
      <c r="D2458" s="326">
        <v>360387</v>
      </c>
      <c r="E2458" s="326">
        <v>2800</v>
      </c>
      <c r="F2458" s="341" t="s">
        <v>3504</v>
      </c>
      <c r="G2458" s="328" t="s">
        <v>3023</v>
      </c>
      <c r="H2458" s="342" t="s">
        <v>3508</v>
      </c>
      <c r="I2458" s="327">
        <v>365</v>
      </c>
      <c r="J2458" s="327">
        <v>1</v>
      </c>
      <c r="K2458" s="327">
        <v>60</v>
      </c>
      <c r="L2458" s="327">
        <v>2</v>
      </c>
      <c r="M2458" s="327">
        <f t="shared" si="6"/>
        <v>120</v>
      </c>
      <c r="N2458" s="741"/>
      <c r="O2458" s="507"/>
      <c r="P2458" s="508">
        <v>652</v>
      </c>
      <c r="Q2458" s="508" t="s">
        <v>76</v>
      </c>
      <c r="R2458" s="327" t="s">
        <v>3251</v>
      </c>
      <c r="S2458" s="327"/>
      <c r="T2458" s="327">
        <f>I2458*24</f>
        <v>8760</v>
      </c>
    </row>
    <row r="2459" spans="1:20" x14ac:dyDescent="0.25">
      <c r="A2459" t="s">
        <v>3317</v>
      </c>
      <c r="B2459" s="50" t="s">
        <v>47</v>
      </c>
      <c r="C2459" s="445"/>
      <c r="D2459" s="326">
        <v>360387</v>
      </c>
      <c r="E2459" s="326">
        <v>2800</v>
      </c>
      <c r="F2459" s="341" t="s">
        <v>3504</v>
      </c>
      <c r="G2459" s="328" t="s">
        <v>3025</v>
      </c>
      <c r="H2459" s="342" t="s">
        <v>3509</v>
      </c>
      <c r="I2459" s="327">
        <v>365</v>
      </c>
      <c r="J2459" s="327">
        <v>1</v>
      </c>
      <c r="K2459" s="327">
        <v>60</v>
      </c>
      <c r="L2459" s="327">
        <v>2</v>
      </c>
      <c r="M2459" s="327">
        <f t="shared" si="6"/>
        <v>120</v>
      </c>
      <c r="N2459" s="741"/>
      <c r="O2459" s="507"/>
      <c r="P2459" s="508">
        <v>652</v>
      </c>
      <c r="Q2459" s="508" t="s">
        <v>76</v>
      </c>
      <c r="R2459" s="327" t="s">
        <v>3251</v>
      </c>
      <c r="S2459" s="327"/>
      <c r="T2459" s="327">
        <f>I2459*24</f>
        <v>8760</v>
      </c>
    </row>
    <row r="2460" spans="1:20" x14ac:dyDescent="0.25">
      <c r="A2460" t="s">
        <v>3317</v>
      </c>
      <c r="B2460" s="50" t="s">
        <v>47</v>
      </c>
      <c r="C2460" s="445"/>
      <c r="D2460" s="326">
        <v>360387</v>
      </c>
      <c r="E2460" s="326">
        <v>2800</v>
      </c>
      <c r="F2460" s="341" t="s">
        <v>3504</v>
      </c>
      <c r="G2460" s="328" t="s">
        <v>3027</v>
      </c>
      <c r="H2460" s="342" t="s">
        <v>3510</v>
      </c>
      <c r="I2460" s="327">
        <v>365</v>
      </c>
      <c r="J2460" s="327">
        <v>1</v>
      </c>
      <c r="K2460" s="327">
        <v>60</v>
      </c>
      <c r="L2460" s="327">
        <v>2</v>
      </c>
      <c r="M2460" s="327">
        <f t="shared" si="6"/>
        <v>120</v>
      </c>
      <c r="N2460" s="741"/>
      <c r="O2460" s="507"/>
      <c r="P2460" s="508">
        <v>652</v>
      </c>
      <c r="Q2460" s="508" t="s">
        <v>76</v>
      </c>
      <c r="R2460" s="327" t="s">
        <v>3251</v>
      </c>
      <c r="S2460" s="327"/>
      <c r="T2460" s="327">
        <f>I2460*24</f>
        <v>8760</v>
      </c>
    </row>
    <row r="2461" spans="1:20" x14ac:dyDescent="0.25">
      <c r="A2461" t="s">
        <v>3317</v>
      </c>
      <c r="B2461" s="50" t="s">
        <v>47</v>
      </c>
      <c r="C2461" s="445"/>
      <c r="D2461" s="329">
        <v>360387</v>
      </c>
      <c r="E2461" s="329">
        <v>2800</v>
      </c>
      <c r="F2461" s="330" t="s">
        <v>3504</v>
      </c>
      <c r="G2461" s="331" t="s">
        <v>55</v>
      </c>
      <c r="H2461" s="342" t="s">
        <v>3511</v>
      </c>
      <c r="I2461" s="330">
        <v>365</v>
      </c>
      <c r="J2461" s="330">
        <v>1</v>
      </c>
      <c r="K2461" s="330">
        <v>60</v>
      </c>
      <c r="L2461" s="330">
        <v>2</v>
      </c>
      <c r="M2461" s="330">
        <f t="shared" si="6"/>
        <v>120</v>
      </c>
      <c r="N2461" s="741"/>
      <c r="O2461" s="518"/>
      <c r="P2461" s="519">
        <v>652</v>
      </c>
      <c r="Q2461" s="519" t="s">
        <v>76</v>
      </c>
      <c r="R2461" s="330" t="s">
        <v>3512</v>
      </c>
      <c r="S2461" s="330"/>
      <c r="T2461" s="330">
        <f>I2461*24</f>
        <v>8760</v>
      </c>
    </row>
    <row r="2462" spans="1:20" ht="15.75" thickBot="1" x14ac:dyDescent="0.3">
      <c r="A2462" t="s">
        <v>3317</v>
      </c>
      <c r="B2462" s="50" t="s">
        <v>47</v>
      </c>
      <c r="C2462" s="520"/>
      <c r="D2462" s="366">
        <v>360387</v>
      </c>
      <c r="E2462" s="366">
        <v>2800</v>
      </c>
      <c r="F2462" s="367" t="s">
        <v>3504</v>
      </c>
      <c r="G2462" s="368" t="s">
        <v>55</v>
      </c>
      <c r="H2462" s="342" t="s">
        <v>3513</v>
      </c>
      <c r="I2462" s="367">
        <v>365</v>
      </c>
      <c r="J2462" s="367">
        <v>1</v>
      </c>
      <c r="K2462" s="367">
        <v>60</v>
      </c>
      <c r="L2462" s="367">
        <v>2</v>
      </c>
      <c r="M2462" s="367">
        <f t="shared" si="6"/>
        <v>120</v>
      </c>
      <c r="N2462" s="743"/>
      <c r="O2462" s="521"/>
      <c r="P2462" s="522">
        <v>652</v>
      </c>
      <c r="Q2462" s="522" t="s">
        <v>76</v>
      </c>
      <c r="R2462" s="367" t="s">
        <v>3251</v>
      </c>
      <c r="S2462" s="367"/>
      <c r="T2462" s="367">
        <f>I2462*24</f>
        <v>8760</v>
      </c>
    </row>
    <row r="2463" spans="1:20" x14ac:dyDescent="0.25">
      <c r="A2463" t="s">
        <v>3317</v>
      </c>
      <c r="B2463" s="504" t="s">
        <v>91</v>
      </c>
      <c r="C2463" s="445" t="s">
        <v>57</v>
      </c>
      <c r="D2463" s="440">
        <v>360388</v>
      </c>
      <c r="E2463" s="440">
        <v>2801</v>
      </c>
      <c r="F2463" s="442" t="s">
        <v>3514</v>
      </c>
      <c r="G2463" s="441" t="s">
        <v>61</v>
      </c>
      <c r="H2463" s="441" t="s">
        <v>3515</v>
      </c>
      <c r="I2463" s="442">
        <v>15</v>
      </c>
      <c r="J2463" s="442">
        <v>1</v>
      </c>
      <c r="K2463" s="442">
        <v>30</v>
      </c>
      <c r="L2463" s="442">
        <v>1</v>
      </c>
      <c r="M2463" s="442">
        <f t="shared" si="6"/>
        <v>30</v>
      </c>
      <c r="N2463" s="444" t="s">
        <v>34</v>
      </c>
      <c r="O2463" s="523"/>
      <c r="P2463" s="524">
        <v>651</v>
      </c>
      <c r="Q2463" s="524" t="s">
        <v>19</v>
      </c>
      <c r="R2463" s="442"/>
      <c r="S2463" s="442"/>
      <c r="T2463" s="442">
        <f>I2463*24</f>
        <v>360</v>
      </c>
    </row>
    <row r="2464" spans="1:20" x14ac:dyDescent="0.25">
      <c r="A2464" t="s">
        <v>3317</v>
      </c>
      <c r="B2464" s="504" t="s">
        <v>91</v>
      </c>
      <c r="C2464" s="445" t="s">
        <v>61</v>
      </c>
      <c r="D2464" s="340">
        <v>360389</v>
      </c>
      <c r="E2464" s="340">
        <v>2808</v>
      </c>
      <c r="F2464" s="341" t="s">
        <v>3516</v>
      </c>
      <c r="G2464" s="342" t="s">
        <v>68</v>
      </c>
      <c r="H2464" s="342" t="s">
        <v>3517</v>
      </c>
      <c r="I2464" s="341">
        <v>15</v>
      </c>
      <c r="J2464" s="341">
        <v>1</v>
      </c>
      <c r="K2464" s="341">
        <v>30</v>
      </c>
      <c r="L2464" s="341">
        <v>1</v>
      </c>
      <c r="M2464" s="341">
        <f t="shared" si="6"/>
        <v>30</v>
      </c>
      <c r="N2464" s="740" t="s">
        <v>20</v>
      </c>
      <c r="O2464" s="492"/>
      <c r="P2464" s="487">
        <v>651</v>
      </c>
      <c r="Q2464" s="487" t="s">
        <v>19</v>
      </c>
      <c r="R2464" s="341"/>
      <c r="S2464" s="341"/>
      <c r="T2464" s="341">
        <f>I2464*24</f>
        <v>360</v>
      </c>
    </row>
    <row r="2465" spans="1:20" x14ac:dyDescent="0.25">
      <c r="A2465" t="s">
        <v>3317</v>
      </c>
      <c r="B2465" s="504" t="s">
        <v>91</v>
      </c>
      <c r="C2465" s="445" t="s">
        <v>63</v>
      </c>
      <c r="D2465" s="337">
        <v>360389</v>
      </c>
      <c r="E2465" s="337">
        <v>2808</v>
      </c>
      <c r="F2465" s="338" t="s">
        <v>3516</v>
      </c>
      <c r="G2465" s="339" t="s">
        <v>63</v>
      </c>
      <c r="H2465" s="339" t="s">
        <v>3518</v>
      </c>
      <c r="I2465" s="338">
        <v>15</v>
      </c>
      <c r="J2465" s="338"/>
      <c r="K2465" s="338">
        <v>30</v>
      </c>
      <c r="L2465" s="338">
        <v>1</v>
      </c>
      <c r="M2465" s="338">
        <f t="shared" si="6"/>
        <v>30</v>
      </c>
      <c r="N2465" s="744"/>
      <c r="O2465" s="484"/>
      <c r="P2465" s="485">
        <v>651</v>
      </c>
      <c r="Q2465" s="485" t="s">
        <v>19</v>
      </c>
      <c r="R2465" s="338" t="s">
        <v>3519</v>
      </c>
      <c r="S2465" s="338"/>
      <c r="T2465" s="338">
        <f>I2465*24</f>
        <v>360</v>
      </c>
    </row>
    <row r="2466" spans="1:20" x14ac:dyDescent="0.25">
      <c r="A2466" t="s">
        <v>3317</v>
      </c>
      <c r="B2466" s="504" t="s">
        <v>91</v>
      </c>
      <c r="C2466" s="445" t="s">
        <v>65</v>
      </c>
      <c r="D2466" s="369">
        <v>360390</v>
      </c>
      <c r="E2466" s="369">
        <v>2802</v>
      </c>
      <c r="F2466" s="370" t="s">
        <v>3520</v>
      </c>
      <c r="G2466" s="371" t="s">
        <v>57</v>
      </c>
      <c r="H2466" s="371" t="s">
        <v>3521</v>
      </c>
      <c r="I2466" s="370">
        <v>30</v>
      </c>
      <c r="J2466" s="370">
        <v>1</v>
      </c>
      <c r="K2466" s="370">
        <v>10</v>
      </c>
      <c r="L2466" s="370">
        <v>1</v>
      </c>
      <c r="M2466" s="370">
        <f t="shared" si="6"/>
        <v>10</v>
      </c>
      <c r="N2466" s="447" t="s">
        <v>20</v>
      </c>
      <c r="O2466" s="497"/>
      <c r="P2466" s="498">
        <v>651</v>
      </c>
      <c r="Q2466" s="498" t="s">
        <v>19</v>
      </c>
      <c r="R2466" s="370" t="s">
        <v>3522</v>
      </c>
      <c r="S2466" s="370" t="s">
        <v>3523</v>
      </c>
      <c r="T2466" s="370">
        <f>I2466*24</f>
        <v>720</v>
      </c>
    </row>
    <row r="2467" spans="1:20" x14ac:dyDescent="0.25">
      <c r="A2467" t="s">
        <v>3317</v>
      </c>
      <c r="B2467" s="504" t="s">
        <v>91</v>
      </c>
      <c r="C2467" s="445" t="s">
        <v>68</v>
      </c>
      <c r="D2467" s="448">
        <v>360391</v>
      </c>
      <c r="E2467" s="448">
        <v>2809</v>
      </c>
      <c r="F2467" s="383" t="s">
        <v>3524</v>
      </c>
      <c r="G2467" s="384" t="s">
        <v>57</v>
      </c>
      <c r="H2467" s="384" t="s">
        <v>3525</v>
      </c>
      <c r="I2467" s="383">
        <v>30</v>
      </c>
      <c r="J2467" s="383"/>
      <c r="K2467" s="383">
        <v>15</v>
      </c>
      <c r="L2467" s="383">
        <v>1</v>
      </c>
      <c r="M2467" s="383">
        <f t="shared" si="6"/>
        <v>15</v>
      </c>
      <c r="N2467" s="450" t="s">
        <v>20</v>
      </c>
      <c r="O2467" s="514"/>
      <c r="P2467" s="515">
        <v>651</v>
      </c>
      <c r="Q2467" s="515" t="s">
        <v>19</v>
      </c>
      <c r="R2467" s="383"/>
      <c r="S2467" s="383"/>
      <c r="T2467" s="383">
        <f>I2467*24</f>
        <v>720</v>
      </c>
    </row>
    <row r="2468" spans="1:20" x14ac:dyDescent="0.25">
      <c r="A2468" t="s">
        <v>3317</v>
      </c>
      <c r="B2468" s="504" t="s">
        <v>91</v>
      </c>
      <c r="C2468" s="445"/>
      <c r="D2468" s="337">
        <v>360392</v>
      </c>
      <c r="E2468" s="337">
        <v>2810</v>
      </c>
      <c r="F2468" s="338" t="s">
        <v>3526</v>
      </c>
      <c r="G2468" s="339" t="s">
        <v>57</v>
      </c>
      <c r="H2468" s="339" t="s">
        <v>3527</v>
      </c>
      <c r="I2468" s="338">
        <v>30</v>
      </c>
      <c r="J2468" s="338"/>
      <c r="K2468" s="338">
        <v>5</v>
      </c>
      <c r="L2468" s="338">
        <v>1</v>
      </c>
      <c r="M2468" s="338">
        <f t="shared" si="6"/>
        <v>5</v>
      </c>
      <c r="N2468" s="525" t="s">
        <v>3174</v>
      </c>
      <c r="O2468" s="484"/>
      <c r="P2468" s="485">
        <v>651</v>
      </c>
      <c r="Q2468" s="485" t="s">
        <v>19</v>
      </c>
      <c r="R2468" s="338"/>
      <c r="S2468" s="338"/>
      <c r="T2468" s="338">
        <f>I2468*24</f>
        <v>720</v>
      </c>
    </row>
    <row r="2469" spans="1:20" x14ac:dyDescent="0.25">
      <c r="A2469" t="s">
        <v>3317</v>
      </c>
      <c r="B2469" s="504" t="s">
        <v>91</v>
      </c>
      <c r="C2469" s="445"/>
      <c r="D2469" s="372">
        <v>360393</v>
      </c>
      <c r="E2469" s="372">
        <v>2803</v>
      </c>
      <c r="F2469" s="333" t="s">
        <v>3528</v>
      </c>
      <c r="G2469" s="332" t="s">
        <v>63</v>
      </c>
      <c r="H2469" s="332" t="s">
        <v>3529</v>
      </c>
      <c r="I2469" s="333">
        <v>180</v>
      </c>
      <c r="J2469" s="333">
        <v>1</v>
      </c>
      <c r="K2469" s="333">
        <v>60</v>
      </c>
      <c r="L2469" s="333">
        <v>2</v>
      </c>
      <c r="M2469" s="333">
        <f t="shared" si="6"/>
        <v>120</v>
      </c>
      <c r="N2469" s="526" t="s">
        <v>3174</v>
      </c>
      <c r="O2469" s="495"/>
      <c r="P2469" s="496">
        <v>651</v>
      </c>
      <c r="Q2469" s="496" t="s">
        <v>19</v>
      </c>
      <c r="R2469" s="333" t="s">
        <v>3530</v>
      </c>
      <c r="S2469" s="527" t="s">
        <v>3531</v>
      </c>
      <c r="T2469" s="333">
        <f>I2469*24</f>
        <v>4320</v>
      </c>
    </row>
    <row r="2470" spans="1:20" ht="15.75" thickBot="1" x14ac:dyDescent="0.3">
      <c r="A2470" t="s">
        <v>3317</v>
      </c>
      <c r="B2470" s="504" t="s">
        <v>91</v>
      </c>
      <c r="C2470" s="520" t="s">
        <v>966</v>
      </c>
      <c r="D2470" s="366"/>
      <c r="E2470" s="366"/>
      <c r="F2470" s="367"/>
      <c r="G2470" s="368"/>
      <c r="H2470" s="368"/>
      <c r="I2470" s="367"/>
      <c r="J2470" s="367"/>
      <c r="K2470" s="367"/>
      <c r="L2470" s="367"/>
      <c r="M2470" s="367"/>
      <c r="N2470" s="528"/>
      <c r="O2470" s="521"/>
      <c r="P2470" s="367"/>
      <c r="Q2470" s="367"/>
      <c r="R2470" s="367"/>
      <c r="S2470" s="367"/>
      <c r="T2470" s="367"/>
    </row>
    <row r="2471" spans="1:20" x14ac:dyDescent="0.25">
      <c r="A2471" t="s">
        <v>3317</v>
      </c>
      <c r="B2471" s="504" t="s">
        <v>123</v>
      </c>
      <c r="C2471" s="445"/>
      <c r="D2471" s="529">
        <v>360394</v>
      </c>
      <c r="E2471" s="529">
        <v>2804</v>
      </c>
      <c r="F2471" s="530" t="s">
        <v>3532</v>
      </c>
      <c r="G2471" s="531" t="s">
        <v>135</v>
      </c>
      <c r="H2471" s="531" t="s">
        <v>3533</v>
      </c>
      <c r="I2471" s="530">
        <v>15</v>
      </c>
      <c r="J2471" s="530">
        <v>1</v>
      </c>
      <c r="K2471" s="530">
        <v>15</v>
      </c>
      <c r="L2471" s="530">
        <v>1</v>
      </c>
      <c r="M2471" s="530">
        <f t="shared" ref="M2471:M2512" si="10">K2471*L2471</f>
        <v>15</v>
      </c>
      <c r="N2471" s="745" t="s">
        <v>20</v>
      </c>
      <c r="O2471" s="532"/>
      <c r="P2471" s="533">
        <v>653</v>
      </c>
      <c r="Q2471" s="533" t="s">
        <v>134</v>
      </c>
      <c r="R2471" s="530"/>
      <c r="S2471" s="530"/>
      <c r="T2471" s="530">
        <f>I2471*24</f>
        <v>360</v>
      </c>
    </row>
    <row r="2472" spans="1:20" x14ac:dyDescent="0.25">
      <c r="A2472" t="s">
        <v>3317</v>
      </c>
      <c r="B2472" s="504" t="s">
        <v>123</v>
      </c>
      <c r="C2472" s="445" t="s">
        <v>126</v>
      </c>
      <c r="D2472" s="326">
        <v>360394</v>
      </c>
      <c r="E2472" s="326">
        <v>2804</v>
      </c>
      <c r="F2472" s="327" t="s">
        <v>3532</v>
      </c>
      <c r="G2472" s="328" t="s">
        <v>137</v>
      </c>
      <c r="H2472" s="328" t="s">
        <v>3534</v>
      </c>
      <c r="I2472" s="327">
        <v>15</v>
      </c>
      <c r="J2472" s="327"/>
      <c r="K2472" s="327">
        <v>15</v>
      </c>
      <c r="L2472" s="327">
        <v>1</v>
      </c>
      <c r="M2472" s="327">
        <f t="shared" si="10"/>
        <v>15</v>
      </c>
      <c r="N2472" s="741"/>
      <c r="O2472" s="482"/>
      <c r="P2472" s="534">
        <v>653</v>
      </c>
      <c r="Q2472" s="534" t="s">
        <v>134</v>
      </c>
      <c r="R2472" s="327"/>
      <c r="S2472" s="327"/>
      <c r="T2472" s="327">
        <v>360</v>
      </c>
    </row>
    <row r="2473" spans="1:20" x14ac:dyDescent="0.25">
      <c r="A2473" t="s">
        <v>3317</v>
      </c>
      <c r="B2473" s="504" t="s">
        <v>123</v>
      </c>
      <c r="C2473" s="445" t="s">
        <v>129</v>
      </c>
      <c r="D2473" s="337">
        <v>360394</v>
      </c>
      <c r="E2473" s="337">
        <v>2804</v>
      </c>
      <c r="F2473" s="338" t="s">
        <v>3532</v>
      </c>
      <c r="G2473" s="339" t="s">
        <v>3535</v>
      </c>
      <c r="H2473" s="339" t="s">
        <v>3536</v>
      </c>
      <c r="I2473" s="338">
        <v>15</v>
      </c>
      <c r="J2473" s="338"/>
      <c r="K2473" s="338">
        <v>15</v>
      </c>
      <c r="L2473" s="338">
        <v>1</v>
      </c>
      <c r="M2473" s="338">
        <f t="shared" si="10"/>
        <v>15</v>
      </c>
      <c r="N2473" s="742"/>
      <c r="O2473" s="484"/>
      <c r="P2473" s="535">
        <v>653</v>
      </c>
      <c r="Q2473" s="535" t="s">
        <v>134</v>
      </c>
      <c r="R2473" s="338"/>
      <c r="S2473" s="338"/>
      <c r="T2473" s="338">
        <f>I2473*24</f>
        <v>360</v>
      </c>
    </row>
    <row r="2474" spans="1:20" x14ac:dyDescent="0.25">
      <c r="A2474" t="s">
        <v>3317</v>
      </c>
      <c r="B2474" s="504" t="s">
        <v>123</v>
      </c>
      <c r="C2474" s="445" t="s">
        <v>137</v>
      </c>
      <c r="D2474" s="340">
        <v>360395</v>
      </c>
      <c r="E2474" s="340">
        <v>2811</v>
      </c>
      <c r="F2474" s="341" t="s">
        <v>3537</v>
      </c>
      <c r="G2474" s="342" t="s">
        <v>126</v>
      </c>
      <c r="H2474" s="342" t="s">
        <v>3538</v>
      </c>
      <c r="I2474" s="341">
        <v>15</v>
      </c>
      <c r="J2474" s="341"/>
      <c r="K2474" s="341">
        <v>15</v>
      </c>
      <c r="L2474" s="341">
        <v>1</v>
      </c>
      <c r="M2474" s="341">
        <f t="shared" si="10"/>
        <v>15</v>
      </c>
      <c r="N2474" s="740" t="s">
        <v>20</v>
      </c>
      <c r="O2474" s="492"/>
      <c r="P2474" s="487">
        <v>651</v>
      </c>
      <c r="Q2474" s="487" t="s">
        <v>19</v>
      </c>
      <c r="R2474" s="341"/>
      <c r="S2474" s="341"/>
      <c r="T2474" s="341">
        <f>I2474*24</f>
        <v>360</v>
      </c>
    </row>
    <row r="2475" spans="1:20" x14ac:dyDescent="0.25">
      <c r="A2475" t="s">
        <v>3317</v>
      </c>
      <c r="B2475" s="504" t="s">
        <v>123</v>
      </c>
      <c r="C2475" s="445" t="s">
        <v>141</v>
      </c>
      <c r="D2475" s="326">
        <v>360395</v>
      </c>
      <c r="E2475" s="326">
        <v>2811</v>
      </c>
      <c r="F2475" s="327" t="s">
        <v>3537</v>
      </c>
      <c r="G2475" s="328" t="s">
        <v>129</v>
      </c>
      <c r="H2475" s="328" t="s">
        <v>3539</v>
      </c>
      <c r="I2475" s="327">
        <v>15</v>
      </c>
      <c r="J2475" s="327"/>
      <c r="K2475" s="327">
        <v>15</v>
      </c>
      <c r="L2475" s="327">
        <v>1</v>
      </c>
      <c r="M2475" s="327">
        <f t="shared" si="10"/>
        <v>15</v>
      </c>
      <c r="N2475" s="742"/>
      <c r="O2475" s="482"/>
      <c r="P2475" s="480">
        <v>651</v>
      </c>
      <c r="Q2475" s="480" t="s">
        <v>19</v>
      </c>
      <c r="R2475" s="327"/>
      <c r="S2475" s="327"/>
      <c r="T2475" s="327">
        <v>360</v>
      </c>
    </row>
    <row r="2476" spans="1:20" x14ac:dyDescent="0.25">
      <c r="A2476" t="s">
        <v>3317</v>
      </c>
      <c r="B2476" s="504" t="s">
        <v>123</v>
      </c>
      <c r="C2476" s="445" t="s">
        <v>132</v>
      </c>
      <c r="D2476" s="334">
        <v>360396</v>
      </c>
      <c r="E2476" s="334">
        <v>2812</v>
      </c>
      <c r="F2476" s="335" t="s">
        <v>3540</v>
      </c>
      <c r="G2476" s="336" t="s">
        <v>141</v>
      </c>
      <c r="H2476" s="336" t="s">
        <v>3541</v>
      </c>
      <c r="I2476" s="335">
        <v>15</v>
      </c>
      <c r="J2476" s="335"/>
      <c r="K2476" s="335">
        <v>20</v>
      </c>
      <c r="L2476" s="335">
        <v>1</v>
      </c>
      <c r="M2476" s="335">
        <f t="shared" si="10"/>
        <v>20</v>
      </c>
      <c r="N2476" s="740" t="s">
        <v>20</v>
      </c>
      <c r="O2476" s="488"/>
      <c r="P2476" s="506">
        <v>652</v>
      </c>
      <c r="Q2476" s="506" t="s">
        <v>76</v>
      </c>
      <c r="R2476" s="335"/>
      <c r="S2476" s="335"/>
      <c r="T2476" s="335">
        <v>360</v>
      </c>
    </row>
    <row r="2477" spans="1:20" x14ac:dyDescent="0.25">
      <c r="A2477" t="s">
        <v>3317</v>
      </c>
      <c r="B2477" s="504" t="s">
        <v>123</v>
      </c>
      <c r="C2477" s="445" t="s">
        <v>135</v>
      </c>
      <c r="D2477" s="326">
        <v>360396</v>
      </c>
      <c r="E2477" s="326">
        <v>2812</v>
      </c>
      <c r="F2477" s="327" t="s">
        <v>3540</v>
      </c>
      <c r="G2477" s="328" t="s">
        <v>143</v>
      </c>
      <c r="H2477" s="328" t="s">
        <v>3533</v>
      </c>
      <c r="I2477" s="327">
        <v>15</v>
      </c>
      <c r="J2477" s="327">
        <v>1</v>
      </c>
      <c r="K2477" s="327">
        <v>20</v>
      </c>
      <c r="L2477" s="327">
        <v>1</v>
      </c>
      <c r="M2477" s="327">
        <f t="shared" si="10"/>
        <v>20</v>
      </c>
      <c r="N2477" s="741"/>
      <c r="O2477" s="482"/>
      <c r="P2477" s="508">
        <v>652</v>
      </c>
      <c r="Q2477" s="508" t="s">
        <v>76</v>
      </c>
      <c r="R2477" s="327"/>
      <c r="S2477" s="327"/>
      <c r="T2477" s="327">
        <f>I2477*24</f>
        <v>360</v>
      </c>
    </row>
    <row r="2478" spans="1:20" x14ac:dyDescent="0.25">
      <c r="A2478" t="s">
        <v>3317</v>
      </c>
      <c r="B2478" s="504" t="s">
        <v>123</v>
      </c>
      <c r="C2478" s="445" t="s">
        <v>143</v>
      </c>
      <c r="D2478" s="337">
        <v>360396</v>
      </c>
      <c r="E2478" s="337">
        <v>2812</v>
      </c>
      <c r="F2478" s="338" t="s">
        <v>3540</v>
      </c>
      <c r="G2478" s="339" t="s">
        <v>143</v>
      </c>
      <c r="H2478" s="339" t="s">
        <v>3542</v>
      </c>
      <c r="I2478" s="338">
        <v>15</v>
      </c>
      <c r="J2478" s="338"/>
      <c r="K2478" s="338">
        <v>20</v>
      </c>
      <c r="L2478" s="338">
        <v>1</v>
      </c>
      <c r="M2478" s="338">
        <f t="shared" si="10"/>
        <v>20</v>
      </c>
      <c r="N2478" s="742"/>
      <c r="O2478" s="484"/>
      <c r="P2478" s="510">
        <v>652</v>
      </c>
      <c r="Q2478" s="510" t="s">
        <v>76</v>
      </c>
      <c r="R2478" s="338"/>
      <c r="S2478" s="338"/>
      <c r="T2478" s="338">
        <f>I2478*24</f>
        <v>360</v>
      </c>
    </row>
    <row r="2479" spans="1:20" x14ac:dyDescent="0.25">
      <c r="A2479" t="s">
        <v>3317</v>
      </c>
      <c r="B2479" s="504" t="s">
        <v>123</v>
      </c>
      <c r="C2479" s="445"/>
      <c r="D2479" s="334"/>
      <c r="E2479" s="334"/>
      <c r="F2479" s="335" t="s">
        <v>3543</v>
      </c>
      <c r="G2479" s="336" t="s">
        <v>126</v>
      </c>
      <c r="H2479" s="336" t="s">
        <v>3544</v>
      </c>
      <c r="I2479" s="335">
        <v>15</v>
      </c>
      <c r="J2479" s="335"/>
      <c r="K2479" s="335">
        <v>5</v>
      </c>
      <c r="L2479" s="335">
        <v>1</v>
      </c>
      <c r="M2479" s="335">
        <f t="shared" si="10"/>
        <v>5</v>
      </c>
      <c r="N2479" s="740" t="s">
        <v>3174</v>
      </c>
      <c r="O2479" s="488"/>
      <c r="P2479" s="477">
        <v>651</v>
      </c>
      <c r="Q2479" s="477" t="s">
        <v>19</v>
      </c>
      <c r="R2479" s="335" t="s">
        <v>3159</v>
      </c>
      <c r="S2479" s="335"/>
      <c r="T2479" s="335">
        <f>I2479*24</f>
        <v>360</v>
      </c>
    </row>
    <row r="2480" spans="1:20" x14ac:dyDescent="0.25">
      <c r="A2480" t="s">
        <v>3317</v>
      </c>
      <c r="B2480" s="504" t="s">
        <v>123</v>
      </c>
      <c r="C2480" s="445"/>
      <c r="D2480" s="337"/>
      <c r="E2480" s="337"/>
      <c r="F2480" s="338" t="s">
        <v>3543</v>
      </c>
      <c r="G2480" s="339" t="s">
        <v>129</v>
      </c>
      <c r="H2480" s="339" t="s">
        <v>3545</v>
      </c>
      <c r="I2480" s="338">
        <v>15</v>
      </c>
      <c r="J2480" s="338"/>
      <c r="K2480" s="338">
        <v>5</v>
      </c>
      <c r="L2480" s="338">
        <v>1</v>
      </c>
      <c r="M2480" s="338">
        <f t="shared" si="10"/>
        <v>5</v>
      </c>
      <c r="N2480" s="742"/>
      <c r="O2480" s="484"/>
      <c r="P2480" s="485">
        <v>651</v>
      </c>
      <c r="Q2480" s="485" t="s">
        <v>19</v>
      </c>
      <c r="R2480" s="338"/>
      <c r="S2480" s="338"/>
      <c r="T2480" s="338">
        <f>I2480*24</f>
        <v>360</v>
      </c>
    </row>
    <row r="2481" spans="1:20" x14ac:dyDescent="0.25">
      <c r="A2481" t="s">
        <v>3317</v>
      </c>
      <c r="B2481" s="504" t="s">
        <v>123</v>
      </c>
      <c r="C2481" s="445"/>
      <c r="D2481" s="369"/>
      <c r="E2481" s="369"/>
      <c r="F2481" s="370" t="s">
        <v>3546</v>
      </c>
      <c r="G2481" s="371" t="s">
        <v>137</v>
      </c>
      <c r="H2481" s="371" t="s">
        <v>3547</v>
      </c>
      <c r="I2481" s="370">
        <v>15</v>
      </c>
      <c r="J2481" s="370"/>
      <c r="K2481" s="370">
        <v>5</v>
      </c>
      <c r="L2481" s="370">
        <v>1</v>
      </c>
      <c r="M2481" s="370">
        <f t="shared" si="10"/>
        <v>5</v>
      </c>
      <c r="N2481" s="447" t="s">
        <v>3174</v>
      </c>
      <c r="O2481" s="497"/>
      <c r="P2481" s="536">
        <v>653</v>
      </c>
      <c r="Q2481" s="536" t="s">
        <v>134</v>
      </c>
      <c r="R2481" s="370"/>
      <c r="S2481" s="370"/>
      <c r="T2481" s="370">
        <f>I2481*24</f>
        <v>360</v>
      </c>
    </row>
    <row r="2482" spans="1:20" x14ac:dyDescent="0.25">
      <c r="A2482" t="s">
        <v>3317</v>
      </c>
      <c r="B2482" s="504" t="s">
        <v>123</v>
      </c>
      <c r="C2482" s="445"/>
      <c r="D2482" s="448"/>
      <c r="E2482" s="448"/>
      <c r="F2482" s="383" t="s">
        <v>3548</v>
      </c>
      <c r="G2482" s="339" t="s">
        <v>141</v>
      </c>
      <c r="H2482" s="384" t="s">
        <v>3549</v>
      </c>
      <c r="I2482" s="370">
        <v>15</v>
      </c>
      <c r="J2482" s="370"/>
      <c r="K2482" s="370">
        <v>5</v>
      </c>
      <c r="L2482" s="370">
        <v>1</v>
      </c>
      <c r="M2482" s="370">
        <f t="shared" si="10"/>
        <v>5</v>
      </c>
      <c r="N2482" s="447" t="s">
        <v>3174</v>
      </c>
      <c r="O2482" s="497"/>
      <c r="P2482" s="537">
        <v>652</v>
      </c>
      <c r="Q2482" s="537" t="s">
        <v>76</v>
      </c>
      <c r="R2482" s="370"/>
      <c r="S2482" s="370"/>
      <c r="T2482" s="370">
        <f>I2482*24</f>
        <v>360</v>
      </c>
    </row>
    <row r="2483" spans="1:20" x14ac:dyDescent="0.25">
      <c r="A2483" t="s">
        <v>3317</v>
      </c>
      <c r="B2483" s="504" t="s">
        <v>123</v>
      </c>
      <c r="C2483" s="445"/>
      <c r="D2483" s="334">
        <v>360397</v>
      </c>
      <c r="E2483" s="334">
        <v>2805</v>
      </c>
      <c r="F2483" s="335" t="s">
        <v>3550</v>
      </c>
      <c r="G2483" s="336" t="s">
        <v>126</v>
      </c>
      <c r="H2483" s="336" t="s">
        <v>3551</v>
      </c>
      <c r="I2483" s="335">
        <v>30</v>
      </c>
      <c r="J2483" s="335">
        <v>1</v>
      </c>
      <c r="K2483" s="335">
        <v>15</v>
      </c>
      <c r="L2483" s="335">
        <v>1</v>
      </c>
      <c r="M2483" s="335">
        <f t="shared" si="10"/>
        <v>15</v>
      </c>
      <c r="N2483" s="740" t="s">
        <v>20</v>
      </c>
      <c r="O2483" s="505"/>
      <c r="P2483" s="477">
        <v>651</v>
      </c>
      <c r="Q2483" s="477" t="s">
        <v>19</v>
      </c>
      <c r="R2483" s="335"/>
      <c r="S2483" s="335"/>
      <c r="T2483" s="335">
        <f>I2483*24</f>
        <v>720</v>
      </c>
    </row>
    <row r="2484" spans="1:20" x14ac:dyDescent="0.25">
      <c r="A2484" t="s">
        <v>3317</v>
      </c>
      <c r="B2484" s="504" t="s">
        <v>123</v>
      </c>
      <c r="C2484" s="445"/>
      <c r="D2484" s="337">
        <v>360397</v>
      </c>
      <c r="E2484" s="337">
        <v>2805</v>
      </c>
      <c r="F2484" s="338" t="s">
        <v>3550</v>
      </c>
      <c r="G2484" s="339" t="s">
        <v>129</v>
      </c>
      <c r="H2484" s="339" t="s">
        <v>3552</v>
      </c>
      <c r="I2484" s="338">
        <v>30</v>
      </c>
      <c r="J2484" s="338">
        <v>1</v>
      </c>
      <c r="K2484" s="338">
        <v>15</v>
      </c>
      <c r="L2484" s="338">
        <v>1</v>
      </c>
      <c r="M2484" s="338">
        <f t="shared" si="10"/>
        <v>15</v>
      </c>
      <c r="N2484" s="742"/>
      <c r="O2484" s="509"/>
      <c r="P2484" s="485">
        <v>651</v>
      </c>
      <c r="Q2484" s="485" t="s">
        <v>19</v>
      </c>
      <c r="R2484" s="338"/>
      <c r="S2484" s="338"/>
      <c r="T2484" s="338">
        <f>I2484*24</f>
        <v>720</v>
      </c>
    </row>
    <row r="2485" spans="1:20" x14ac:dyDescent="0.25">
      <c r="A2485" t="s">
        <v>3317</v>
      </c>
      <c r="B2485" s="504" t="s">
        <v>123</v>
      </c>
      <c r="C2485" s="445"/>
      <c r="D2485" s="334">
        <v>360399</v>
      </c>
      <c r="E2485" s="334">
        <v>2814</v>
      </c>
      <c r="F2485" s="335" t="s">
        <v>3553</v>
      </c>
      <c r="G2485" s="336" t="s">
        <v>141</v>
      </c>
      <c r="H2485" s="336" t="s">
        <v>3554</v>
      </c>
      <c r="I2485" s="335">
        <v>30</v>
      </c>
      <c r="J2485" s="335">
        <v>1</v>
      </c>
      <c r="K2485" s="335">
        <v>30</v>
      </c>
      <c r="L2485" s="335">
        <v>1</v>
      </c>
      <c r="M2485" s="335">
        <f t="shared" si="10"/>
        <v>30</v>
      </c>
      <c r="N2485" s="740" t="s">
        <v>20</v>
      </c>
      <c r="O2485" s="488"/>
      <c r="P2485" s="506">
        <v>652</v>
      </c>
      <c r="Q2485" s="506" t="s">
        <v>76</v>
      </c>
      <c r="R2485" s="335"/>
      <c r="S2485" s="335"/>
      <c r="T2485" s="335">
        <f>I2485*24</f>
        <v>720</v>
      </c>
    </row>
    <row r="2486" spans="1:20" x14ac:dyDescent="0.25">
      <c r="A2486" t="s">
        <v>3317</v>
      </c>
      <c r="B2486" s="504" t="s">
        <v>123</v>
      </c>
      <c r="C2486" s="445"/>
      <c r="D2486" s="326">
        <v>360399</v>
      </c>
      <c r="E2486" s="326">
        <v>2814</v>
      </c>
      <c r="F2486" s="327" t="s">
        <v>3553</v>
      </c>
      <c r="G2486" s="328" t="s">
        <v>143</v>
      </c>
      <c r="H2486" s="328" t="s">
        <v>3555</v>
      </c>
      <c r="I2486" s="327">
        <v>30</v>
      </c>
      <c r="J2486" s="327">
        <v>1</v>
      </c>
      <c r="K2486" s="327">
        <v>30</v>
      </c>
      <c r="L2486" s="327">
        <v>1</v>
      </c>
      <c r="M2486" s="327">
        <f t="shared" si="10"/>
        <v>30</v>
      </c>
      <c r="N2486" s="741"/>
      <c r="O2486" s="482"/>
      <c r="P2486" s="508">
        <v>652</v>
      </c>
      <c r="Q2486" s="508" t="s">
        <v>76</v>
      </c>
      <c r="R2486" s="327"/>
      <c r="S2486" s="327"/>
      <c r="T2486" s="327">
        <f>I2486*24</f>
        <v>720</v>
      </c>
    </row>
    <row r="2487" spans="1:20" x14ac:dyDescent="0.25">
      <c r="A2487" t="s">
        <v>3317</v>
      </c>
      <c r="B2487" s="504" t="s">
        <v>123</v>
      </c>
      <c r="C2487" s="445"/>
      <c r="D2487" s="337">
        <v>360399</v>
      </c>
      <c r="E2487" s="337">
        <v>2814</v>
      </c>
      <c r="F2487" s="338" t="s">
        <v>3553</v>
      </c>
      <c r="G2487" s="339" t="s">
        <v>143</v>
      </c>
      <c r="H2487" s="339" t="s">
        <v>3556</v>
      </c>
      <c r="I2487" s="338">
        <v>30</v>
      </c>
      <c r="J2487" s="338">
        <v>1</v>
      </c>
      <c r="K2487" s="338">
        <v>30</v>
      </c>
      <c r="L2487" s="338">
        <v>1</v>
      </c>
      <c r="M2487" s="338">
        <f t="shared" si="10"/>
        <v>30</v>
      </c>
      <c r="N2487" s="742"/>
      <c r="O2487" s="484"/>
      <c r="P2487" s="510">
        <v>652</v>
      </c>
      <c r="Q2487" s="510" t="s">
        <v>76</v>
      </c>
      <c r="R2487" s="338"/>
      <c r="S2487" s="338"/>
      <c r="T2487" s="338">
        <f>I2487*24</f>
        <v>720</v>
      </c>
    </row>
    <row r="2488" spans="1:20" x14ac:dyDescent="0.25">
      <c r="A2488" t="s">
        <v>3317</v>
      </c>
      <c r="B2488" s="504" t="s">
        <v>123</v>
      </c>
      <c r="C2488" s="445"/>
      <c r="D2488" s="334">
        <v>360398</v>
      </c>
      <c r="E2488" s="334">
        <v>2813</v>
      </c>
      <c r="F2488" s="335" t="s">
        <v>3557</v>
      </c>
      <c r="G2488" s="336" t="s">
        <v>3558</v>
      </c>
      <c r="H2488" s="336" t="s">
        <v>3559</v>
      </c>
      <c r="I2488" s="335">
        <v>30</v>
      </c>
      <c r="J2488" s="335">
        <v>1</v>
      </c>
      <c r="K2488" s="335">
        <v>30</v>
      </c>
      <c r="L2488" s="335">
        <v>1</v>
      </c>
      <c r="M2488" s="335">
        <f t="shared" si="10"/>
        <v>30</v>
      </c>
      <c r="N2488" s="740" t="s">
        <v>20</v>
      </c>
      <c r="O2488" s="488"/>
      <c r="P2488" s="538">
        <v>653</v>
      </c>
      <c r="Q2488" s="538" t="s">
        <v>134</v>
      </c>
      <c r="R2488" s="335"/>
      <c r="S2488" s="335"/>
      <c r="T2488" s="335">
        <f>I2488*24</f>
        <v>720</v>
      </c>
    </row>
    <row r="2489" spans="1:20" x14ac:dyDescent="0.25">
      <c r="A2489" t="s">
        <v>3317</v>
      </c>
      <c r="B2489" s="504" t="s">
        <v>123</v>
      </c>
      <c r="C2489" s="445"/>
      <c r="D2489" s="326">
        <v>360398</v>
      </c>
      <c r="E2489" s="326">
        <v>2813</v>
      </c>
      <c r="F2489" s="327" t="s">
        <v>3557</v>
      </c>
      <c r="G2489" s="328" t="s">
        <v>3558</v>
      </c>
      <c r="H2489" s="328" t="s">
        <v>3560</v>
      </c>
      <c r="I2489" s="327">
        <v>30</v>
      </c>
      <c r="J2489" s="327">
        <v>1</v>
      </c>
      <c r="K2489" s="327">
        <v>30</v>
      </c>
      <c r="L2489" s="327">
        <v>1</v>
      </c>
      <c r="M2489" s="327">
        <f t="shared" si="10"/>
        <v>30</v>
      </c>
      <c r="N2489" s="741"/>
      <c r="O2489" s="482"/>
      <c r="P2489" s="534">
        <v>653</v>
      </c>
      <c r="Q2489" s="534" t="s">
        <v>134</v>
      </c>
      <c r="R2489" s="327"/>
      <c r="S2489" s="327"/>
      <c r="T2489" s="327">
        <f>I2489*24</f>
        <v>720</v>
      </c>
    </row>
    <row r="2490" spans="1:20" x14ac:dyDescent="0.25">
      <c r="A2490" t="s">
        <v>3317</v>
      </c>
      <c r="B2490" s="504" t="s">
        <v>123</v>
      </c>
      <c r="C2490" s="445"/>
      <c r="D2490" s="326">
        <v>360398</v>
      </c>
      <c r="E2490" s="326">
        <v>2813</v>
      </c>
      <c r="F2490" s="327" t="s">
        <v>3557</v>
      </c>
      <c r="G2490" s="328" t="s">
        <v>3558</v>
      </c>
      <c r="H2490" s="328" t="s">
        <v>3561</v>
      </c>
      <c r="I2490" s="327">
        <v>30</v>
      </c>
      <c r="J2490" s="327">
        <v>1</v>
      </c>
      <c r="K2490" s="327">
        <v>30</v>
      </c>
      <c r="L2490" s="327">
        <v>1</v>
      </c>
      <c r="M2490" s="327">
        <f t="shared" si="10"/>
        <v>30</v>
      </c>
      <c r="N2490" s="741"/>
      <c r="O2490" s="482"/>
      <c r="P2490" s="534">
        <v>653</v>
      </c>
      <c r="Q2490" s="534" t="s">
        <v>134</v>
      </c>
      <c r="R2490" s="327"/>
      <c r="S2490" s="327"/>
      <c r="T2490" s="327">
        <f>I2490*24</f>
        <v>720</v>
      </c>
    </row>
    <row r="2491" spans="1:20" x14ac:dyDescent="0.25">
      <c r="A2491" t="s">
        <v>3317</v>
      </c>
      <c r="B2491" s="504" t="s">
        <v>123</v>
      </c>
      <c r="C2491" s="445"/>
      <c r="D2491" s="326">
        <v>360398</v>
      </c>
      <c r="E2491" s="326">
        <v>2813</v>
      </c>
      <c r="F2491" s="327" t="s">
        <v>3557</v>
      </c>
      <c r="G2491" s="328" t="s">
        <v>3558</v>
      </c>
      <c r="H2491" s="328" t="s">
        <v>3562</v>
      </c>
      <c r="I2491" s="327">
        <v>30</v>
      </c>
      <c r="J2491" s="327">
        <v>1</v>
      </c>
      <c r="K2491" s="327">
        <v>30</v>
      </c>
      <c r="L2491" s="327">
        <v>1</v>
      </c>
      <c r="M2491" s="327">
        <f t="shared" si="10"/>
        <v>30</v>
      </c>
      <c r="N2491" s="741"/>
      <c r="O2491" s="482"/>
      <c r="P2491" s="534">
        <v>653</v>
      </c>
      <c r="Q2491" s="534" t="s">
        <v>134</v>
      </c>
      <c r="R2491" s="327"/>
      <c r="S2491" s="327"/>
      <c r="T2491" s="327">
        <f>I2491*24</f>
        <v>720</v>
      </c>
    </row>
    <row r="2492" spans="1:20" x14ac:dyDescent="0.25">
      <c r="A2492" t="s">
        <v>3317</v>
      </c>
      <c r="B2492" s="504" t="s">
        <v>123</v>
      </c>
      <c r="C2492" s="445"/>
      <c r="D2492" s="326">
        <v>360398</v>
      </c>
      <c r="E2492" s="326">
        <v>2813</v>
      </c>
      <c r="F2492" s="327" t="s">
        <v>3557</v>
      </c>
      <c r="G2492" s="328" t="s">
        <v>3558</v>
      </c>
      <c r="H2492" s="328" t="s">
        <v>3563</v>
      </c>
      <c r="I2492" s="327">
        <v>30</v>
      </c>
      <c r="J2492" s="327">
        <v>1</v>
      </c>
      <c r="K2492" s="327">
        <v>30</v>
      </c>
      <c r="L2492" s="327">
        <v>1</v>
      </c>
      <c r="M2492" s="327">
        <f t="shared" si="10"/>
        <v>30</v>
      </c>
      <c r="N2492" s="741"/>
      <c r="O2492" s="482"/>
      <c r="P2492" s="534">
        <v>653</v>
      </c>
      <c r="Q2492" s="534" t="s">
        <v>134</v>
      </c>
      <c r="R2492" s="327" t="s">
        <v>3330</v>
      </c>
      <c r="S2492" s="327"/>
      <c r="T2492" s="327">
        <f>I2492*24</f>
        <v>720</v>
      </c>
    </row>
    <row r="2493" spans="1:20" x14ac:dyDescent="0.25">
      <c r="A2493" t="s">
        <v>3317</v>
      </c>
      <c r="B2493" s="504" t="s">
        <v>123</v>
      </c>
      <c r="C2493" s="445"/>
      <c r="D2493" s="326">
        <v>360398</v>
      </c>
      <c r="E2493" s="326">
        <v>2813</v>
      </c>
      <c r="F2493" s="327" t="s">
        <v>3557</v>
      </c>
      <c r="G2493" s="328" t="s">
        <v>3558</v>
      </c>
      <c r="H2493" s="328" t="s">
        <v>3564</v>
      </c>
      <c r="I2493" s="327">
        <v>30</v>
      </c>
      <c r="J2493" s="327">
        <v>1</v>
      </c>
      <c r="K2493" s="327">
        <v>30</v>
      </c>
      <c r="L2493" s="327">
        <v>1</v>
      </c>
      <c r="M2493" s="327">
        <f t="shared" si="10"/>
        <v>30</v>
      </c>
      <c r="N2493" s="741"/>
      <c r="O2493" s="482"/>
      <c r="P2493" s="534">
        <v>653</v>
      </c>
      <c r="Q2493" s="534" t="s">
        <v>134</v>
      </c>
      <c r="R2493" s="327"/>
      <c r="S2493" s="327"/>
      <c r="T2493" s="327">
        <f>I2493*24</f>
        <v>720</v>
      </c>
    </row>
    <row r="2494" spans="1:20" x14ac:dyDescent="0.25">
      <c r="A2494" t="s">
        <v>3317</v>
      </c>
      <c r="B2494" s="504" t="s">
        <v>123</v>
      </c>
      <c r="C2494" s="445"/>
      <c r="D2494" s="326">
        <v>360398</v>
      </c>
      <c r="E2494" s="326">
        <v>2813</v>
      </c>
      <c r="F2494" s="327" t="s">
        <v>3557</v>
      </c>
      <c r="G2494" s="328" t="s">
        <v>137</v>
      </c>
      <c r="H2494" s="328" t="s">
        <v>3565</v>
      </c>
      <c r="I2494" s="327">
        <v>30</v>
      </c>
      <c r="J2494" s="327">
        <v>1</v>
      </c>
      <c r="K2494" s="327">
        <v>30</v>
      </c>
      <c r="L2494" s="327">
        <v>1</v>
      </c>
      <c r="M2494" s="327">
        <f t="shared" si="10"/>
        <v>30</v>
      </c>
      <c r="N2494" s="741"/>
      <c r="O2494" s="482"/>
      <c r="P2494" s="534">
        <v>653</v>
      </c>
      <c r="Q2494" s="534" t="s">
        <v>134</v>
      </c>
      <c r="R2494" s="327"/>
      <c r="S2494" s="327"/>
      <c r="T2494" s="327">
        <f>I2494*24</f>
        <v>720</v>
      </c>
    </row>
    <row r="2495" spans="1:20" x14ac:dyDescent="0.25">
      <c r="A2495" t="s">
        <v>3317</v>
      </c>
      <c r="B2495" s="504" t="s">
        <v>123</v>
      </c>
      <c r="C2495" s="445"/>
      <c r="D2495" s="337">
        <v>360398</v>
      </c>
      <c r="E2495" s="337">
        <v>2813</v>
      </c>
      <c r="F2495" s="338" t="s">
        <v>3557</v>
      </c>
      <c r="G2495" s="339" t="s">
        <v>3535</v>
      </c>
      <c r="H2495" s="339" t="s">
        <v>3566</v>
      </c>
      <c r="I2495" s="338">
        <v>30</v>
      </c>
      <c r="J2495" s="338">
        <v>1</v>
      </c>
      <c r="K2495" s="338">
        <v>30</v>
      </c>
      <c r="L2495" s="338">
        <v>1</v>
      </c>
      <c r="M2495" s="338">
        <f t="shared" si="10"/>
        <v>30</v>
      </c>
      <c r="N2495" s="742"/>
      <c r="O2495" s="484"/>
      <c r="P2495" s="535">
        <v>653</v>
      </c>
      <c r="Q2495" s="535" t="s">
        <v>134</v>
      </c>
      <c r="R2495" s="338"/>
      <c r="S2495" s="338"/>
      <c r="T2495" s="338">
        <f>I2495*24</f>
        <v>720</v>
      </c>
    </row>
    <row r="2496" spans="1:20" x14ac:dyDescent="0.25">
      <c r="A2496" t="s">
        <v>3317</v>
      </c>
      <c r="B2496" s="504" t="s">
        <v>123</v>
      </c>
      <c r="C2496" s="445"/>
      <c r="D2496" s="334">
        <v>360400</v>
      </c>
      <c r="E2496" s="334">
        <v>2815</v>
      </c>
      <c r="F2496" s="335" t="s">
        <v>3567</v>
      </c>
      <c r="G2496" s="336" t="s">
        <v>143</v>
      </c>
      <c r="H2496" s="336" t="s">
        <v>3568</v>
      </c>
      <c r="I2496" s="335">
        <v>60</v>
      </c>
      <c r="J2496" s="335">
        <v>1</v>
      </c>
      <c r="K2496" s="335">
        <v>10</v>
      </c>
      <c r="L2496" s="335">
        <v>1</v>
      </c>
      <c r="M2496" s="335">
        <f t="shared" si="10"/>
        <v>10</v>
      </c>
      <c r="N2496" s="740" t="s">
        <v>3174</v>
      </c>
      <c r="O2496" s="488"/>
      <c r="P2496" s="506">
        <v>652</v>
      </c>
      <c r="Q2496" s="506" t="s">
        <v>76</v>
      </c>
      <c r="R2496" s="335"/>
      <c r="S2496" s="335"/>
      <c r="T2496" s="335">
        <f>I2496*24</f>
        <v>1440</v>
      </c>
    </row>
    <row r="2497" spans="1:20" x14ac:dyDescent="0.25">
      <c r="A2497" t="s">
        <v>3317</v>
      </c>
      <c r="B2497" s="504" t="s">
        <v>123</v>
      </c>
      <c r="C2497" s="445"/>
      <c r="D2497" s="326">
        <v>360400</v>
      </c>
      <c r="E2497" s="326">
        <v>2815</v>
      </c>
      <c r="F2497" s="327" t="s">
        <v>3567</v>
      </c>
      <c r="G2497" s="328" t="s">
        <v>143</v>
      </c>
      <c r="H2497" s="328" t="s">
        <v>3569</v>
      </c>
      <c r="I2497" s="327">
        <v>60</v>
      </c>
      <c r="J2497" s="327">
        <v>1</v>
      </c>
      <c r="K2497" s="327">
        <v>10</v>
      </c>
      <c r="L2497" s="327">
        <v>1</v>
      </c>
      <c r="M2497" s="327">
        <f t="shared" si="10"/>
        <v>10</v>
      </c>
      <c r="N2497" s="751"/>
      <c r="O2497" s="482"/>
      <c r="P2497" s="508">
        <v>652</v>
      </c>
      <c r="Q2497" s="508" t="s">
        <v>76</v>
      </c>
      <c r="R2497" s="327"/>
      <c r="S2497" s="327"/>
      <c r="T2497" s="327">
        <f>I2497*24</f>
        <v>1440</v>
      </c>
    </row>
    <row r="2498" spans="1:20" x14ac:dyDescent="0.25">
      <c r="A2498" t="s">
        <v>3317</v>
      </c>
      <c r="B2498" s="504" t="s">
        <v>123</v>
      </c>
      <c r="C2498" s="445"/>
      <c r="D2498" s="337">
        <v>360400</v>
      </c>
      <c r="E2498" s="337">
        <v>2815</v>
      </c>
      <c r="F2498" s="338" t="s">
        <v>3567</v>
      </c>
      <c r="G2498" s="339" t="s">
        <v>143</v>
      </c>
      <c r="H2498" s="339" t="s">
        <v>3570</v>
      </c>
      <c r="I2498" s="338">
        <v>60</v>
      </c>
      <c r="J2498" s="338">
        <v>1</v>
      </c>
      <c r="K2498" s="338">
        <v>10</v>
      </c>
      <c r="L2498" s="338">
        <v>1</v>
      </c>
      <c r="M2498" s="338">
        <f t="shared" si="10"/>
        <v>10</v>
      </c>
      <c r="N2498" s="744"/>
      <c r="O2498" s="484"/>
      <c r="P2498" s="510">
        <v>652</v>
      </c>
      <c r="Q2498" s="510" t="s">
        <v>76</v>
      </c>
      <c r="R2498" s="338"/>
      <c r="S2498" s="338"/>
      <c r="T2498" s="338">
        <f>I2498*24</f>
        <v>1440</v>
      </c>
    </row>
    <row r="2499" spans="1:20" x14ac:dyDescent="0.25">
      <c r="A2499" t="s">
        <v>3317</v>
      </c>
      <c r="B2499" s="504" t="s">
        <v>123</v>
      </c>
      <c r="C2499" s="445"/>
      <c r="D2499" s="334">
        <v>360401</v>
      </c>
      <c r="E2499" s="334">
        <v>2816</v>
      </c>
      <c r="F2499" s="335" t="s">
        <v>3571</v>
      </c>
      <c r="G2499" s="336" t="s">
        <v>3558</v>
      </c>
      <c r="H2499" s="336" t="s">
        <v>3572</v>
      </c>
      <c r="I2499" s="335">
        <v>60</v>
      </c>
      <c r="J2499" s="335">
        <v>1</v>
      </c>
      <c r="K2499" s="335">
        <v>30</v>
      </c>
      <c r="L2499" s="335">
        <v>1</v>
      </c>
      <c r="M2499" s="335">
        <f t="shared" si="10"/>
        <v>30</v>
      </c>
      <c r="N2499" s="740" t="s">
        <v>3174</v>
      </c>
      <c r="O2499" s="488"/>
      <c r="P2499" s="538">
        <v>653</v>
      </c>
      <c r="Q2499" s="538" t="s">
        <v>134</v>
      </c>
      <c r="R2499" s="335"/>
      <c r="S2499" s="335"/>
      <c r="T2499" s="335">
        <f>I2499*24</f>
        <v>1440</v>
      </c>
    </row>
    <row r="2500" spans="1:20" x14ac:dyDescent="0.25">
      <c r="A2500" t="s">
        <v>3317</v>
      </c>
      <c r="B2500" s="504" t="s">
        <v>123</v>
      </c>
      <c r="C2500" s="445"/>
      <c r="D2500" s="340">
        <v>360401</v>
      </c>
      <c r="E2500" s="340">
        <v>2816</v>
      </c>
      <c r="F2500" s="341" t="s">
        <v>3571</v>
      </c>
      <c r="G2500" s="342" t="s">
        <v>3558</v>
      </c>
      <c r="H2500" s="331" t="s">
        <v>3573</v>
      </c>
      <c r="I2500" s="341">
        <v>60</v>
      </c>
      <c r="J2500" s="341">
        <v>1</v>
      </c>
      <c r="K2500" s="341">
        <v>30</v>
      </c>
      <c r="L2500" s="341">
        <v>1</v>
      </c>
      <c r="M2500" s="341">
        <f t="shared" si="10"/>
        <v>30</v>
      </c>
      <c r="N2500" s="741"/>
      <c r="O2500" s="492"/>
      <c r="P2500" s="539">
        <v>653</v>
      </c>
      <c r="Q2500" s="539" t="s">
        <v>134</v>
      </c>
      <c r="R2500" s="341"/>
      <c r="S2500" s="341"/>
      <c r="T2500" s="341">
        <f>I2500*24</f>
        <v>1440</v>
      </c>
    </row>
    <row r="2501" spans="1:20" x14ac:dyDescent="0.25">
      <c r="A2501" t="s">
        <v>3317</v>
      </c>
      <c r="B2501" s="504" t="s">
        <v>123</v>
      </c>
      <c r="C2501" s="445" t="s">
        <v>966</v>
      </c>
      <c r="D2501" s="340">
        <v>360401</v>
      </c>
      <c r="E2501" s="340">
        <v>2816</v>
      </c>
      <c r="F2501" s="341" t="s">
        <v>3571</v>
      </c>
      <c r="G2501" s="342" t="s">
        <v>3558</v>
      </c>
      <c r="H2501" s="328" t="s">
        <v>3574</v>
      </c>
      <c r="I2501" s="341">
        <v>60</v>
      </c>
      <c r="J2501" s="341">
        <v>1</v>
      </c>
      <c r="K2501" s="341">
        <v>30</v>
      </c>
      <c r="L2501" s="341">
        <v>1</v>
      </c>
      <c r="M2501" s="341">
        <f t="shared" si="10"/>
        <v>30</v>
      </c>
      <c r="N2501" s="742"/>
      <c r="O2501" s="492"/>
      <c r="P2501" s="539">
        <v>653</v>
      </c>
      <c r="Q2501" s="539" t="s">
        <v>134</v>
      </c>
      <c r="R2501" s="341"/>
      <c r="S2501" s="341"/>
      <c r="T2501" s="341">
        <f>I2501*24</f>
        <v>1440</v>
      </c>
    </row>
    <row r="2502" spans="1:20" x14ac:dyDescent="0.25">
      <c r="A2502" t="s">
        <v>3317</v>
      </c>
      <c r="B2502" s="504" t="s">
        <v>123</v>
      </c>
      <c r="C2502" s="445" t="s">
        <v>966</v>
      </c>
      <c r="D2502" s="334">
        <v>360402</v>
      </c>
      <c r="E2502" s="334">
        <v>2817</v>
      </c>
      <c r="F2502" s="335" t="s">
        <v>3575</v>
      </c>
      <c r="G2502" s="336" t="s">
        <v>3558</v>
      </c>
      <c r="H2502" s="336" t="s">
        <v>3576</v>
      </c>
      <c r="I2502" s="335">
        <v>180</v>
      </c>
      <c r="J2502" s="335">
        <v>1</v>
      </c>
      <c r="K2502" s="335">
        <v>45</v>
      </c>
      <c r="L2502" s="335">
        <v>1</v>
      </c>
      <c r="M2502" s="335">
        <f t="shared" si="10"/>
        <v>45</v>
      </c>
      <c r="N2502" s="740" t="s">
        <v>3174</v>
      </c>
      <c r="O2502" s="488"/>
      <c r="P2502" s="506">
        <v>653</v>
      </c>
      <c r="Q2502" s="506" t="s">
        <v>134</v>
      </c>
      <c r="R2502" s="335" t="s">
        <v>3251</v>
      </c>
      <c r="S2502" s="335"/>
      <c r="T2502" s="335">
        <f>I2502*24</f>
        <v>4320</v>
      </c>
    </row>
    <row r="2503" spans="1:20" x14ac:dyDescent="0.25">
      <c r="A2503" t="s">
        <v>3317</v>
      </c>
      <c r="B2503" s="504" t="s">
        <v>123</v>
      </c>
      <c r="C2503" s="445" t="s">
        <v>966</v>
      </c>
      <c r="D2503" s="326">
        <v>360402</v>
      </c>
      <c r="E2503" s="326">
        <v>2817</v>
      </c>
      <c r="F2503" s="327" t="s">
        <v>3575</v>
      </c>
      <c r="G2503" s="328" t="s">
        <v>3558</v>
      </c>
      <c r="H2503" s="328" t="s">
        <v>3577</v>
      </c>
      <c r="I2503" s="327">
        <v>180</v>
      </c>
      <c r="J2503" s="327">
        <v>1</v>
      </c>
      <c r="K2503" s="327">
        <v>45</v>
      </c>
      <c r="L2503" s="327">
        <v>1</v>
      </c>
      <c r="M2503" s="327">
        <f t="shared" si="10"/>
        <v>45</v>
      </c>
      <c r="N2503" s="741"/>
      <c r="O2503" s="482"/>
      <c r="P2503" s="508">
        <v>653</v>
      </c>
      <c r="Q2503" s="508" t="s">
        <v>134</v>
      </c>
      <c r="R2503" s="327" t="s">
        <v>3251</v>
      </c>
      <c r="S2503" s="327"/>
      <c r="T2503" s="327">
        <f>I2503*24</f>
        <v>4320</v>
      </c>
    </row>
    <row r="2504" spans="1:20" x14ac:dyDescent="0.25">
      <c r="A2504" t="s">
        <v>3317</v>
      </c>
      <c r="B2504" s="504" t="s">
        <v>123</v>
      </c>
      <c r="C2504" s="445"/>
      <c r="D2504" s="326">
        <v>360402</v>
      </c>
      <c r="E2504" s="326">
        <v>2817</v>
      </c>
      <c r="F2504" s="327" t="s">
        <v>3575</v>
      </c>
      <c r="G2504" s="328" t="s">
        <v>3535</v>
      </c>
      <c r="H2504" s="328" t="s">
        <v>3578</v>
      </c>
      <c r="I2504" s="327">
        <v>180</v>
      </c>
      <c r="J2504" s="327">
        <v>1</v>
      </c>
      <c r="K2504" s="327">
        <v>45</v>
      </c>
      <c r="L2504" s="327">
        <v>1</v>
      </c>
      <c r="M2504" s="327">
        <f t="shared" si="10"/>
        <v>45</v>
      </c>
      <c r="N2504" s="741"/>
      <c r="O2504" s="482"/>
      <c r="P2504" s="508">
        <v>653</v>
      </c>
      <c r="Q2504" s="508" t="s">
        <v>134</v>
      </c>
      <c r="R2504" s="327"/>
      <c r="S2504" s="327"/>
      <c r="T2504" s="327">
        <f>I2504*24</f>
        <v>4320</v>
      </c>
    </row>
    <row r="2505" spans="1:20" x14ac:dyDescent="0.25">
      <c r="A2505" t="s">
        <v>3317</v>
      </c>
      <c r="B2505" s="504" t="s">
        <v>123</v>
      </c>
      <c r="C2505" s="445"/>
      <c r="D2505" s="337">
        <v>360402</v>
      </c>
      <c r="E2505" s="337">
        <v>2817</v>
      </c>
      <c r="F2505" s="338" t="s">
        <v>3575</v>
      </c>
      <c r="G2505" s="339" t="s">
        <v>137</v>
      </c>
      <c r="H2505" s="339" t="s">
        <v>3579</v>
      </c>
      <c r="I2505" s="338">
        <v>180</v>
      </c>
      <c r="J2505" s="338">
        <v>1</v>
      </c>
      <c r="K2505" s="338">
        <v>45</v>
      </c>
      <c r="L2505" s="338">
        <v>1</v>
      </c>
      <c r="M2505" s="338">
        <f t="shared" si="10"/>
        <v>45</v>
      </c>
      <c r="N2505" s="742"/>
      <c r="O2505" s="484"/>
      <c r="P2505" s="510">
        <v>653</v>
      </c>
      <c r="Q2505" s="510" t="s">
        <v>134</v>
      </c>
      <c r="R2505" s="338"/>
      <c r="S2505" s="338"/>
      <c r="T2505" s="338">
        <f>I2505*24</f>
        <v>4320</v>
      </c>
    </row>
    <row r="2506" spans="1:20" x14ac:dyDescent="0.25">
      <c r="A2506" t="s">
        <v>3317</v>
      </c>
      <c r="B2506" s="504" t="s">
        <v>123</v>
      </c>
      <c r="C2506" s="445" t="s">
        <v>966</v>
      </c>
      <c r="D2506" s="334">
        <v>360403</v>
      </c>
      <c r="E2506" s="334">
        <v>2818</v>
      </c>
      <c r="F2506" s="335" t="s">
        <v>3580</v>
      </c>
      <c r="G2506" s="336" t="s">
        <v>126</v>
      </c>
      <c r="H2506" s="336" t="s">
        <v>3581</v>
      </c>
      <c r="I2506" s="335">
        <v>180</v>
      </c>
      <c r="J2506" s="335">
        <v>1</v>
      </c>
      <c r="K2506" s="335">
        <v>60</v>
      </c>
      <c r="L2506" s="335">
        <v>1</v>
      </c>
      <c r="M2506" s="335">
        <f t="shared" si="10"/>
        <v>60</v>
      </c>
      <c r="N2506" s="740" t="s">
        <v>3174</v>
      </c>
      <c r="O2506" s="488"/>
      <c r="P2506" s="477">
        <v>651</v>
      </c>
      <c r="Q2506" s="477" t="s">
        <v>19</v>
      </c>
      <c r="R2506" s="335" t="s">
        <v>3582</v>
      </c>
      <c r="S2506" s="335"/>
      <c r="T2506" s="335">
        <f>I2506*24</f>
        <v>4320</v>
      </c>
    </row>
    <row r="2507" spans="1:20" x14ac:dyDescent="0.25">
      <c r="A2507" t="s">
        <v>3317</v>
      </c>
      <c r="B2507" s="504" t="s">
        <v>123</v>
      </c>
      <c r="C2507" s="445"/>
      <c r="D2507" s="337">
        <v>360403</v>
      </c>
      <c r="E2507" s="337">
        <v>2818</v>
      </c>
      <c r="F2507" s="338" t="s">
        <v>3580</v>
      </c>
      <c r="G2507" s="339" t="s">
        <v>129</v>
      </c>
      <c r="H2507" s="339" t="s">
        <v>3583</v>
      </c>
      <c r="I2507" s="338">
        <v>180</v>
      </c>
      <c r="J2507" s="338">
        <v>1</v>
      </c>
      <c r="K2507" s="338">
        <v>60</v>
      </c>
      <c r="L2507" s="338">
        <v>1</v>
      </c>
      <c r="M2507" s="338">
        <f t="shared" si="10"/>
        <v>60</v>
      </c>
      <c r="N2507" s="742"/>
      <c r="O2507" s="484"/>
      <c r="P2507" s="485">
        <v>651</v>
      </c>
      <c r="Q2507" s="485" t="s">
        <v>19</v>
      </c>
      <c r="R2507" s="338"/>
      <c r="S2507" s="338"/>
      <c r="T2507" s="338">
        <f>I2507*24</f>
        <v>4320</v>
      </c>
    </row>
    <row r="2508" spans="1:20" x14ac:dyDescent="0.25">
      <c r="A2508" t="s">
        <v>3317</v>
      </c>
      <c r="B2508" s="504" t="s">
        <v>123</v>
      </c>
      <c r="C2508" s="445"/>
      <c r="D2508" s="334">
        <v>360404</v>
      </c>
      <c r="E2508" s="334">
        <v>2819</v>
      </c>
      <c r="F2508" s="335" t="s">
        <v>3584</v>
      </c>
      <c r="G2508" s="336" t="s">
        <v>141</v>
      </c>
      <c r="H2508" s="336" t="s">
        <v>3585</v>
      </c>
      <c r="I2508" s="335">
        <v>180</v>
      </c>
      <c r="J2508" s="335">
        <v>1</v>
      </c>
      <c r="K2508" s="335">
        <v>60</v>
      </c>
      <c r="L2508" s="335">
        <v>1</v>
      </c>
      <c r="M2508" s="335">
        <f t="shared" si="10"/>
        <v>60</v>
      </c>
      <c r="N2508" s="740" t="s">
        <v>3174</v>
      </c>
      <c r="O2508" s="488"/>
      <c r="P2508" s="506">
        <v>652</v>
      </c>
      <c r="Q2508" s="506" t="s">
        <v>76</v>
      </c>
      <c r="R2508" s="335"/>
      <c r="S2508" s="335"/>
      <c r="T2508" s="335">
        <f>I2508*24</f>
        <v>4320</v>
      </c>
    </row>
    <row r="2509" spans="1:20" x14ac:dyDescent="0.25">
      <c r="A2509" t="s">
        <v>3317</v>
      </c>
      <c r="B2509" s="504" t="s">
        <v>123</v>
      </c>
      <c r="C2509" s="445"/>
      <c r="D2509" s="337">
        <v>360404</v>
      </c>
      <c r="E2509" s="337">
        <v>2819</v>
      </c>
      <c r="F2509" s="338" t="s">
        <v>3584</v>
      </c>
      <c r="G2509" s="339" t="s">
        <v>143</v>
      </c>
      <c r="H2509" s="339" t="s">
        <v>3586</v>
      </c>
      <c r="I2509" s="338">
        <v>180</v>
      </c>
      <c r="J2509" s="338">
        <v>1</v>
      </c>
      <c r="K2509" s="338">
        <v>60</v>
      </c>
      <c r="L2509" s="338">
        <v>1</v>
      </c>
      <c r="M2509" s="338">
        <f t="shared" si="10"/>
        <v>60</v>
      </c>
      <c r="N2509" s="742"/>
      <c r="O2509" s="484"/>
      <c r="P2509" s="510">
        <v>652</v>
      </c>
      <c r="Q2509" s="510" t="s">
        <v>76</v>
      </c>
      <c r="R2509" s="338"/>
      <c r="S2509" s="338"/>
      <c r="T2509" s="338">
        <f>I2509*24</f>
        <v>4320</v>
      </c>
    </row>
    <row r="2510" spans="1:20" x14ac:dyDescent="0.25">
      <c r="A2510" t="s">
        <v>3317</v>
      </c>
      <c r="B2510" s="504" t="s">
        <v>123</v>
      </c>
      <c r="C2510" s="445"/>
      <c r="D2510" s="334">
        <v>360405</v>
      </c>
      <c r="E2510" s="334">
        <v>2820</v>
      </c>
      <c r="F2510" s="335" t="s">
        <v>3587</v>
      </c>
      <c r="G2510" s="336" t="s">
        <v>143</v>
      </c>
      <c r="H2510" s="336" t="s">
        <v>3588</v>
      </c>
      <c r="I2510" s="335">
        <v>180</v>
      </c>
      <c r="J2510" s="335">
        <v>1</v>
      </c>
      <c r="K2510" s="335">
        <v>120</v>
      </c>
      <c r="L2510" s="335">
        <v>1</v>
      </c>
      <c r="M2510" s="335">
        <f t="shared" si="10"/>
        <v>120</v>
      </c>
      <c r="N2510" s="740" t="s">
        <v>468</v>
      </c>
      <c r="O2510" s="488"/>
      <c r="P2510" s="506">
        <v>652</v>
      </c>
      <c r="Q2510" s="506" t="s">
        <v>76</v>
      </c>
      <c r="R2510" s="335"/>
      <c r="S2510" s="335"/>
      <c r="T2510" s="335">
        <f>I2510*24</f>
        <v>4320</v>
      </c>
    </row>
    <row r="2511" spans="1:20" x14ac:dyDescent="0.25">
      <c r="A2511" t="s">
        <v>3317</v>
      </c>
      <c r="B2511" s="504" t="s">
        <v>123</v>
      </c>
      <c r="C2511" s="445"/>
      <c r="D2511" s="337">
        <v>360405</v>
      </c>
      <c r="E2511" s="337">
        <v>2820</v>
      </c>
      <c r="F2511" s="338" t="s">
        <v>3587</v>
      </c>
      <c r="G2511" s="339" t="s">
        <v>143</v>
      </c>
      <c r="H2511" s="339" t="s">
        <v>3589</v>
      </c>
      <c r="I2511" s="338">
        <v>180</v>
      </c>
      <c r="J2511" s="338">
        <v>1</v>
      </c>
      <c r="K2511" s="338">
        <v>120</v>
      </c>
      <c r="L2511" s="338">
        <v>1</v>
      </c>
      <c r="M2511" s="338">
        <f t="shared" si="10"/>
        <v>120</v>
      </c>
      <c r="N2511" s="744"/>
      <c r="O2511" s="484"/>
      <c r="P2511" s="510">
        <v>652</v>
      </c>
      <c r="Q2511" s="510" t="s">
        <v>76</v>
      </c>
      <c r="R2511" s="338"/>
      <c r="S2511" s="338"/>
      <c r="T2511" s="338">
        <f>I2511*24</f>
        <v>4320</v>
      </c>
    </row>
    <row r="2512" spans="1:20" x14ac:dyDescent="0.25">
      <c r="A2512" t="s">
        <v>3317</v>
      </c>
      <c r="B2512" s="504" t="s">
        <v>123</v>
      </c>
      <c r="C2512" s="540"/>
      <c r="D2512" s="448">
        <v>360406</v>
      </c>
      <c r="E2512" s="448">
        <v>2821</v>
      </c>
      <c r="F2512" s="383" t="s">
        <v>3590</v>
      </c>
      <c r="G2512" s="384" t="s">
        <v>3558</v>
      </c>
      <c r="H2512" s="371" t="s">
        <v>3591</v>
      </c>
      <c r="I2512" s="383">
        <v>180</v>
      </c>
      <c r="J2512" s="383">
        <v>1</v>
      </c>
      <c r="K2512" s="383">
        <v>120</v>
      </c>
      <c r="L2512" s="383">
        <v>1</v>
      </c>
      <c r="M2512" s="383">
        <f t="shared" si="10"/>
        <v>120</v>
      </c>
      <c r="N2512" s="450" t="s">
        <v>468</v>
      </c>
      <c r="O2512" s="514"/>
      <c r="P2512" s="541">
        <v>653</v>
      </c>
      <c r="Q2512" s="541" t="s">
        <v>134</v>
      </c>
      <c r="R2512" s="383"/>
      <c r="S2512" s="383"/>
      <c r="T2512" s="383">
        <v>4320</v>
      </c>
    </row>
    <row r="2513" spans="1:19" x14ac:dyDescent="0.25">
      <c r="A2513" t="s">
        <v>3317</v>
      </c>
      <c r="B2513" s="464" t="s">
        <v>504</v>
      </c>
      <c r="C2513" s="465"/>
      <c r="D2513" s="417">
        <v>345664</v>
      </c>
      <c r="E2513" s="417">
        <f>VLOOKUP(D2513,'[1]Task list &amp; Maintenace plan'!$B:$G,6,FALSE)</f>
        <v>1182</v>
      </c>
      <c r="F2513" s="417" t="s">
        <v>3592</v>
      </c>
      <c r="G2513" s="420" t="s">
        <v>518</v>
      </c>
      <c r="H2513" s="420" t="s">
        <v>3593</v>
      </c>
      <c r="I2513" s="421">
        <v>15</v>
      </c>
      <c r="J2513" s="733"/>
      <c r="K2513" s="733">
        <v>30</v>
      </c>
      <c r="L2513" s="733">
        <v>1</v>
      </c>
      <c r="M2513" s="733">
        <f>K2513*L2513</f>
        <v>30</v>
      </c>
      <c r="N2513" s="733" t="s">
        <v>20</v>
      </c>
      <c r="R2513" s="422"/>
      <c r="S2513" s="421"/>
    </row>
    <row r="2514" spans="1:19" x14ac:dyDescent="0.25">
      <c r="A2514" t="s">
        <v>3317</v>
      </c>
      <c r="B2514" s="464" t="s">
        <v>504</v>
      </c>
      <c r="C2514" s="51"/>
      <c r="D2514" s="346">
        <v>345664</v>
      </c>
      <c r="E2514" s="346">
        <f>VLOOKUP(D2514,'[1]Task list &amp; Maintenace plan'!$B:$G,6,FALSE)</f>
        <v>1182</v>
      </c>
      <c r="F2514" s="346" t="s">
        <v>3592</v>
      </c>
      <c r="G2514" s="348" t="s">
        <v>507</v>
      </c>
      <c r="H2514" s="348" t="s">
        <v>3594</v>
      </c>
      <c r="I2514" s="347">
        <v>15</v>
      </c>
      <c r="J2514" s="736"/>
      <c r="K2514" s="736">
        <v>30</v>
      </c>
      <c r="L2514" s="736">
        <v>1</v>
      </c>
      <c r="M2514" s="736">
        <f t="shared" ref="M2514:M2577" si="11">K2514*L2514</f>
        <v>30</v>
      </c>
      <c r="N2514" s="736"/>
      <c r="R2514" s="413"/>
      <c r="S2514" s="347"/>
    </row>
    <row r="2515" spans="1:19" x14ac:dyDescent="0.25">
      <c r="A2515" t="s">
        <v>3317</v>
      </c>
      <c r="B2515" s="464" t="s">
        <v>504</v>
      </c>
      <c r="C2515" s="51"/>
      <c r="D2515" s="346">
        <v>345664</v>
      </c>
      <c r="E2515" s="346">
        <f>VLOOKUP(D2515,'[1]Task list &amp; Maintenace plan'!$B:$G,6,FALSE)</f>
        <v>1182</v>
      </c>
      <c r="F2515" s="346" t="s">
        <v>3592</v>
      </c>
      <c r="G2515" s="348" t="s">
        <v>507</v>
      </c>
      <c r="H2515" s="348" t="s">
        <v>3595</v>
      </c>
      <c r="I2515" s="347">
        <v>15</v>
      </c>
      <c r="J2515" s="736"/>
      <c r="K2515" s="736">
        <v>30</v>
      </c>
      <c r="L2515" s="736">
        <v>1</v>
      </c>
      <c r="M2515" s="736">
        <f t="shared" si="11"/>
        <v>30</v>
      </c>
      <c r="N2515" s="736"/>
      <c r="R2515" s="413"/>
      <c r="S2515" s="347"/>
    </row>
    <row r="2516" spans="1:19" x14ac:dyDescent="0.25">
      <c r="A2516" t="s">
        <v>3317</v>
      </c>
      <c r="B2516" s="464" t="s">
        <v>504</v>
      </c>
      <c r="C2516" s="51"/>
      <c r="D2516" s="346">
        <v>345664</v>
      </c>
      <c r="E2516" s="346">
        <f>VLOOKUP(D2516,'[1]Task list &amp; Maintenace plan'!$B:$G,6,FALSE)</f>
        <v>1182</v>
      </c>
      <c r="F2516" s="346" t="s">
        <v>3592</v>
      </c>
      <c r="G2516" s="348" t="s">
        <v>507</v>
      </c>
      <c r="H2516" s="348" t="s">
        <v>3596</v>
      </c>
      <c r="I2516" s="347">
        <v>15</v>
      </c>
      <c r="J2516" s="736"/>
      <c r="K2516" s="736">
        <v>30</v>
      </c>
      <c r="L2516" s="736">
        <v>1</v>
      </c>
      <c r="M2516" s="736">
        <f t="shared" si="11"/>
        <v>30</v>
      </c>
      <c r="N2516" s="736"/>
      <c r="R2516" s="413"/>
      <c r="S2516" s="347"/>
    </row>
    <row r="2517" spans="1:19" x14ac:dyDescent="0.25">
      <c r="A2517" t="s">
        <v>3317</v>
      </c>
      <c r="B2517" s="464" t="s">
        <v>504</v>
      </c>
      <c r="C2517" s="51"/>
      <c r="D2517" s="346">
        <v>345664</v>
      </c>
      <c r="E2517" s="346">
        <f>VLOOKUP(D2517,'[1]Task list &amp; Maintenace plan'!$B:$G,6,FALSE)</f>
        <v>1182</v>
      </c>
      <c r="F2517" s="346" t="s">
        <v>3592</v>
      </c>
      <c r="G2517" s="348" t="s">
        <v>518</v>
      </c>
      <c r="H2517" s="348" t="s">
        <v>3597</v>
      </c>
      <c r="I2517" s="347">
        <v>15</v>
      </c>
      <c r="J2517" s="736"/>
      <c r="K2517" s="736">
        <v>30</v>
      </c>
      <c r="L2517" s="736">
        <v>1</v>
      </c>
      <c r="M2517" s="736">
        <f t="shared" si="11"/>
        <v>30</v>
      </c>
      <c r="N2517" s="736"/>
      <c r="R2517" s="413"/>
      <c r="S2517" s="347"/>
    </row>
    <row r="2518" spans="1:19" x14ac:dyDescent="0.25">
      <c r="A2518" t="s">
        <v>3317</v>
      </c>
      <c r="B2518" s="464" t="s">
        <v>504</v>
      </c>
      <c r="C2518" s="51"/>
      <c r="D2518" s="346">
        <v>345664</v>
      </c>
      <c r="E2518" s="346">
        <f>VLOOKUP(D2518,'[1]Task list &amp; Maintenace plan'!$B:$G,6,FALSE)</f>
        <v>1182</v>
      </c>
      <c r="F2518" s="346" t="s">
        <v>3592</v>
      </c>
      <c r="G2518" s="348" t="s">
        <v>510</v>
      </c>
      <c r="H2518" s="348" t="s">
        <v>3598</v>
      </c>
      <c r="I2518" s="347">
        <v>15</v>
      </c>
      <c r="J2518" s="736"/>
      <c r="K2518" s="736">
        <v>30</v>
      </c>
      <c r="L2518" s="736">
        <v>1</v>
      </c>
      <c r="M2518" s="736">
        <f t="shared" si="11"/>
        <v>30</v>
      </c>
      <c r="N2518" s="736"/>
      <c r="R2518" s="413"/>
      <c r="S2518" s="347"/>
    </row>
    <row r="2519" spans="1:19" x14ac:dyDescent="0.25">
      <c r="A2519" t="s">
        <v>3317</v>
      </c>
      <c r="B2519" s="464" t="s">
        <v>504</v>
      </c>
      <c r="C2519" s="51"/>
      <c r="D2519" s="346">
        <v>345664</v>
      </c>
      <c r="E2519" s="346">
        <f>VLOOKUP(D2519,'[1]Task list &amp; Maintenace plan'!$B:$G,6,FALSE)</f>
        <v>1182</v>
      </c>
      <c r="F2519" s="346" t="s">
        <v>3592</v>
      </c>
      <c r="G2519" s="348" t="s">
        <v>510</v>
      </c>
      <c r="H2519" s="348" t="s">
        <v>3599</v>
      </c>
      <c r="I2519" s="347">
        <v>15</v>
      </c>
      <c r="J2519" s="736"/>
      <c r="K2519" s="736">
        <v>30</v>
      </c>
      <c r="L2519" s="736">
        <v>1</v>
      </c>
      <c r="M2519" s="736">
        <f t="shared" si="11"/>
        <v>30</v>
      </c>
      <c r="N2519" s="736"/>
      <c r="R2519" s="413"/>
      <c r="S2519" s="347"/>
    </row>
    <row r="2520" spans="1:19" x14ac:dyDescent="0.25">
      <c r="A2520" t="s">
        <v>3317</v>
      </c>
      <c r="B2520" s="464" t="s">
        <v>504</v>
      </c>
      <c r="C2520" s="51"/>
      <c r="D2520" s="346">
        <v>345664</v>
      </c>
      <c r="E2520" s="346">
        <f>VLOOKUP(D2520,'[1]Task list &amp; Maintenace plan'!$B:$G,6,FALSE)</f>
        <v>1182</v>
      </c>
      <c r="F2520" s="346" t="s">
        <v>3592</v>
      </c>
      <c r="G2520" s="348" t="s">
        <v>524</v>
      </c>
      <c r="H2520" s="348" t="s">
        <v>3600</v>
      </c>
      <c r="I2520" s="347">
        <v>15</v>
      </c>
      <c r="J2520" s="736"/>
      <c r="K2520" s="736">
        <v>30</v>
      </c>
      <c r="L2520" s="736">
        <v>1</v>
      </c>
      <c r="M2520" s="736">
        <f t="shared" si="11"/>
        <v>30</v>
      </c>
      <c r="N2520" s="736"/>
      <c r="R2520" s="413"/>
      <c r="S2520" s="347"/>
    </row>
    <row r="2521" spans="1:19" x14ac:dyDescent="0.25">
      <c r="A2521" t="s">
        <v>3317</v>
      </c>
      <c r="B2521" s="464" t="s">
        <v>504</v>
      </c>
      <c r="C2521" s="51"/>
      <c r="D2521" s="349">
        <v>345664</v>
      </c>
      <c r="E2521" s="349">
        <f>VLOOKUP(D2521,'[1]Task list &amp; Maintenace plan'!$B:$G,6,FALSE)</f>
        <v>1182</v>
      </c>
      <c r="F2521" s="349" t="s">
        <v>3592</v>
      </c>
      <c r="G2521" s="351" t="s">
        <v>510</v>
      </c>
      <c r="H2521" s="351" t="s">
        <v>3601</v>
      </c>
      <c r="I2521" s="350">
        <v>15</v>
      </c>
      <c r="J2521" s="737"/>
      <c r="K2521" s="737">
        <v>30</v>
      </c>
      <c r="L2521" s="737">
        <v>1</v>
      </c>
      <c r="M2521" s="737">
        <f t="shared" si="11"/>
        <v>30</v>
      </c>
      <c r="N2521" s="737"/>
      <c r="R2521" s="414"/>
      <c r="S2521" s="350"/>
    </row>
    <row r="2522" spans="1:19" x14ac:dyDescent="0.25">
      <c r="A2522" t="s">
        <v>3317</v>
      </c>
      <c r="B2522" s="464" t="s">
        <v>504</v>
      </c>
      <c r="C2522" s="51"/>
      <c r="D2522" s="352">
        <v>345665</v>
      </c>
      <c r="E2522" s="352">
        <f>VLOOKUP(D2522,'[1]Task list &amp; Maintenace plan'!$B:$G,6,FALSE)</f>
        <v>100687</v>
      </c>
      <c r="F2522" s="352" t="s">
        <v>3602</v>
      </c>
      <c r="G2522" s="61" t="s">
        <v>510</v>
      </c>
      <c r="H2522" s="61" t="s">
        <v>3603</v>
      </c>
      <c r="I2522" s="353">
        <v>15</v>
      </c>
      <c r="J2522" s="412">
        <v>1</v>
      </c>
      <c r="K2522" s="412">
        <v>60</v>
      </c>
      <c r="L2522" s="412">
        <v>1</v>
      </c>
      <c r="M2522" s="412">
        <f t="shared" si="11"/>
        <v>60</v>
      </c>
      <c r="N2522" s="412" t="s">
        <v>34</v>
      </c>
      <c r="R2522" s="411"/>
      <c r="S2522" s="353"/>
    </row>
    <row r="2523" spans="1:19" x14ac:dyDescent="0.25">
      <c r="A2523" t="s">
        <v>3317</v>
      </c>
      <c r="B2523" s="464" t="s">
        <v>504</v>
      </c>
      <c r="C2523" s="51"/>
      <c r="D2523" s="343">
        <v>345666</v>
      </c>
      <c r="E2523" s="343">
        <f>VLOOKUP(D2523,'[1]Task list &amp; Maintenace plan'!$B:$G,6,FALSE)</f>
        <v>100688</v>
      </c>
      <c r="F2523" s="343" t="s">
        <v>3604</v>
      </c>
      <c r="G2523" s="345" t="s">
        <v>509</v>
      </c>
      <c r="H2523" s="345" t="s">
        <v>3605</v>
      </c>
      <c r="I2523" s="344">
        <v>15</v>
      </c>
      <c r="J2523" s="733"/>
      <c r="K2523" s="733">
        <v>30</v>
      </c>
      <c r="L2523" s="733">
        <v>1</v>
      </c>
      <c r="M2523" s="733">
        <f t="shared" si="11"/>
        <v>30</v>
      </c>
      <c r="N2523" s="733" t="s">
        <v>3174</v>
      </c>
      <c r="R2523" s="418" t="s">
        <v>3159</v>
      </c>
      <c r="S2523" s="344"/>
    </row>
    <row r="2524" spans="1:19" x14ac:dyDescent="0.25">
      <c r="A2524" t="s">
        <v>3317</v>
      </c>
      <c r="B2524" s="464" t="s">
        <v>504</v>
      </c>
      <c r="C2524" s="51"/>
      <c r="D2524" s="346">
        <v>345666</v>
      </c>
      <c r="E2524" s="346">
        <f>VLOOKUP(D2524,'[1]Task list &amp; Maintenace plan'!$B:$G,6,FALSE)</f>
        <v>100688</v>
      </c>
      <c r="F2524" s="346" t="s">
        <v>3604</v>
      </c>
      <c r="G2524" s="348" t="s">
        <v>512</v>
      </c>
      <c r="H2524" s="348" t="s">
        <v>3606</v>
      </c>
      <c r="I2524" s="347">
        <v>15</v>
      </c>
      <c r="J2524" s="736"/>
      <c r="K2524" s="736">
        <v>30</v>
      </c>
      <c r="L2524" s="736">
        <v>1</v>
      </c>
      <c r="M2524" s="736">
        <f t="shared" si="11"/>
        <v>30</v>
      </c>
      <c r="N2524" s="736"/>
      <c r="R2524" s="413" t="s">
        <v>3159</v>
      </c>
      <c r="S2524" s="347"/>
    </row>
    <row r="2525" spans="1:19" x14ac:dyDescent="0.25">
      <c r="A2525" t="s">
        <v>3317</v>
      </c>
      <c r="B2525" s="464" t="s">
        <v>504</v>
      </c>
      <c r="C2525" s="51"/>
      <c r="D2525" s="346">
        <v>345666</v>
      </c>
      <c r="E2525" s="346">
        <f>VLOOKUP(D2525,'[1]Task list &amp; Maintenace plan'!$B:$G,6,FALSE)</f>
        <v>100688</v>
      </c>
      <c r="F2525" s="346" t="s">
        <v>3604</v>
      </c>
      <c r="G2525" s="348" t="s">
        <v>515</v>
      </c>
      <c r="H2525" s="348" t="s">
        <v>3607</v>
      </c>
      <c r="I2525" s="347">
        <v>15</v>
      </c>
      <c r="J2525" s="736"/>
      <c r="K2525" s="736">
        <v>30</v>
      </c>
      <c r="L2525" s="736">
        <v>1</v>
      </c>
      <c r="M2525" s="736">
        <f t="shared" si="11"/>
        <v>30</v>
      </c>
      <c r="N2525" s="736"/>
      <c r="R2525" s="413" t="s">
        <v>3159</v>
      </c>
      <c r="S2525" s="347"/>
    </row>
    <row r="2526" spans="1:19" x14ac:dyDescent="0.25">
      <c r="A2526" t="s">
        <v>3317</v>
      </c>
      <c r="B2526" s="464" t="s">
        <v>504</v>
      </c>
      <c r="C2526" s="51"/>
      <c r="D2526" s="346">
        <v>345666</v>
      </c>
      <c r="E2526" s="346">
        <f>VLOOKUP(D2526,'[1]Task list &amp; Maintenace plan'!$B:$G,6,FALSE)</f>
        <v>100688</v>
      </c>
      <c r="F2526" s="346" t="s">
        <v>3604</v>
      </c>
      <c r="G2526" s="348" t="s">
        <v>507</v>
      </c>
      <c r="H2526" s="348" t="s">
        <v>3608</v>
      </c>
      <c r="I2526" s="347">
        <v>15</v>
      </c>
      <c r="J2526" s="736"/>
      <c r="K2526" s="736">
        <v>30</v>
      </c>
      <c r="L2526" s="736">
        <v>1</v>
      </c>
      <c r="M2526" s="736">
        <f t="shared" si="11"/>
        <v>30</v>
      </c>
      <c r="N2526" s="736"/>
      <c r="R2526" s="413" t="s">
        <v>3159</v>
      </c>
      <c r="S2526" s="347"/>
    </row>
    <row r="2527" spans="1:19" x14ac:dyDescent="0.25">
      <c r="A2527" t="s">
        <v>3317</v>
      </c>
      <c r="B2527" s="464" t="s">
        <v>504</v>
      </c>
      <c r="C2527" s="51"/>
      <c r="D2527" s="346">
        <v>345666</v>
      </c>
      <c r="E2527" s="346">
        <f>VLOOKUP(D2527,'[1]Task list &amp; Maintenace plan'!$B:$G,6,FALSE)</f>
        <v>100688</v>
      </c>
      <c r="F2527" s="346" t="s">
        <v>3604</v>
      </c>
      <c r="G2527" s="348" t="s">
        <v>507</v>
      </c>
      <c r="H2527" s="348" t="s">
        <v>3609</v>
      </c>
      <c r="I2527" s="347">
        <v>15</v>
      </c>
      <c r="J2527" s="736"/>
      <c r="K2527" s="736">
        <v>30</v>
      </c>
      <c r="L2527" s="736">
        <v>1</v>
      </c>
      <c r="M2527" s="736">
        <f t="shared" si="11"/>
        <v>30</v>
      </c>
      <c r="N2527" s="736"/>
      <c r="R2527" s="413" t="s">
        <v>3159</v>
      </c>
      <c r="S2527" s="347"/>
    </row>
    <row r="2528" spans="1:19" x14ac:dyDescent="0.25">
      <c r="A2528" t="s">
        <v>3317</v>
      </c>
      <c r="B2528" s="464" t="s">
        <v>504</v>
      </c>
      <c r="C2528" s="51"/>
      <c r="D2528" s="346">
        <v>345666</v>
      </c>
      <c r="E2528" s="346">
        <f>VLOOKUP(D2528,'[1]Task list &amp; Maintenace plan'!$B:$G,6,FALSE)</f>
        <v>100688</v>
      </c>
      <c r="F2528" s="346" t="s">
        <v>3604</v>
      </c>
      <c r="G2528" s="348" t="s">
        <v>520</v>
      </c>
      <c r="H2528" s="348" t="s">
        <v>3610</v>
      </c>
      <c r="I2528" s="347">
        <v>15</v>
      </c>
      <c r="J2528" s="736"/>
      <c r="K2528" s="736">
        <v>30</v>
      </c>
      <c r="L2528" s="736">
        <v>1</v>
      </c>
      <c r="M2528" s="736">
        <f t="shared" si="11"/>
        <v>30</v>
      </c>
      <c r="N2528" s="736"/>
      <c r="R2528" s="413" t="s">
        <v>3159</v>
      </c>
      <c r="S2528" s="347"/>
    </row>
    <row r="2529" spans="1:19" x14ac:dyDescent="0.25">
      <c r="A2529" t="s">
        <v>3317</v>
      </c>
      <c r="B2529" s="464" t="s">
        <v>504</v>
      </c>
      <c r="C2529" s="51"/>
      <c r="D2529" s="346">
        <v>345666</v>
      </c>
      <c r="E2529" s="346">
        <f>VLOOKUP(D2529,'[1]Task list &amp; Maintenace plan'!$B:$G,6,FALSE)</f>
        <v>100688</v>
      </c>
      <c r="F2529" s="346" t="s">
        <v>3604</v>
      </c>
      <c r="G2529" s="348" t="s">
        <v>522</v>
      </c>
      <c r="H2529" s="348" t="s">
        <v>3611</v>
      </c>
      <c r="I2529" s="347">
        <v>15</v>
      </c>
      <c r="J2529" s="736"/>
      <c r="K2529" s="736">
        <v>30</v>
      </c>
      <c r="L2529" s="736">
        <v>1</v>
      </c>
      <c r="M2529" s="736">
        <f t="shared" si="11"/>
        <v>30</v>
      </c>
      <c r="N2529" s="736"/>
      <c r="R2529" s="413" t="s">
        <v>3159</v>
      </c>
      <c r="S2529" s="347"/>
    </row>
    <row r="2530" spans="1:19" x14ac:dyDescent="0.25">
      <c r="A2530" t="s">
        <v>3317</v>
      </c>
      <c r="B2530" s="464" t="s">
        <v>504</v>
      </c>
      <c r="C2530" s="51"/>
      <c r="D2530" s="346">
        <v>345666</v>
      </c>
      <c r="E2530" s="346">
        <f>VLOOKUP(D2530,'[1]Task list &amp; Maintenace plan'!$B:$G,6,FALSE)</f>
        <v>100688</v>
      </c>
      <c r="F2530" s="346" t="s">
        <v>3604</v>
      </c>
      <c r="G2530" s="348" t="s">
        <v>524</v>
      </c>
      <c r="H2530" s="348" t="s">
        <v>3612</v>
      </c>
      <c r="I2530" s="347">
        <v>15</v>
      </c>
      <c r="J2530" s="736"/>
      <c r="K2530" s="736">
        <v>30</v>
      </c>
      <c r="L2530" s="736">
        <v>1</v>
      </c>
      <c r="M2530" s="736">
        <f t="shared" si="11"/>
        <v>30</v>
      </c>
      <c r="N2530" s="736"/>
      <c r="R2530" s="413" t="s">
        <v>3159</v>
      </c>
      <c r="S2530" s="347"/>
    </row>
    <row r="2531" spans="1:19" x14ac:dyDescent="0.25">
      <c r="A2531" t="s">
        <v>3317</v>
      </c>
      <c r="B2531" s="464" t="s">
        <v>504</v>
      </c>
      <c r="C2531" s="51"/>
      <c r="D2531" s="349">
        <v>345666</v>
      </c>
      <c r="E2531" s="349">
        <f>VLOOKUP(D2531,'[1]Task list &amp; Maintenace plan'!$B:$G,6,FALSE)</f>
        <v>100688</v>
      </c>
      <c r="F2531" s="349" t="s">
        <v>3604</v>
      </c>
      <c r="G2531" s="351" t="s">
        <v>524</v>
      </c>
      <c r="H2531" s="351" t="s">
        <v>3613</v>
      </c>
      <c r="I2531" s="350">
        <v>15</v>
      </c>
      <c r="J2531" s="737"/>
      <c r="K2531" s="737">
        <v>30</v>
      </c>
      <c r="L2531" s="737">
        <v>1</v>
      </c>
      <c r="M2531" s="737">
        <f t="shared" si="11"/>
        <v>30</v>
      </c>
      <c r="N2531" s="737"/>
      <c r="R2531" s="414" t="s">
        <v>3159</v>
      </c>
      <c r="S2531" s="350"/>
    </row>
    <row r="2532" spans="1:19" x14ac:dyDescent="0.25">
      <c r="A2532" t="s">
        <v>3317</v>
      </c>
      <c r="B2532" s="464" t="s">
        <v>504</v>
      </c>
      <c r="C2532" s="51"/>
      <c r="D2532" s="423">
        <v>345891</v>
      </c>
      <c r="E2532" s="423">
        <f>VLOOKUP(D2532,'[1]Task list &amp; Maintenace plan'!$B:$G,6,FALSE)</f>
        <v>100689</v>
      </c>
      <c r="F2532" s="423" t="s">
        <v>3614</v>
      </c>
      <c r="G2532" s="433" t="s">
        <v>507</v>
      </c>
      <c r="H2532" s="433" t="s">
        <v>3615</v>
      </c>
      <c r="I2532" s="434">
        <v>30</v>
      </c>
      <c r="J2532" s="436"/>
      <c r="K2532" s="436">
        <v>10</v>
      </c>
      <c r="L2532" s="436">
        <v>1</v>
      </c>
      <c r="M2532" s="436">
        <f t="shared" si="11"/>
        <v>10</v>
      </c>
      <c r="N2532" s="436" t="s">
        <v>20</v>
      </c>
      <c r="R2532" s="435"/>
      <c r="S2532" s="434"/>
    </row>
    <row r="2533" spans="1:19" x14ac:dyDescent="0.25">
      <c r="A2533" t="s">
        <v>3317</v>
      </c>
      <c r="B2533" s="464" t="s">
        <v>504</v>
      </c>
      <c r="C2533" s="51"/>
      <c r="D2533" s="343">
        <v>345862</v>
      </c>
      <c r="E2533" s="343">
        <f>VLOOKUP(D2533,'[1]Task list &amp; Maintenace plan'!$B:$G,6,FALSE)</f>
        <v>100690</v>
      </c>
      <c r="F2533" s="343" t="s">
        <v>3616</v>
      </c>
      <c r="G2533" s="345" t="s">
        <v>509</v>
      </c>
      <c r="H2533" s="345" t="s">
        <v>3617</v>
      </c>
      <c r="I2533" s="344">
        <v>180</v>
      </c>
      <c r="J2533" s="733">
        <v>1</v>
      </c>
      <c r="K2533" s="733">
        <v>10</v>
      </c>
      <c r="L2533" s="733">
        <v>1</v>
      </c>
      <c r="M2533" s="733">
        <f t="shared" si="11"/>
        <v>10</v>
      </c>
      <c r="N2533" s="733" t="s">
        <v>3174</v>
      </c>
      <c r="R2533" s="418" t="s">
        <v>3159</v>
      </c>
      <c r="S2533" s="344"/>
    </row>
    <row r="2534" spans="1:19" x14ac:dyDescent="0.25">
      <c r="A2534" t="s">
        <v>3317</v>
      </c>
      <c r="B2534" s="464" t="s">
        <v>504</v>
      </c>
      <c r="C2534" s="51"/>
      <c r="D2534" s="346">
        <v>345862</v>
      </c>
      <c r="E2534" s="346">
        <f>VLOOKUP(D2534,'[1]Task list &amp; Maintenace plan'!$B:$G,6,FALSE)</f>
        <v>100690</v>
      </c>
      <c r="F2534" s="346" t="s">
        <v>3616</v>
      </c>
      <c r="G2534" s="348" t="s">
        <v>512</v>
      </c>
      <c r="H2534" s="348" t="s">
        <v>3618</v>
      </c>
      <c r="I2534" s="347">
        <v>180</v>
      </c>
      <c r="J2534" s="736">
        <v>1</v>
      </c>
      <c r="K2534" s="736">
        <v>10</v>
      </c>
      <c r="L2534" s="736">
        <v>1</v>
      </c>
      <c r="M2534" s="736">
        <f t="shared" si="11"/>
        <v>10</v>
      </c>
      <c r="N2534" s="736"/>
      <c r="R2534" s="413" t="s">
        <v>3159</v>
      </c>
      <c r="S2534" s="347"/>
    </row>
    <row r="2535" spans="1:19" x14ac:dyDescent="0.25">
      <c r="A2535" t="s">
        <v>3317</v>
      </c>
      <c r="B2535" s="464" t="s">
        <v>504</v>
      </c>
      <c r="C2535" s="51"/>
      <c r="D2535" s="349">
        <v>345862</v>
      </c>
      <c r="E2535" s="349">
        <f>VLOOKUP(D2535,'[1]Task list &amp; Maintenace plan'!$B:$G,6,FALSE)</f>
        <v>100690</v>
      </c>
      <c r="F2535" s="349" t="s">
        <v>3616</v>
      </c>
      <c r="G2535" s="351" t="s">
        <v>515</v>
      </c>
      <c r="H2535" s="351" t="s">
        <v>3619</v>
      </c>
      <c r="I2535" s="350">
        <v>180</v>
      </c>
      <c r="J2535" s="737">
        <v>1</v>
      </c>
      <c r="K2535" s="737">
        <v>10</v>
      </c>
      <c r="L2535" s="737">
        <v>1</v>
      </c>
      <c r="M2535" s="737">
        <f t="shared" si="11"/>
        <v>10</v>
      </c>
      <c r="N2535" s="737"/>
      <c r="R2535" s="414" t="s">
        <v>3159</v>
      </c>
      <c r="S2535" s="350"/>
    </row>
    <row r="2536" spans="1:19" x14ac:dyDescent="0.25">
      <c r="A2536" t="s">
        <v>3317</v>
      </c>
      <c r="B2536" s="464" t="s">
        <v>504</v>
      </c>
      <c r="C2536" s="51"/>
      <c r="D2536" s="352">
        <v>350690</v>
      </c>
      <c r="E2536" s="352">
        <f>VLOOKUP(D2536,'[1]Task list &amp; Maintenace plan'!$B:$G,6,FALSE)</f>
        <v>1410</v>
      </c>
      <c r="F2536" s="352" t="s">
        <v>3620</v>
      </c>
      <c r="G2536" s="61" t="s">
        <v>507</v>
      </c>
      <c r="H2536" s="61" t="s">
        <v>3621</v>
      </c>
      <c r="I2536" s="353">
        <v>180</v>
      </c>
      <c r="J2536" s="412">
        <v>1</v>
      </c>
      <c r="K2536" s="412">
        <v>240</v>
      </c>
      <c r="L2536" s="412">
        <v>3</v>
      </c>
      <c r="M2536" s="412">
        <f t="shared" si="11"/>
        <v>720</v>
      </c>
      <c r="N2536" s="412" t="s">
        <v>468</v>
      </c>
      <c r="R2536" s="411"/>
      <c r="S2536" s="353"/>
    </row>
    <row r="2537" spans="1:19" ht="15.75" thickBot="1" x14ac:dyDescent="0.3">
      <c r="A2537" t="s">
        <v>3317</v>
      </c>
      <c r="B2537" s="464" t="s">
        <v>504</v>
      </c>
      <c r="C2537" s="214"/>
      <c r="D2537" s="357">
        <v>350841</v>
      </c>
      <c r="E2537" s="357">
        <f>VLOOKUP(D2537,'[1]Task list &amp; Maintenace plan'!$B:$G,6,FALSE)</f>
        <v>1411</v>
      </c>
      <c r="F2537" s="357" t="s">
        <v>3622</v>
      </c>
      <c r="G2537" s="359" t="s">
        <v>507</v>
      </c>
      <c r="H2537" s="359" t="s">
        <v>3623</v>
      </c>
      <c r="I2537" s="358">
        <v>180</v>
      </c>
      <c r="J2537" s="499">
        <v>1</v>
      </c>
      <c r="K2537" s="499">
        <v>30</v>
      </c>
      <c r="L2537" s="499">
        <v>2</v>
      </c>
      <c r="M2537" s="499">
        <f t="shared" si="11"/>
        <v>60</v>
      </c>
      <c r="N2537" s="499" t="s">
        <v>468</v>
      </c>
      <c r="R2537" s="542"/>
      <c r="S2537" s="358"/>
    </row>
    <row r="2538" spans="1:19" x14ac:dyDescent="0.25">
      <c r="A2538" t="s">
        <v>3317</v>
      </c>
      <c r="B2538" s="50" t="s">
        <v>552</v>
      </c>
      <c r="C2538" s="51"/>
      <c r="D2538" s="423">
        <v>345667</v>
      </c>
      <c r="E2538" s="423">
        <f>VLOOKUP(D2538,'[1]Task list &amp; Maintenace plan'!$B:$G,6,FALSE)</f>
        <v>100691</v>
      </c>
      <c r="F2538" s="423" t="s">
        <v>3624</v>
      </c>
      <c r="G2538" s="433" t="s">
        <v>562</v>
      </c>
      <c r="H2538" s="433" t="s">
        <v>3148</v>
      </c>
      <c r="I2538" s="434">
        <v>7</v>
      </c>
      <c r="J2538" s="436"/>
      <c r="K2538" s="436">
        <v>30</v>
      </c>
      <c r="L2538" s="436">
        <v>1</v>
      </c>
      <c r="M2538" s="436">
        <f t="shared" si="11"/>
        <v>30</v>
      </c>
      <c r="N2538" s="436" t="s">
        <v>34</v>
      </c>
      <c r="R2538" s="435"/>
      <c r="S2538" s="434"/>
    </row>
    <row r="2539" spans="1:19" x14ac:dyDescent="0.25">
      <c r="A2539" t="s">
        <v>3317</v>
      </c>
      <c r="B2539" s="50" t="s">
        <v>552</v>
      </c>
      <c r="C2539" s="51"/>
      <c r="D2539" s="423">
        <v>350842</v>
      </c>
      <c r="E2539" s="423">
        <f>VLOOKUP(D2539,'[1]Task list &amp; Maintenace plan'!$B:$G,6,FALSE)</f>
        <v>1412</v>
      </c>
      <c r="F2539" s="423" t="s">
        <v>3625</v>
      </c>
      <c r="G2539" s="433" t="s">
        <v>562</v>
      </c>
      <c r="H2539" s="433" t="s">
        <v>3626</v>
      </c>
      <c r="I2539" s="434">
        <v>7</v>
      </c>
      <c r="J2539" s="436"/>
      <c r="K2539" s="436">
        <v>30</v>
      </c>
      <c r="L2539" s="436">
        <v>1</v>
      </c>
      <c r="M2539" s="436">
        <f t="shared" si="11"/>
        <v>30</v>
      </c>
      <c r="N2539" s="436" t="s">
        <v>20</v>
      </c>
      <c r="R2539" s="435"/>
      <c r="S2539" s="434"/>
    </row>
    <row r="2540" spans="1:19" x14ac:dyDescent="0.25">
      <c r="A2540" t="s">
        <v>3317</v>
      </c>
      <c r="B2540" s="50" t="s">
        <v>552</v>
      </c>
      <c r="C2540" s="51"/>
      <c r="D2540" s="352">
        <v>345668</v>
      </c>
      <c r="E2540" s="352">
        <f>VLOOKUP(D2540,'[1]Task list &amp; Maintenace plan'!$B:$G,6,FALSE)</f>
        <v>100692</v>
      </c>
      <c r="F2540" s="352" t="s">
        <v>3627</v>
      </c>
      <c r="G2540" s="61" t="s">
        <v>562</v>
      </c>
      <c r="H2540" s="61" t="s">
        <v>3628</v>
      </c>
      <c r="I2540" s="353">
        <v>15</v>
      </c>
      <c r="J2540" s="412"/>
      <c r="K2540" s="412">
        <v>30</v>
      </c>
      <c r="L2540" s="412">
        <v>1</v>
      </c>
      <c r="M2540" s="412">
        <f t="shared" si="11"/>
        <v>30</v>
      </c>
      <c r="N2540" s="412" t="s">
        <v>34</v>
      </c>
      <c r="R2540" s="411"/>
      <c r="S2540" s="353"/>
    </row>
    <row r="2541" spans="1:19" x14ac:dyDescent="0.25">
      <c r="A2541" t="s">
        <v>3317</v>
      </c>
      <c r="B2541" s="50" t="s">
        <v>552</v>
      </c>
      <c r="C2541" s="51"/>
      <c r="D2541" s="346">
        <v>345892</v>
      </c>
      <c r="E2541" s="346">
        <f>VLOOKUP(D2541,'[1]Task list &amp; Maintenace plan'!$B:$G,6,FALSE)</f>
        <v>100693</v>
      </c>
      <c r="F2541" s="346" t="s">
        <v>3629</v>
      </c>
      <c r="G2541" s="348" t="s">
        <v>553</v>
      </c>
      <c r="H2541" s="348" t="s">
        <v>3630</v>
      </c>
      <c r="I2541" s="347">
        <v>30</v>
      </c>
      <c r="J2541" s="733"/>
      <c r="K2541" s="733">
        <v>30</v>
      </c>
      <c r="L2541" s="733">
        <v>1</v>
      </c>
      <c r="M2541" s="733">
        <f t="shared" si="11"/>
        <v>30</v>
      </c>
      <c r="N2541" s="733" t="s">
        <v>20</v>
      </c>
      <c r="R2541" s="413"/>
      <c r="S2541" s="347"/>
    </row>
    <row r="2542" spans="1:19" x14ac:dyDescent="0.25">
      <c r="A2542" t="s">
        <v>3317</v>
      </c>
      <c r="B2542" s="50" t="s">
        <v>552</v>
      </c>
      <c r="C2542" s="51"/>
      <c r="D2542" s="346">
        <v>345892</v>
      </c>
      <c r="E2542" s="346">
        <f>VLOOKUP(D2542,'[1]Task list &amp; Maintenace plan'!$B:$G,6,FALSE)</f>
        <v>100693</v>
      </c>
      <c r="F2542" s="346" t="s">
        <v>3629</v>
      </c>
      <c r="G2542" s="348" t="s">
        <v>556</v>
      </c>
      <c r="H2542" s="348" t="s">
        <v>3631</v>
      </c>
      <c r="I2542" s="347">
        <v>30</v>
      </c>
      <c r="J2542" s="736"/>
      <c r="K2542" s="736">
        <v>30</v>
      </c>
      <c r="L2542" s="736">
        <v>1</v>
      </c>
      <c r="M2542" s="736">
        <f t="shared" si="11"/>
        <v>30</v>
      </c>
      <c r="N2542" s="736"/>
      <c r="R2542" s="413"/>
      <c r="S2542" s="347"/>
    </row>
    <row r="2543" spans="1:19" x14ac:dyDescent="0.25">
      <c r="A2543" t="s">
        <v>3317</v>
      </c>
      <c r="B2543" s="50" t="s">
        <v>552</v>
      </c>
      <c r="C2543" s="51"/>
      <c r="D2543" s="346">
        <v>345892</v>
      </c>
      <c r="E2543" s="346">
        <f>VLOOKUP(D2543,'[1]Task list &amp; Maintenace plan'!$B:$G,6,FALSE)</f>
        <v>100693</v>
      </c>
      <c r="F2543" s="346" t="s">
        <v>3629</v>
      </c>
      <c r="G2543" s="348" t="s">
        <v>3632</v>
      </c>
      <c r="H2543" s="348" t="s">
        <v>3633</v>
      </c>
      <c r="I2543" s="347">
        <v>30</v>
      </c>
      <c r="J2543" s="736"/>
      <c r="K2543" s="736">
        <v>30</v>
      </c>
      <c r="L2543" s="736">
        <v>1</v>
      </c>
      <c r="M2543" s="736">
        <f t="shared" si="11"/>
        <v>30</v>
      </c>
      <c r="N2543" s="736"/>
      <c r="R2543" s="413"/>
      <c r="S2543" s="347"/>
    </row>
    <row r="2544" spans="1:19" x14ac:dyDescent="0.25">
      <c r="A2544" t="s">
        <v>3317</v>
      </c>
      <c r="B2544" s="50" t="s">
        <v>552</v>
      </c>
      <c r="C2544" s="51"/>
      <c r="D2544" s="349">
        <v>345892</v>
      </c>
      <c r="E2544" s="349">
        <f>VLOOKUP(D2544,'[1]Task list &amp; Maintenace plan'!$B:$G,6,FALSE)</f>
        <v>100693</v>
      </c>
      <c r="F2544" s="349" t="s">
        <v>3629</v>
      </c>
      <c r="G2544" s="351" t="s">
        <v>560</v>
      </c>
      <c r="H2544" s="351" t="s">
        <v>3634</v>
      </c>
      <c r="I2544" s="350">
        <v>30</v>
      </c>
      <c r="J2544" s="737"/>
      <c r="K2544" s="737">
        <v>30</v>
      </c>
      <c r="L2544" s="737">
        <v>1</v>
      </c>
      <c r="M2544" s="737">
        <f t="shared" si="11"/>
        <v>30</v>
      </c>
      <c r="N2544" s="737"/>
      <c r="R2544" s="414"/>
      <c r="S2544" s="350"/>
    </row>
    <row r="2545" spans="1:19" x14ac:dyDescent="0.25">
      <c r="A2545" t="s">
        <v>3317</v>
      </c>
      <c r="B2545" s="50" t="s">
        <v>552</v>
      </c>
      <c r="C2545" s="51"/>
      <c r="D2545" s="352">
        <v>345863</v>
      </c>
      <c r="E2545" s="352">
        <f>VLOOKUP(D2545,'[1]Task list &amp; Maintenace plan'!$B:$G,6,FALSE)</f>
        <v>100694</v>
      </c>
      <c r="F2545" s="352" t="s">
        <v>3635</v>
      </c>
      <c r="G2545" s="61" t="s">
        <v>562</v>
      </c>
      <c r="H2545" s="61" t="s">
        <v>3636</v>
      </c>
      <c r="I2545" s="353">
        <v>30</v>
      </c>
      <c r="J2545" s="412"/>
      <c r="K2545" s="412">
        <v>30</v>
      </c>
      <c r="L2545" s="412">
        <v>1</v>
      </c>
      <c r="M2545" s="412">
        <f t="shared" si="11"/>
        <v>30</v>
      </c>
      <c r="N2545" s="412" t="s">
        <v>468</v>
      </c>
      <c r="R2545" s="411" t="s">
        <v>3185</v>
      </c>
      <c r="S2545" s="353" t="s">
        <v>3637</v>
      </c>
    </row>
    <row r="2546" spans="1:19" x14ac:dyDescent="0.25">
      <c r="A2546" t="s">
        <v>3317</v>
      </c>
      <c r="B2546" s="50" t="s">
        <v>552</v>
      </c>
      <c r="C2546" s="51"/>
      <c r="D2546" s="423">
        <v>344488</v>
      </c>
      <c r="E2546" s="423">
        <f>VLOOKUP(D2546,'[1]Task list &amp; Maintenace plan'!$B:$G,6,FALSE)</f>
        <v>815</v>
      </c>
      <c r="F2546" s="423" t="s">
        <v>3638</v>
      </c>
      <c r="G2546" s="433" t="s">
        <v>562</v>
      </c>
      <c r="H2546" s="433" t="s">
        <v>3188</v>
      </c>
      <c r="I2546" s="434">
        <v>180</v>
      </c>
      <c r="J2546" s="436">
        <v>1</v>
      </c>
      <c r="K2546" s="436">
        <v>240</v>
      </c>
      <c r="L2546" s="436">
        <v>1</v>
      </c>
      <c r="M2546" s="436">
        <f t="shared" si="11"/>
        <v>240</v>
      </c>
      <c r="N2546" s="436" t="s">
        <v>34</v>
      </c>
      <c r="R2546" s="435"/>
      <c r="S2546" s="434"/>
    </row>
    <row r="2547" spans="1:19" x14ac:dyDescent="0.25">
      <c r="A2547" t="s">
        <v>3317</v>
      </c>
      <c r="B2547" s="50" t="s">
        <v>552</v>
      </c>
      <c r="C2547" s="51"/>
      <c r="D2547" s="352">
        <v>342108</v>
      </c>
      <c r="E2547" s="352">
        <f>VLOOKUP(D2547,'[1]Task list &amp; Maintenace plan'!$B:$G,6,FALSE)</f>
        <v>441</v>
      </c>
      <c r="F2547" s="352" t="s">
        <v>3639</v>
      </c>
      <c r="G2547" s="61" t="s">
        <v>562</v>
      </c>
      <c r="H2547" s="61" t="s">
        <v>3190</v>
      </c>
      <c r="I2547" s="353">
        <v>180</v>
      </c>
      <c r="J2547" s="412"/>
      <c r="K2547" s="412">
        <v>30</v>
      </c>
      <c r="L2547" s="412">
        <v>1</v>
      </c>
      <c r="M2547" s="412">
        <f t="shared" si="11"/>
        <v>30</v>
      </c>
      <c r="N2547" s="412" t="s">
        <v>3191</v>
      </c>
      <c r="R2547" s="411"/>
      <c r="S2547" s="353"/>
    </row>
    <row r="2548" spans="1:19" x14ac:dyDescent="0.25">
      <c r="A2548" t="s">
        <v>3317</v>
      </c>
      <c r="B2548" s="50" t="s">
        <v>552</v>
      </c>
      <c r="C2548" s="51"/>
      <c r="D2548" s="343">
        <v>345864</v>
      </c>
      <c r="E2548" s="343">
        <f>VLOOKUP(D2548,'[1]Task list &amp; Maintenace plan'!$B:$G,6,FALSE)</f>
        <v>100695</v>
      </c>
      <c r="F2548" s="343" t="s">
        <v>3640</v>
      </c>
      <c r="G2548" s="345" t="s">
        <v>553</v>
      </c>
      <c r="H2548" s="345" t="s">
        <v>3641</v>
      </c>
      <c r="I2548" s="344">
        <v>180</v>
      </c>
      <c r="J2548" s="733">
        <v>1</v>
      </c>
      <c r="K2548" s="733">
        <v>60</v>
      </c>
      <c r="L2548" s="733">
        <v>2</v>
      </c>
      <c r="M2548" s="733">
        <f t="shared" si="11"/>
        <v>120</v>
      </c>
      <c r="N2548" s="733" t="s">
        <v>3174</v>
      </c>
      <c r="R2548" s="418" t="s">
        <v>3642</v>
      </c>
      <c r="S2548" s="344"/>
    </row>
    <row r="2549" spans="1:19" ht="15.75" thickBot="1" x14ac:dyDescent="0.3">
      <c r="A2549" t="s">
        <v>3317</v>
      </c>
      <c r="B2549" s="50" t="s">
        <v>552</v>
      </c>
      <c r="C2549" s="214"/>
      <c r="D2549" s="363">
        <v>345864</v>
      </c>
      <c r="E2549" s="363">
        <f>VLOOKUP(D2549,'[1]Task list &amp; Maintenace plan'!$B:$G,6,FALSE)</f>
        <v>100695</v>
      </c>
      <c r="F2549" s="363" t="s">
        <v>3640</v>
      </c>
      <c r="G2549" s="365" t="s">
        <v>556</v>
      </c>
      <c r="H2549" s="365" t="s">
        <v>3643</v>
      </c>
      <c r="I2549" s="364">
        <v>180</v>
      </c>
      <c r="J2549" s="738">
        <v>1</v>
      </c>
      <c r="K2549" s="738">
        <v>60</v>
      </c>
      <c r="L2549" s="738">
        <v>2</v>
      </c>
      <c r="M2549" s="738">
        <f t="shared" si="11"/>
        <v>120</v>
      </c>
      <c r="N2549" s="738"/>
      <c r="R2549" s="427" t="s">
        <v>3644</v>
      </c>
      <c r="S2549" s="364"/>
    </row>
    <row r="2550" spans="1:19" x14ac:dyDescent="0.25">
      <c r="A2550" t="s">
        <v>3317</v>
      </c>
      <c r="B2550" s="50" t="s">
        <v>579</v>
      </c>
      <c r="C2550" s="51"/>
      <c r="D2550" s="343">
        <v>345669</v>
      </c>
      <c r="E2550" s="343">
        <f>VLOOKUP(D2550,'[1]Task list &amp; Maintenace plan'!$B:$G,6,FALSE)</f>
        <v>100696</v>
      </c>
      <c r="F2550" s="343" t="s">
        <v>3645</v>
      </c>
      <c r="G2550" s="345" t="s">
        <v>588</v>
      </c>
      <c r="H2550" s="345" t="s">
        <v>3646</v>
      </c>
      <c r="I2550" s="344">
        <v>30</v>
      </c>
      <c r="J2550" s="739"/>
      <c r="K2550" s="739">
        <v>15</v>
      </c>
      <c r="L2550" s="739">
        <v>1</v>
      </c>
      <c r="M2550" s="739">
        <f t="shared" si="11"/>
        <v>15</v>
      </c>
      <c r="N2550" s="739" t="s">
        <v>3174</v>
      </c>
      <c r="R2550" s="418" t="s">
        <v>3159</v>
      </c>
      <c r="S2550" s="344"/>
    </row>
    <row r="2551" spans="1:19" x14ac:dyDescent="0.25">
      <c r="A2551" t="s">
        <v>3317</v>
      </c>
      <c r="B2551" s="50" t="s">
        <v>579</v>
      </c>
      <c r="C2551" s="51"/>
      <c r="D2551" s="346">
        <v>345669</v>
      </c>
      <c r="E2551" s="346">
        <f>VLOOKUP(D2551,'[1]Task list &amp; Maintenace plan'!$B:$G,6,FALSE)</f>
        <v>100696</v>
      </c>
      <c r="F2551" s="346" t="s">
        <v>3645</v>
      </c>
      <c r="G2551" s="348" t="s">
        <v>581</v>
      </c>
      <c r="H2551" s="348" t="s">
        <v>3647</v>
      </c>
      <c r="I2551" s="347">
        <v>30</v>
      </c>
      <c r="J2551" s="736"/>
      <c r="K2551" s="736">
        <v>15</v>
      </c>
      <c r="L2551" s="736">
        <v>1</v>
      </c>
      <c r="M2551" s="736">
        <f t="shared" si="11"/>
        <v>15</v>
      </c>
      <c r="N2551" s="736"/>
      <c r="R2551" s="413" t="s">
        <v>3159</v>
      </c>
      <c r="S2551" s="347"/>
    </row>
    <row r="2552" spans="1:19" x14ac:dyDescent="0.25">
      <c r="A2552" t="s">
        <v>3317</v>
      </c>
      <c r="B2552" s="50" t="s">
        <v>579</v>
      </c>
      <c r="C2552" s="51"/>
      <c r="D2552" s="346">
        <v>345669</v>
      </c>
      <c r="E2552" s="346">
        <f>VLOOKUP(D2552,'[1]Task list &amp; Maintenace plan'!$B:$G,6,FALSE)</f>
        <v>100696</v>
      </c>
      <c r="F2552" s="346" t="s">
        <v>3645</v>
      </c>
      <c r="G2552" s="348" t="s">
        <v>592</v>
      </c>
      <c r="H2552" s="348" t="s">
        <v>3648</v>
      </c>
      <c r="I2552" s="347">
        <v>30</v>
      </c>
      <c r="J2552" s="736"/>
      <c r="K2552" s="736">
        <v>15</v>
      </c>
      <c r="L2552" s="736">
        <v>1</v>
      </c>
      <c r="M2552" s="736">
        <f t="shared" si="11"/>
        <v>15</v>
      </c>
      <c r="N2552" s="736"/>
      <c r="R2552" s="413" t="s">
        <v>3159</v>
      </c>
      <c r="S2552" s="347"/>
    </row>
    <row r="2553" spans="1:19" x14ac:dyDescent="0.25">
      <c r="A2553" t="s">
        <v>3317</v>
      </c>
      <c r="B2553" s="50" t="s">
        <v>579</v>
      </c>
      <c r="C2553" s="51"/>
      <c r="D2553" s="346">
        <v>345669</v>
      </c>
      <c r="E2553" s="346">
        <f>VLOOKUP(D2553,'[1]Task list &amp; Maintenace plan'!$B:$G,6,FALSE)</f>
        <v>100696</v>
      </c>
      <c r="F2553" s="346" t="s">
        <v>3645</v>
      </c>
      <c r="G2553" s="348" t="s">
        <v>590</v>
      </c>
      <c r="H2553" s="348" t="s">
        <v>3649</v>
      </c>
      <c r="I2553" s="347">
        <v>30</v>
      </c>
      <c r="J2553" s="736"/>
      <c r="K2553" s="736">
        <v>15</v>
      </c>
      <c r="L2553" s="736">
        <v>1</v>
      </c>
      <c r="M2553" s="736">
        <f t="shared" si="11"/>
        <v>15</v>
      </c>
      <c r="N2553" s="736"/>
      <c r="R2553" s="413" t="s">
        <v>3159</v>
      </c>
      <c r="S2553" s="347"/>
    </row>
    <row r="2554" spans="1:19" x14ac:dyDescent="0.25">
      <c r="A2554" t="s">
        <v>3317</v>
      </c>
      <c r="B2554" s="50" t="s">
        <v>579</v>
      </c>
      <c r="C2554" s="51"/>
      <c r="D2554" s="349">
        <v>345669</v>
      </c>
      <c r="E2554" s="349">
        <f>VLOOKUP(D2554,'[1]Task list &amp; Maintenace plan'!$B:$G,6,FALSE)</f>
        <v>100696</v>
      </c>
      <c r="F2554" s="349" t="s">
        <v>3645</v>
      </c>
      <c r="G2554" s="351" t="s">
        <v>594</v>
      </c>
      <c r="H2554" s="351" t="s">
        <v>3650</v>
      </c>
      <c r="I2554" s="350">
        <v>30</v>
      </c>
      <c r="J2554" s="737"/>
      <c r="K2554" s="737">
        <v>15</v>
      </c>
      <c r="L2554" s="737">
        <v>1</v>
      </c>
      <c r="M2554" s="737">
        <f t="shared" si="11"/>
        <v>15</v>
      </c>
      <c r="N2554" s="737"/>
      <c r="R2554" s="414" t="s">
        <v>3159</v>
      </c>
      <c r="S2554" s="350"/>
    </row>
    <row r="2555" spans="1:19" x14ac:dyDescent="0.25">
      <c r="A2555" t="s">
        <v>3317</v>
      </c>
      <c r="B2555" s="50" t="s">
        <v>579</v>
      </c>
      <c r="C2555" s="51"/>
      <c r="D2555" s="343">
        <v>345670</v>
      </c>
      <c r="E2555" s="343">
        <f>VLOOKUP(D2555,'[1]Task list &amp; Maintenace plan'!$B:$G,6,FALSE)</f>
        <v>100697</v>
      </c>
      <c r="F2555" s="343" t="s">
        <v>3651</v>
      </c>
      <c r="G2555" s="345" t="s">
        <v>588</v>
      </c>
      <c r="H2555" s="345" t="s">
        <v>3652</v>
      </c>
      <c r="I2555" s="344">
        <v>15</v>
      </c>
      <c r="J2555" s="733"/>
      <c r="K2555" s="733">
        <v>60</v>
      </c>
      <c r="L2555" s="733">
        <v>1</v>
      </c>
      <c r="M2555" s="733">
        <f t="shared" si="11"/>
        <v>60</v>
      </c>
      <c r="N2555" s="733" t="s">
        <v>20</v>
      </c>
      <c r="R2555" s="418"/>
      <c r="S2555" s="344"/>
    </row>
    <row r="2556" spans="1:19" x14ac:dyDescent="0.25">
      <c r="A2556" t="s">
        <v>3317</v>
      </c>
      <c r="B2556" s="50" t="s">
        <v>579</v>
      </c>
      <c r="C2556" s="51"/>
      <c r="D2556" s="343">
        <v>345670</v>
      </c>
      <c r="E2556" s="343">
        <f>VLOOKUP(D2556,'[1]Task list &amp; Maintenace plan'!$B:$G,6,FALSE)</f>
        <v>100697</v>
      </c>
      <c r="F2556" s="343" t="s">
        <v>3651</v>
      </c>
      <c r="G2556" s="345" t="s">
        <v>588</v>
      </c>
      <c r="H2556" s="345" t="s">
        <v>3653</v>
      </c>
      <c r="I2556" s="344">
        <v>15</v>
      </c>
      <c r="J2556" s="736"/>
      <c r="K2556" s="736">
        <v>60</v>
      </c>
      <c r="L2556" s="736">
        <v>1</v>
      </c>
      <c r="M2556" s="736">
        <f t="shared" si="11"/>
        <v>60</v>
      </c>
      <c r="N2556" s="736"/>
      <c r="R2556" s="418"/>
      <c r="S2556" s="344"/>
    </row>
    <row r="2557" spans="1:19" x14ac:dyDescent="0.25">
      <c r="A2557" t="s">
        <v>3317</v>
      </c>
      <c r="B2557" s="50" t="s">
        <v>579</v>
      </c>
      <c r="C2557" s="51"/>
      <c r="D2557" s="346">
        <v>345670</v>
      </c>
      <c r="E2557" s="346">
        <f>VLOOKUP(D2557,'[1]Task list &amp; Maintenace plan'!$B:$G,6,FALSE)</f>
        <v>100697</v>
      </c>
      <c r="F2557" s="346" t="s">
        <v>3651</v>
      </c>
      <c r="G2557" s="348" t="s">
        <v>518</v>
      </c>
      <c r="H2557" s="348" t="s">
        <v>3654</v>
      </c>
      <c r="I2557" s="344">
        <v>15</v>
      </c>
      <c r="J2557" s="736"/>
      <c r="K2557" s="736">
        <v>60</v>
      </c>
      <c r="L2557" s="736">
        <v>1</v>
      </c>
      <c r="M2557" s="736">
        <f t="shared" si="11"/>
        <v>60</v>
      </c>
      <c r="N2557" s="736"/>
      <c r="R2557" s="418"/>
      <c r="S2557" s="344"/>
    </row>
    <row r="2558" spans="1:19" x14ac:dyDescent="0.25">
      <c r="A2558" t="s">
        <v>3317</v>
      </c>
      <c r="B2558" s="50" t="s">
        <v>579</v>
      </c>
      <c r="C2558" s="51"/>
      <c r="D2558" s="346">
        <v>345670</v>
      </c>
      <c r="E2558" s="346">
        <f>VLOOKUP(D2558,'[1]Task list &amp; Maintenace plan'!$B:$G,6,FALSE)</f>
        <v>100697</v>
      </c>
      <c r="F2558" s="346" t="s">
        <v>3651</v>
      </c>
      <c r="G2558" s="348" t="s">
        <v>583</v>
      </c>
      <c r="H2558" s="348" t="s">
        <v>3655</v>
      </c>
      <c r="I2558" s="344">
        <v>15</v>
      </c>
      <c r="J2558" s="736"/>
      <c r="K2558" s="736">
        <v>60</v>
      </c>
      <c r="L2558" s="736">
        <v>1</v>
      </c>
      <c r="M2558" s="736">
        <f t="shared" si="11"/>
        <v>60</v>
      </c>
      <c r="N2558" s="736"/>
      <c r="R2558" s="418"/>
      <c r="S2558" s="344"/>
    </row>
    <row r="2559" spans="1:19" x14ac:dyDescent="0.25">
      <c r="A2559" t="s">
        <v>3317</v>
      </c>
      <c r="B2559" s="50" t="s">
        <v>579</v>
      </c>
      <c r="C2559" s="51"/>
      <c r="D2559" s="346">
        <v>345670</v>
      </c>
      <c r="E2559" s="346">
        <f>VLOOKUP(D2559,'[1]Task list &amp; Maintenace plan'!$B:$G,6,FALSE)</f>
        <v>100697</v>
      </c>
      <c r="F2559" s="346" t="s">
        <v>3651</v>
      </c>
      <c r="G2559" s="348" t="s">
        <v>590</v>
      </c>
      <c r="H2559" s="348" t="s">
        <v>3656</v>
      </c>
      <c r="I2559" s="344">
        <v>15</v>
      </c>
      <c r="J2559" s="736"/>
      <c r="K2559" s="736">
        <v>60</v>
      </c>
      <c r="L2559" s="736">
        <v>1</v>
      </c>
      <c r="M2559" s="736">
        <f t="shared" si="11"/>
        <v>60</v>
      </c>
      <c r="N2559" s="736"/>
      <c r="R2559" s="418"/>
      <c r="S2559" s="344"/>
    </row>
    <row r="2560" spans="1:19" x14ac:dyDescent="0.25">
      <c r="A2560" t="s">
        <v>3317</v>
      </c>
      <c r="B2560" s="50" t="s">
        <v>579</v>
      </c>
      <c r="C2560" s="51"/>
      <c r="D2560" s="346">
        <v>345670</v>
      </c>
      <c r="E2560" s="346">
        <f>VLOOKUP(D2560,'[1]Task list &amp; Maintenace plan'!$B:$G,6,FALSE)</f>
        <v>100697</v>
      </c>
      <c r="F2560" s="346" t="s">
        <v>3651</v>
      </c>
      <c r="G2560" s="348" t="s">
        <v>583</v>
      </c>
      <c r="H2560" s="348" t="s">
        <v>3657</v>
      </c>
      <c r="I2560" s="344">
        <v>15</v>
      </c>
      <c r="J2560" s="736"/>
      <c r="K2560" s="736">
        <v>60</v>
      </c>
      <c r="L2560" s="736">
        <v>1</v>
      </c>
      <c r="M2560" s="736">
        <f t="shared" si="11"/>
        <v>60</v>
      </c>
      <c r="N2560" s="736"/>
      <c r="R2560" s="418"/>
      <c r="S2560" s="344"/>
    </row>
    <row r="2561" spans="1:19" x14ac:dyDescent="0.25">
      <c r="A2561" t="s">
        <v>3317</v>
      </c>
      <c r="B2561" s="50" t="s">
        <v>579</v>
      </c>
      <c r="C2561" s="51"/>
      <c r="D2561" s="346">
        <v>345670</v>
      </c>
      <c r="E2561" s="346">
        <f>VLOOKUP(D2561,'[1]Task list &amp; Maintenace plan'!$B:$G,6,FALSE)</f>
        <v>100697</v>
      </c>
      <c r="F2561" s="346" t="s">
        <v>3651</v>
      </c>
      <c r="G2561" s="348" t="s">
        <v>594</v>
      </c>
      <c r="H2561" s="348" t="s">
        <v>3658</v>
      </c>
      <c r="I2561" s="344">
        <v>15</v>
      </c>
      <c r="J2561" s="736"/>
      <c r="K2561" s="736">
        <v>60</v>
      </c>
      <c r="L2561" s="736">
        <v>1</v>
      </c>
      <c r="M2561" s="736">
        <f t="shared" si="11"/>
        <v>60</v>
      </c>
      <c r="N2561" s="736"/>
      <c r="R2561" s="418"/>
      <c r="S2561" s="344"/>
    </row>
    <row r="2562" spans="1:19" x14ac:dyDescent="0.25">
      <c r="A2562" t="s">
        <v>3317</v>
      </c>
      <c r="B2562" s="50" t="s">
        <v>579</v>
      </c>
      <c r="C2562" s="51"/>
      <c r="D2562" s="346">
        <v>345670</v>
      </c>
      <c r="E2562" s="346">
        <f>VLOOKUP(D2562,'[1]Task list &amp; Maintenace plan'!$B:$G,6,FALSE)</f>
        <v>100697</v>
      </c>
      <c r="F2562" s="346" t="s">
        <v>3651</v>
      </c>
      <c r="G2562" s="348" t="s">
        <v>581</v>
      </c>
      <c r="H2562" s="348" t="s">
        <v>3659</v>
      </c>
      <c r="I2562" s="344">
        <v>15</v>
      </c>
      <c r="J2562" s="736"/>
      <c r="K2562" s="736">
        <v>60</v>
      </c>
      <c r="L2562" s="736">
        <v>1</v>
      </c>
      <c r="M2562" s="736">
        <f t="shared" si="11"/>
        <v>60</v>
      </c>
      <c r="N2562" s="736"/>
      <c r="R2562" s="418"/>
      <c r="S2562" s="344"/>
    </row>
    <row r="2563" spans="1:19" x14ac:dyDescent="0.25">
      <c r="A2563" t="s">
        <v>3317</v>
      </c>
      <c r="B2563" s="50" t="s">
        <v>579</v>
      </c>
      <c r="C2563" s="51"/>
      <c r="D2563" s="346">
        <v>345670</v>
      </c>
      <c r="E2563" s="346">
        <f>VLOOKUP(D2563,'[1]Task list &amp; Maintenace plan'!$B:$G,6,FALSE)</f>
        <v>100697</v>
      </c>
      <c r="F2563" s="346" t="s">
        <v>3651</v>
      </c>
      <c r="G2563" s="348" t="s">
        <v>581</v>
      </c>
      <c r="H2563" s="348" t="s">
        <v>3660</v>
      </c>
      <c r="I2563" s="344">
        <v>15</v>
      </c>
      <c r="J2563" s="736"/>
      <c r="K2563" s="736">
        <v>60</v>
      </c>
      <c r="L2563" s="736">
        <v>1</v>
      </c>
      <c r="M2563" s="736">
        <f t="shared" si="11"/>
        <v>60</v>
      </c>
      <c r="N2563" s="736"/>
      <c r="R2563" s="418"/>
      <c r="S2563" s="344"/>
    </row>
    <row r="2564" spans="1:19" x14ac:dyDescent="0.25">
      <c r="A2564" t="s">
        <v>3317</v>
      </c>
      <c r="B2564" s="50" t="s">
        <v>579</v>
      </c>
      <c r="C2564" s="51"/>
      <c r="D2564" s="346">
        <v>345670</v>
      </c>
      <c r="E2564" s="346">
        <f>VLOOKUP(D2564,'[1]Task list &amp; Maintenace plan'!$B:$G,6,FALSE)</f>
        <v>100697</v>
      </c>
      <c r="F2564" s="346" t="s">
        <v>3651</v>
      </c>
      <c r="G2564" s="348" t="s">
        <v>592</v>
      </c>
      <c r="H2564" s="348" t="s">
        <v>3661</v>
      </c>
      <c r="I2564" s="344">
        <v>15</v>
      </c>
      <c r="J2564" s="736"/>
      <c r="K2564" s="736">
        <v>60</v>
      </c>
      <c r="L2564" s="736">
        <v>1</v>
      </c>
      <c r="M2564" s="736">
        <f t="shared" si="11"/>
        <v>60</v>
      </c>
      <c r="N2564" s="736"/>
      <c r="R2564" s="418"/>
      <c r="S2564" s="344"/>
    </row>
    <row r="2565" spans="1:19" x14ac:dyDescent="0.25">
      <c r="A2565" t="s">
        <v>3317</v>
      </c>
      <c r="B2565" s="50" t="s">
        <v>579</v>
      </c>
      <c r="C2565" s="51"/>
      <c r="D2565" s="415">
        <v>345670</v>
      </c>
      <c r="E2565" s="415">
        <f>VLOOKUP(D2565,'[1]Task list &amp; Maintenace plan'!$B:$G,6,FALSE)</f>
        <v>100697</v>
      </c>
      <c r="F2565" s="415" t="s">
        <v>3651</v>
      </c>
      <c r="G2565" s="494" t="s">
        <v>586</v>
      </c>
      <c r="H2565" s="494" t="s">
        <v>3662</v>
      </c>
      <c r="I2565" s="361">
        <v>15</v>
      </c>
      <c r="J2565" s="737"/>
      <c r="K2565" s="737">
        <v>60</v>
      </c>
      <c r="L2565" s="737">
        <v>1</v>
      </c>
      <c r="M2565" s="737">
        <f t="shared" si="11"/>
        <v>60</v>
      </c>
      <c r="N2565" s="737"/>
      <c r="R2565" s="419"/>
      <c r="S2565" s="361"/>
    </row>
    <row r="2566" spans="1:19" x14ac:dyDescent="0.25">
      <c r="A2566" t="s">
        <v>3317</v>
      </c>
      <c r="B2566" s="50" t="s">
        <v>579</v>
      </c>
      <c r="C2566" s="51"/>
      <c r="D2566" s="417">
        <v>345893</v>
      </c>
      <c r="E2566" s="417">
        <f>VLOOKUP(D2566,'[1]Task list &amp; Maintenace plan'!$B:$G,6,FALSE)</f>
        <v>100698</v>
      </c>
      <c r="F2566" s="417" t="s">
        <v>3663</v>
      </c>
      <c r="G2566" s="420" t="s">
        <v>581</v>
      </c>
      <c r="H2566" s="420" t="s">
        <v>3664</v>
      </c>
      <c r="I2566" s="421">
        <v>30</v>
      </c>
      <c r="J2566" s="733"/>
      <c r="K2566" s="733">
        <v>30</v>
      </c>
      <c r="L2566" s="733">
        <v>1</v>
      </c>
      <c r="M2566" s="733">
        <f t="shared" si="11"/>
        <v>30</v>
      </c>
      <c r="N2566" s="733" t="s">
        <v>20</v>
      </c>
      <c r="R2566" s="422"/>
      <c r="S2566" s="421"/>
    </row>
    <row r="2567" spans="1:19" x14ac:dyDescent="0.25">
      <c r="A2567" t="s">
        <v>3317</v>
      </c>
      <c r="B2567" s="50" t="s">
        <v>579</v>
      </c>
      <c r="C2567" s="51"/>
      <c r="D2567" s="349">
        <v>345893</v>
      </c>
      <c r="E2567" s="349">
        <f>VLOOKUP(D2567,'[1]Task list &amp; Maintenace plan'!$B:$G,6,FALSE)</f>
        <v>100698</v>
      </c>
      <c r="F2567" s="349" t="s">
        <v>3663</v>
      </c>
      <c r="G2567" s="351" t="s">
        <v>581</v>
      </c>
      <c r="H2567" s="351" t="s">
        <v>3665</v>
      </c>
      <c r="I2567" s="350">
        <v>30</v>
      </c>
      <c r="J2567" s="737"/>
      <c r="K2567" s="737">
        <v>30</v>
      </c>
      <c r="L2567" s="737">
        <v>1</v>
      </c>
      <c r="M2567" s="737">
        <f t="shared" si="11"/>
        <v>30</v>
      </c>
      <c r="N2567" s="737"/>
      <c r="R2567" s="414"/>
      <c r="S2567" s="350"/>
    </row>
    <row r="2568" spans="1:19" x14ac:dyDescent="0.25">
      <c r="A2568" t="s">
        <v>3317</v>
      </c>
      <c r="B2568" s="50" t="s">
        <v>579</v>
      </c>
      <c r="C2568" s="51"/>
      <c r="D2568" s="352">
        <v>345865</v>
      </c>
      <c r="E2568" s="352">
        <f>VLOOKUP(D2568,'[1]Task list &amp; Maintenace plan'!$B:$G,6,FALSE)</f>
        <v>372</v>
      </c>
      <c r="F2568" s="352" t="s">
        <v>3666</v>
      </c>
      <c r="G2568" s="61" t="s">
        <v>583</v>
      </c>
      <c r="H2568" s="61" t="s">
        <v>3667</v>
      </c>
      <c r="I2568" s="353">
        <v>30</v>
      </c>
      <c r="J2568" s="412">
        <v>1</v>
      </c>
      <c r="K2568" s="412">
        <v>30</v>
      </c>
      <c r="L2568" s="412">
        <v>1</v>
      </c>
      <c r="M2568" s="412">
        <f t="shared" si="11"/>
        <v>30</v>
      </c>
      <c r="N2568" s="412" t="s">
        <v>20</v>
      </c>
      <c r="R2568" s="411">
        <v>41885</v>
      </c>
      <c r="S2568" s="353"/>
    </row>
    <row r="2569" spans="1:19" x14ac:dyDescent="0.25">
      <c r="A2569" t="s">
        <v>3317</v>
      </c>
      <c r="B2569" s="50" t="s">
        <v>579</v>
      </c>
      <c r="C2569" s="51"/>
      <c r="D2569" s="343">
        <v>345922</v>
      </c>
      <c r="E2569" s="343">
        <f>VLOOKUP(D2569,'[1]Task list &amp; Maintenace plan'!$B:$G,6,FALSE)</f>
        <v>100699</v>
      </c>
      <c r="F2569" s="343" t="s">
        <v>3668</v>
      </c>
      <c r="G2569" s="345" t="s">
        <v>518</v>
      </c>
      <c r="H2569" s="345" t="s">
        <v>3669</v>
      </c>
      <c r="I2569" s="344">
        <v>180</v>
      </c>
      <c r="J2569" s="733">
        <v>1</v>
      </c>
      <c r="K2569" s="733">
        <v>60</v>
      </c>
      <c r="L2569" s="733">
        <v>2</v>
      </c>
      <c r="M2569" s="733">
        <f t="shared" si="11"/>
        <v>120</v>
      </c>
      <c r="N2569" s="733" t="s">
        <v>3174</v>
      </c>
      <c r="R2569" s="418" t="s">
        <v>3251</v>
      </c>
      <c r="S2569" s="344"/>
    </row>
    <row r="2570" spans="1:19" x14ac:dyDescent="0.25">
      <c r="A2570" t="s">
        <v>3317</v>
      </c>
      <c r="B2570" s="50" t="s">
        <v>579</v>
      </c>
      <c r="C2570" s="51"/>
      <c r="D2570" s="349">
        <v>345922</v>
      </c>
      <c r="E2570" s="349">
        <f>VLOOKUP(D2570,'[1]Task list &amp; Maintenace plan'!$B:$G,6,FALSE)</f>
        <v>100699</v>
      </c>
      <c r="F2570" s="349" t="s">
        <v>3668</v>
      </c>
      <c r="G2570" s="351" t="s">
        <v>588</v>
      </c>
      <c r="H2570" s="351" t="s">
        <v>3670</v>
      </c>
      <c r="I2570" s="350">
        <v>180</v>
      </c>
      <c r="J2570" s="737">
        <v>1</v>
      </c>
      <c r="K2570" s="737">
        <v>60</v>
      </c>
      <c r="L2570" s="737">
        <v>2</v>
      </c>
      <c r="M2570" s="737">
        <f t="shared" si="11"/>
        <v>120</v>
      </c>
      <c r="N2570" s="737"/>
      <c r="R2570" s="414" t="s">
        <v>3251</v>
      </c>
      <c r="S2570" s="350"/>
    </row>
    <row r="2571" spans="1:19" x14ac:dyDescent="0.25">
      <c r="A2571" t="s">
        <v>3317</v>
      </c>
      <c r="B2571" s="50" t="s">
        <v>579</v>
      </c>
      <c r="C2571" s="51"/>
      <c r="D2571" s="352">
        <v>345923</v>
      </c>
      <c r="E2571" s="352">
        <f>VLOOKUP(D2571,'[1]Task list &amp; Maintenace plan'!$B:$G,6,FALSE)</f>
        <v>373</v>
      </c>
      <c r="F2571" s="352" t="s">
        <v>3671</v>
      </c>
      <c r="G2571" s="61" t="s">
        <v>592</v>
      </c>
      <c r="H2571" s="61" t="s">
        <v>3672</v>
      </c>
      <c r="I2571" s="353">
        <v>365</v>
      </c>
      <c r="J2571" s="412">
        <v>1</v>
      </c>
      <c r="K2571" s="412">
        <v>240</v>
      </c>
      <c r="L2571" s="412">
        <v>6</v>
      </c>
      <c r="M2571" s="412">
        <f t="shared" si="11"/>
        <v>1440</v>
      </c>
      <c r="N2571" s="412" t="s">
        <v>468</v>
      </c>
      <c r="R2571" s="411">
        <v>41885</v>
      </c>
      <c r="S2571" s="353"/>
    </row>
    <row r="2572" spans="1:19" x14ac:dyDescent="0.25">
      <c r="A2572" t="s">
        <v>3317</v>
      </c>
      <c r="B2572" s="50" t="s">
        <v>579</v>
      </c>
      <c r="C2572" s="51"/>
      <c r="D2572" s="343">
        <v>345924</v>
      </c>
      <c r="E2572" s="343">
        <f>VLOOKUP(D2572,'[1]Task list &amp; Maintenace plan'!$B:$G,6,FALSE)</f>
        <v>100700</v>
      </c>
      <c r="F2572" s="343" t="s">
        <v>3668</v>
      </c>
      <c r="G2572" s="345" t="s">
        <v>590</v>
      </c>
      <c r="H2572" s="345" t="s">
        <v>3673</v>
      </c>
      <c r="I2572" s="344">
        <v>180</v>
      </c>
      <c r="J2572" s="733">
        <v>1</v>
      </c>
      <c r="K2572" s="733">
        <v>90</v>
      </c>
      <c r="L2572" s="733">
        <v>2</v>
      </c>
      <c r="M2572" s="733">
        <f t="shared" si="11"/>
        <v>180</v>
      </c>
      <c r="N2572" s="733" t="s">
        <v>3174</v>
      </c>
      <c r="R2572" s="418" t="s">
        <v>3674</v>
      </c>
      <c r="S2572" s="344"/>
    </row>
    <row r="2573" spans="1:19" x14ac:dyDescent="0.25">
      <c r="A2573" t="s">
        <v>3317</v>
      </c>
      <c r="B2573" s="50" t="s">
        <v>579</v>
      </c>
      <c r="C2573" s="51"/>
      <c r="D2573" s="346">
        <v>345924</v>
      </c>
      <c r="E2573" s="346">
        <f>VLOOKUP(D2573,'[1]Task list &amp; Maintenace plan'!$B:$G,6,FALSE)</f>
        <v>100700</v>
      </c>
      <c r="F2573" s="346" t="s">
        <v>3668</v>
      </c>
      <c r="G2573" s="348" t="s">
        <v>592</v>
      </c>
      <c r="H2573" s="348" t="s">
        <v>3675</v>
      </c>
      <c r="I2573" s="347">
        <v>180</v>
      </c>
      <c r="J2573" s="736">
        <v>1</v>
      </c>
      <c r="K2573" s="736">
        <v>90</v>
      </c>
      <c r="L2573" s="736">
        <v>2</v>
      </c>
      <c r="M2573" s="736">
        <f t="shared" si="11"/>
        <v>180</v>
      </c>
      <c r="N2573" s="736"/>
      <c r="R2573" s="413" t="s">
        <v>3674</v>
      </c>
      <c r="S2573" s="347"/>
    </row>
    <row r="2574" spans="1:19" ht="15.75" thickBot="1" x14ac:dyDescent="0.3">
      <c r="A2574" t="s">
        <v>3317</v>
      </c>
      <c r="B2574" s="50" t="s">
        <v>579</v>
      </c>
      <c r="C2574" s="214"/>
      <c r="D2574" s="466">
        <v>345924</v>
      </c>
      <c r="E2574" s="466">
        <f>VLOOKUP(D2574,'[1]Task list &amp; Maintenace plan'!$B:$G,6,FALSE)</f>
        <v>100700</v>
      </c>
      <c r="F2574" s="466" t="s">
        <v>3668</v>
      </c>
      <c r="G2574" s="468" t="s">
        <v>594</v>
      </c>
      <c r="H2574" s="468" t="s">
        <v>3676</v>
      </c>
      <c r="I2574" s="467">
        <v>180</v>
      </c>
      <c r="J2574" s="738">
        <v>1</v>
      </c>
      <c r="K2574" s="738">
        <v>90</v>
      </c>
      <c r="L2574" s="738">
        <v>2</v>
      </c>
      <c r="M2574" s="738">
        <f t="shared" si="11"/>
        <v>180</v>
      </c>
      <c r="N2574" s="738"/>
      <c r="R2574" s="543" t="s">
        <v>3674</v>
      </c>
      <c r="S2574" s="467"/>
    </row>
    <row r="2575" spans="1:19" x14ac:dyDescent="0.25">
      <c r="A2575" t="s">
        <v>3317</v>
      </c>
      <c r="B2575" s="50" t="s">
        <v>612</v>
      </c>
      <c r="C2575" s="51"/>
      <c r="D2575" s="343">
        <v>345881</v>
      </c>
      <c r="E2575" s="343">
        <f>VLOOKUP(D2575,'[1]Task list &amp; Maintenace plan'!$B:$G,6,FALSE)</f>
        <v>100701</v>
      </c>
      <c r="F2575" s="343" t="s">
        <v>3677</v>
      </c>
      <c r="G2575" s="345" t="s">
        <v>613</v>
      </c>
      <c r="H2575" s="345" t="s">
        <v>3678</v>
      </c>
      <c r="I2575" s="344">
        <v>30</v>
      </c>
      <c r="J2575" s="739"/>
      <c r="K2575" s="739">
        <v>15</v>
      </c>
      <c r="L2575" s="739">
        <v>1</v>
      </c>
      <c r="M2575" s="739">
        <f t="shared" si="11"/>
        <v>15</v>
      </c>
      <c r="N2575" s="739" t="s">
        <v>3174</v>
      </c>
      <c r="R2575" s="418" t="s">
        <v>3159</v>
      </c>
      <c r="S2575" s="344"/>
    </row>
    <row r="2576" spans="1:19" x14ac:dyDescent="0.25">
      <c r="A2576" t="s">
        <v>3317</v>
      </c>
      <c r="B2576" s="50" t="s">
        <v>612</v>
      </c>
      <c r="C2576" s="51"/>
      <c r="D2576" s="343">
        <v>345881</v>
      </c>
      <c r="E2576" s="343">
        <f>VLOOKUP(D2576,'[1]Task list &amp; Maintenace plan'!$B:$G,6,FALSE)</f>
        <v>100701</v>
      </c>
      <c r="F2576" s="343" t="s">
        <v>3677</v>
      </c>
      <c r="G2576" s="345" t="s">
        <v>3679</v>
      </c>
      <c r="H2576" s="345" t="s">
        <v>3680</v>
      </c>
      <c r="I2576" s="344">
        <v>30</v>
      </c>
      <c r="J2576" s="736"/>
      <c r="K2576" s="736">
        <v>15</v>
      </c>
      <c r="L2576" s="736">
        <v>1</v>
      </c>
      <c r="M2576" s="736">
        <f t="shared" si="11"/>
        <v>15</v>
      </c>
      <c r="N2576" s="736"/>
      <c r="R2576" s="418" t="s">
        <v>3159</v>
      </c>
      <c r="S2576" s="344"/>
    </row>
    <row r="2577" spans="1:19" x14ac:dyDescent="0.25">
      <c r="A2577" t="s">
        <v>3317</v>
      </c>
      <c r="B2577" s="50" t="s">
        <v>612</v>
      </c>
      <c r="C2577" s="51"/>
      <c r="D2577" s="346">
        <v>345881</v>
      </c>
      <c r="E2577" s="346">
        <f>VLOOKUP(D2577,'[1]Task list &amp; Maintenace plan'!$B:$G,6,FALSE)</f>
        <v>100701</v>
      </c>
      <c r="F2577" s="346" t="s">
        <v>3677</v>
      </c>
      <c r="G2577" s="348" t="s">
        <v>620</v>
      </c>
      <c r="H2577" s="348" t="s">
        <v>3681</v>
      </c>
      <c r="I2577" s="347">
        <v>30</v>
      </c>
      <c r="J2577" s="736"/>
      <c r="K2577" s="736">
        <v>15</v>
      </c>
      <c r="L2577" s="736">
        <v>1</v>
      </c>
      <c r="M2577" s="736">
        <f t="shared" si="11"/>
        <v>15</v>
      </c>
      <c r="N2577" s="736"/>
      <c r="R2577" s="413" t="s">
        <v>3159</v>
      </c>
      <c r="S2577" s="347"/>
    </row>
    <row r="2578" spans="1:19" x14ac:dyDescent="0.25">
      <c r="A2578" t="s">
        <v>3317</v>
      </c>
      <c r="B2578" s="50" t="s">
        <v>612</v>
      </c>
      <c r="C2578" s="51"/>
      <c r="D2578" s="346">
        <v>345881</v>
      </c>
      <c r="E2578" s="346">
        <f>VLOOKUP(D2578,'[1]Task list &amp; Maintenace plan'!$B:$G,6,FALSE)</f>
        <v>100701</v>
      </c>
      <c r="F2578" s="346" t="s">
        <v>3677</v>
      </c>
      <c r="G2578" s="348" t="s">
        <v>622</v>
      </c>
      <c r="H2578" s="348" t="s">
        <v>3682</v>
      </c>
      <c r="I2578" s="347">
        <v>30</v>
      </c>
      <c r="J2578" s="736"/>
      <c r="K2578" s="736">
        <v>15</v>
      </c>
      <c r="L2578" s="736">
        <v>1</v>
      </c>
      <c r="M2578" s="736">
        <f t="shared" ref="M2578:M2641" si="12">K2578*L2578</f>
        <v>15</v>
      </c>
      <c r="N2578" s="736"/>
      <c r="R2578" s="413" t="s">
        <v>3159</v>
      </c>
      <c r="S2578" s="347"/>
    </row>
    <row r="2579" spans="1:19" x14ac:dyDescent="0.25">
      <c r="A2579" t="s">
        <v>3317</v>
      </c>
      <c r="B2579" s="50" t="s">
        <v>612</v>
      </c>
      <c r="C2579" s="51"/>
      <c r="D2579" s="346">
        <v>345881</v>
      </c>
      <c r="E2579" s="346">
        <f>VLOOKUP(D2579,'[1]Task list &amp; Maintenace plan'!$B:$G,6,FALSE)</f>
        <v>100701</v>
      </c>
      <c r="F2579" s="346" t="s">
        <v>3677</v>
      </c>
      <c r="G2579" s="348" t="s">
        <v>624</v>
      </c>
      <c r="H2579" s="348" t="s">
        <v>3683</v>
      </c>
      <c r="I2579" s="347">
        <v>30</v>
      </c>
      <c r="J2579" s="736"/>
      <c r="K2579" s="736">
        <v>15</v>
      </c>
      <c r="L2579" s="736">
        <v>1</v>
      </c>
      <c r="M2579" s="736">
        <f t="shared" si="12"/>
        <v>15</v>
      </c>
      <c r="N2579" s="736"/>
      <c r="R2579" s="413" t="s">
        <v>3159</v>
      </c>
      <c r="S2579" s="347"/>
    </row>
    <row r="2580" spans="1:19" x14ac:dyDescent="0.25">
      <c r="A2580" t="s">
        <v>3317</v>
      </c>
      <c r="B2580" s="50" t="s">
        <v>612</v>
      </c>
      <c r="C2580" s="51"/>
      <c r="D2580" s="349">
        <v>345881</v>
      </c>
      <c r="E2580" s="349">
        <f>VLOOKUP(D2580,'[1]Task list &amp; Maintenace plan'!$B:$G,6,FALSE)</f>
        <v>100701</v>
      </c>
      <c r="F2580" s="349" t="s">
        <v>3677</v>
      </c>
      <c r="G2580" s="351" t="s">
        <v>627</v>
      </c>
      <c r="H2580" s="351" t="s">
        <v>3684</v>
      </c>
      <c r="I2580" s="350">
        <v>30</v>
      </c>
      <c r="J2580" s="737"/>
      <c r="K2580" s="737">
        <v>15</v>
      </c>
      <c r="L2580" s="737">
        <v>1</v>
      </c>
      <c r="M2580" s="737">
        <f t="shared" si="12"/>
        <v>15</v>
      </c>
      <c r="N2580" s="737"/>
      <c r="R2580" s="414" t="s">
        <v>3159</v>
      </c>
      <c r="S2580" s="350"/>
    </row>
    <row r="2581" spans="1:19" x14ac:dyDescent="0.25">
      <c r="A2581" t="s">
        <v>3317</v>
      </c>
      <c r="B2581" s="50" t="s">
        <v>612</v>
      </c>
      <c r="C2581" s="51"/>
      <c r="D2581" s="343">
        <v>345894</v>
      </c>
      <c r="E2581" s="343">
        <f>VLOOKUP(D2581,'[1]Task list &amp; Maintenace plan'!$B:$G,6,FALSE)</f>
        <v>100702</v>
      </c>
      <c r="F2581" s="343" t="s">
        <v>3685</v>
      </c>
      <c r="G2581" s="345" t="s">
        <v>616</v>
      </c>
      <c r="H2581" s="345" t="s">
        <v>3686</v>
      </c>
      <c r="I2581" s="344">
        <v>30</v>
      </c>
      <c r="J2581" s="733"/>
      <c r="K2581" s="733">
        <v>60</v>
      </c>
      <c r="L2581" s="733">
        <v>1</v>
      </c>
      <c r="M2581" s="733">
        <f t="shared" si="12"/>
        <v>60</v>
      </c>
      <c r="N2581" s="733" t="s">
        <v>20</v>
      </c>
      <c r="R2581" s="418"/>
      <c r="S2581" s="344"/>
    </row>
    <row r="2582" spans="1:19" x14ac:dyDescent="0.25">
      <c r="A2582" t="s">
        <v>3317</v>
      </c>
      <c r="B2582" s="50" t="s">
        <v>612</v>
      </c>
      <c r="C2582" s="51"/>
      <c r="D2582" s="346">
        <v>345894</v>
      </c>
      <c r="E2582" s="346">
        <f>VLOOKUP(D2582,'[1]Task list &amp; Maintenace plan'!$B:$G,6,FALSE)</f>
        <v>100702</v>
      </c>
      <c r="F2582" s="346" t="s">
        <v>3685</v>
      </c>
      <c r="G2582" s="348" t="s">
        <v>613</v>
      </c>
      <c r="H2582" s="348" t="s">
        <v>3687</v>
      </c>
      <c r="I2582" s="347">
        <v>30</v>
      </c>
      <c r="J2582" s="736"/>
      <c r="K2582" s="736">
        <v>60</v>
      </c>
      <c r="L2582" s="736">
        <v>1</v>
      </c>
      <c r="M2582" s="736">
        <f t="shared" si="12"/>
        <v>60</v>
      </c>
      <c r="N2582" s="736"/>
      <c r="R2582" s="413"/>
      <c r="S2582" s="347"/>
    </row>
    <row r="2583" spans="1:19" x14ac:dyDescent="0.25">
      <c r="A2583" t="s">
        <v>3317</v>
      </c>
      <c r="B2583" s="50" t="s">
        <v>612</v>
      </c>
      <c r="C2583" s="51"/>
      <c r="D2583" s="346">
        <v>345894</v>
      </c>
      <c r="E2583" s="346">
        <f>VLOOKUP(D2583,'[1]Task list &amp; Maintenace plan'!$B:$G,6,FALSE)</f>
        <v>100702</v>
      </c>
      <c r="F2583" s="346" t="s">
        <v>3685</v>
      </c>
      <c r="G2583" s="348" t="s">
        <v>620</v>
      </c>
      <c r="H2583" s="348" t="s">
        <v>3688</v>
      </c>
      <c r="I2583" s="347">
        <v>30</v>
      </c>
      <c r="J2583" s="736"/>
      <c r="K2583" s="736">
        <v>60</v>
      </c>
      <c r="L2583" s="736">
        <v>1</v>
      </c>
      <c r="M2583" s="736">
        <f t="shared" si="12"/>
        <v>60</v>
      </c>
      <c r="N2583" s="736"/>
      <c r="R2583" s="413"/>
      <c r="S2583" s="347"/>
    </row>
    <row r="2584" spans="1:19" x14ac:dyDescent="0.25">
      <c r="A2584" t="s">
        <v>3317</v>
      </c>
      <c r="B2584" s="50" t="s">
        <v>612</v>
      </c>
      <c r="C2584" s="544"/>
      <c r="D2584" s="346">
        <v>345894</v>
      </c>
      <c r="E2584" s="346">
        <f>VLOOKUP(D2584,'[1]Task list &amp; Maintenace plan'!$B:$G,6,FALSE)</f>
        <v>100702</v>
      </c>
      <c r="F2584" s="346" t="s">
        <v>3685</v>
      </c>
      <c r="G2584" s="348" t="s">
        <v>622</v>
      </c>
      <c r="H2584" s="348" t="s">
        <v>3689</v>
      </c>
      <c r="I2584" s="347">
        <v>30</v>
      </c>
      <c r="J2584" s="736"/>
      <c r="K2584" s="736">
        <v>60</v>
      </c>
      <c r="L2584" s="736">
        <v>1</v>
      </c>
      <c r="M2584" s="736">
        <f t="shared" si="12"/>
        <v>60</v>
      </c>
      <c r="N2584" s="736"/>
      <c r="R2584" s="413"/>
      <c r="S2584" s="347"/>
    </row>
    <row r="2585" spans="1:19" x14ac:dyDescent="0.25">
      <c r="A2585" t="s">
        <v>3317</v>
      </c>
      <c r="B2585" s="50" t="s">
        <v>612</v>
      </c>
      <c r="C2585" s="51"/>
      <c r="D2585" s="346">
        <v>345894</v>
      </c>
      <c r="E2585" s="346">
        <f>VLOOKUP(D2585,'[1]Task list &amp; Maintenace plan'!$B:$G,6,FALSE)</f>
        <v>100702</v>
      </c>
      <c r="F2585" s="346" t="s">
        <v>3685</v>
      </c>
      <c r="G2585" s="348" t="s">
        <v>622</v>
      </c>
      <c r="H2585" s="348" t="s">
        <v>3690</v>
      </c>
      <c r="I2585" s="347">
        <v>30</v>
      </c>
      <c r="J2585" s="736"/>
      <c r="K2585" s="736">
        <v>60</v>
      </c>
      <c r="L2585" s="736">
        <v>1</v>
      </c>
      <c r="M2585" s="736">
        <f t="shared" si="12"/>
        <v>60</v>
      </c>
      <c r="N2585" s="736"/>
      <c r="R2585" s="413"/>
      <c r="S2585" s="347"/>
    </row>
    <row r="2586" spans="1:19" x14ac:dyDescent="0.25">
      <c r="A2586" t="s">
        <v>3317</v>
      </c>
      <c r="B2586" s="50" t="s">
        <v>612</v>
      </c>
      <c r="C2586" s="51"/>
      <c r="D2586" s="346">
        <v>345894</v>
      </c>
      <c r="E2586" s="346">
        <f>VLOOKUP(D2586,'[1]Task list &amp; Maintenace plan'!$B:$G,6,FALSE)</f>
        <v>100702</v>
      </c>
      <c r="F2586" s="346" t="s">
        <v>3685</v>
      </c>
      <c r="G2586" s="348" t="s">
        <v>624</v>
      </c>
      <c r="H2586" s="348" t="s">
        <v>3691</v>
      </c>
      <c r="I2586" s="347">
        <v>30</v>
      </c>
      <c r="J2586" s="736"/>
      <c r="K2586" s="736">
        <v>60</v>
      </c>
      <c r="L2586" s="736">
        <v>1</v>
      </c>
      <c r="M2586" s="736">
        <f t="shared" si="12"/>
        <v>60</v>
      </c>
      <c r="N2586" s="736"/>
      <c r="R2586" s="413"/>
      <c r="S2586" s="347"/>
    </row>
    <row r="2587" spans="1:19" x14ac:dyDescent="0.25">
      <c r="A2587" t="s">
        <v>3317</v>
      </c>
      <c r="B2587" s="50" t="s">
        <v>612</v>
      </c>
      <c r="C2587" s="51"/>
      <c r="D2587" s="346">
        <v>345894</v>
      </c>
      <c r="E2587" s="346">
        <f>VLOOKUP(D2587,'[1]Task list &amp; Maintenace plan'!$B:$G,6,FALSE)</f>
        <v>100702</v>
      </c>
      <c r="F2587" s="346" t="s">
        <v>3685</v>
      </c>
      <c r="G2587" s="348" t="s">
        <v>627</v>
      </c>
      <c r="H2587" s="348" t="s">
        <v>3692</v>
      </c>
      <c r="I2587" s="347">
        <v>30</v>
      </c>
      <c r="J2587" s="736"/>
      <c r="K2587" s="736">
        <v>60</v>
      </c>
      <c r="L2587" s="736">
        <v>1</v>
      </c>
      <c r="M2587" s="736">
        <f t="shared" si="12"/>
        <v>60</v>
      </c>
      <c r="N2587" s="736"/>
      <c r="R2587" s="413"/>
      <c r="S2587" s="347"/>
    </row>
    <row r="2588" spans="1:19" x14ac:dyDescent="0.25">
      <c r="A2588" t="s">
        <v>3317</v>
      </c>
      <c r="B2588" s="50" t="s">
        <v>612</v>
      </c>
      <c r="C2588" s="51"/>
      <c r="D2588" s="346">
        <v>345894</v>
      </c>
      <c r="E2588" s="346">
        <f>VLOOKUP(D2588,'[1]Task list &amp; Maintenace plan'!$B:$G,6,FALSE)</f>
        <v>100702</v>
      </c>
      <c r="F2588" s="346" t="s">
        <v>3685</v>
      </c>
      <c r="G2588" s="348" t="s">
        <v>629</v>
      </c>
      <c r="H2588" s="348" t="s">
        <v>3693</v>
      </c>
      <c r="I2588" s="347">
        <v>30</v>
      </c>
      <c r="J2588" s="736"/>
      <c r="K2588" s="736">
        <v>60</v>
      </c>
      <c r="L2588" s="736">
        <v>1</v>
      </c>
      <c r="M2588" s="736">
        <f t="shared" si="12"/>
        <v>60</v>
      </c>
      <c r="N2588" s="736"/>
      <c r="R2588" s="413"/>
      <c r="S2588" s="347"/>
    </row>
    <row r="2589" spans="1:19" x14ac:dyDescent="0.25">
      <c r="A2589" t="s">
        <v>3317</v>
      </c>
      <c r="B2589" s="50" t="s">
        <v>612</v>
      </c>
      <c r="C2589" s="51"/>
      <c r="D2589" s="349">
        <v>345894</v>
      </c>
      <c r="E2589" s="349">
        <f>VLOOKUP(D2589,'[1]Task list &amp; Maintenace plan'!$B:$G,6,FALSE)</f>
        <v>100702</v>
      </c>
      <c r="F2589" s="349" t="s">
        <v>3685</v>
      </c>
      <c r="G2589" s="351" t="s">
        <v>631</v>
      </c>
      <c r="H2589" s="351" t="s">
        <v>3694</v>
      </c>
      <c r="I2589" s="350">
        <v>30</v>
      </c>
      <c r="J2589" s="737"/>
      <c r="K2589" s="737">
        <v>60</v>
      </c>
      <c r="L2589" s="737">
        <v>1</v>
      </c>
      <c r="M2589" s="737">
        <f t="shared" si="12"/>
        <v>60</v>
      </c>
      <c r="N2589" s="737"/>
      <c r="R2589" s="414"/>
      <c r="S2589" s="350"/>
    </row>
    <row r="2590" spans="1:19" x14ac:dyDescent="0.25">
      <c r="A2590" t="s">
        <v>3317</v>
      </c>
      <c r="B2590" s="50" t="s">
        <v>612</v>
      </c>
      <c r="C2590" s="51"/>
      <c r="D2590" s="343">
        <v>345895</v>
      </c>
      <c r="E2590" s="343">
        <f>VLOOKUP(D2590,'[1]Task list &amp; Maintenace plan'!$B:$G,6,FALSE)</f>
        <v>100703</v>
      </c>
      <c r="F2590" s="343" t="s">
        <v>3695</v>
      </c>
      <c r="G2590" s="345" t="s">
        <v>613</v>
      </c>
      <c r="H2590" s="345" t="s">
        <v>3696</v>
      </c>
      <c r="I2590" s="344">
        <v>30</v>
      </c>
      <c r="J2590" s="733"/>
      <c r="K2590" s="733">
        <v>30</v>
      </c>
      <c r="L2590" s="733">
        <v>1</v>
      </c>
      <c r="M2590" s="733">
        <f t="shared" si="12"/>
        <v>30</v>
      </c>
      <c r="N2590" s="733" t="s">
        <v>20</v>
      </c>
      <c r="R2590" s="418"/>
      <c r="S2590" s="344"/>
    </row>
    <row r="2591" spans="1:19" x14ac:dyDescent="0.25">
      <c r="A2591" t="s">
        <v>3317</v>
      </c>
      <c r="B2591" s="50" t="s">
        <v>612</v>
      </c>
      <c r="C2591" s="51"/>
      <c r="D2591" s="349">
        <v>345895</v>
      </c>
      <c r="E2591" s="349">
        <f>VLOOKUP(D2591,'[1]Task list &amp; Maintenace plan'!$B:$G,6,FALSE)</f>
        <v>100703</v>
      </c>
      <c r="F2591" s="349" t="s">
        <v>3695</v>
      </c>
      <c r="G2591" s="351" t="s">
        <v>616</v>
      </c>
      <c r="H2591" s="351" t="s">
        <v>3697</v>
      </c>
      <c r="I2591" s="350">
        <v>30</v>
      </c>
      <c r="J2591" s="737"/>
      <c r="K2591" s="737">
        <v>30</v>
      </c>
      <c r="L2591" s="737">
        <v>1</v>
      </c>
      <c r="M2591" s="737">
        <f t="shared" si="12"/>
        <v>30</v>
      </c>
      <c r="N2591" s="737"/>
      <c r="R2591" s="414"/>
      <c r="S2591" s="350"/>
    </row>
    <row r="2592" spans="1:19" x14ac:dyDescent="0.25">
      <c r="A2592" t="s">
        <v>3317</v>
      </c>
      <c r="B2592" s="50" t="s">
        <v>612</v>
      </c>
      <c r="C2592" s="51"/>
      <c r="D2592" s="352">
        <v>342585</v>
      </c>
      <c r="E2592" s="352">
        <f>VLOOKUP(D2592,'[1]Task list &amp; Maintenace plan'!$B:$G,6,FALSE)</f>
        <v>590</v>
      </c>
      <c r="F2592" s="352" t="s">
        <v>3698</v>
      </c>
      <c r="G2592" s="61" t="s">
        <v>3699</v>
      </c>
      <c r="H2592" s="61" t="s">
        <v>3700</v>
      </c>
      <c r="I2592" s="353">
        <v>30</v>
      </c>
      <c r="J2592" s="412">
        <v>1</v>
      </c>
      <c r="K2592" s="412">
        <v>30</v>
      </c>
      <c r="L2592" s="412">
        <v>1</v>
      </c>
      <c r="M2592" s="412">
        <f t="shared" si="12"/>
        <v>30</v>
      </c>
      <c r="N2592" s="412" t="s">
        <v>34</v>
      </c>
      <c r="R2592" s="411"/>
      <c r="S2592" s="353"/>
    </row>
    <row r="2593" spans="1:19" x14ac:dyDescent="0.25">
      <c r="A2593" t="s">
        <v>3317</v>
      </c>
      <c r="B2593" s="50" t="s">
        <v>612</v>
      </c>
      <c r="C2593" s="51"/>
      <c r="D2593" s="343">
        <v>345925</v>
      </c>
      <c r="E2593" s="343">
        <f>VLOOKUP(D2593,'[1]Task list &amp; Maintenace plan'!$B:$G,6,FALSE)</f>
        <v>374</v>
      </c>
      <c r="F2593" s="343" t="s">
        <v>3701</v>
      </c>
      <c r="G2593" s="345" t="s">
        <v>613</v>
      </c>
      <c r="H2593" s="345" t="s">
        <v>3702</v>
      </c>
      <c r="I2593" s="344">
        <v>180</v>
      </c>
      <c r="J2593" s="733">
        <v>1</v>
      </c>
      <c r="K2593" s="733">
        <v>60</v>
      </c>
      <c r="L2593" s="733">
        <v>2</v>
      </c>
      <c r="M2593" s="733">
        <f t="shared" si="12"/>
        <v>120</v>
      </c>
      <c r="N2593" s="733" t="s">
        <v>468</v>
      </c>
      <c r="R2593" s="418" t="s">
        <v>3703</v>
      </c>
      <c r="S2593" s="344" t="s">
        <v>3704</v>
      </c>
    </row>
    <row r="2594" spans="1:19" x14ac:dyDescent="0.25">
      <c r="A2594" t="s">
        <v>3317</v>
      </c>
      <c r="B2594" s="50" t="s">
        <v>612</v>
      </c>
      <c r="C2594" s="51"/>
      <c r="D2594" s="349">
        <v>345925</v>
      </c>
      <c r="E2594" s="349">
        <f>VLOOKUP(D2594,'[1]Task list &amp; Maintenace plan'!$B:$G,6,FALSE)</f>
        <v>374</v>
      </c>
      <c r="F2594" s="349" t="s">
        <v>3701</v>
      </c>
      <c r="G2594" s="351" t="s">
        <v>616</v>
      </c>
      <c r="H2594" s="351" t="s">
        <v>3705</v>
      </c>
      <c r="I2594" s="350">
        <v>180</v>
      </c>
      <c r="J2594" s="737">
        <v>1</v>
      </c>
      <c r="K2594" s="737">
        <v>60</v>
      </c>
      <c r="L2594" s="737">
        <v>2</v>
      </c>
      <c r="M2594" s="737">
        <f t="shared" si="12"/>
        <v>120</v>
      </c>
      <c r="N2594" s="737"/>
      <c r="R2594" s="414" t="s">
        <v>3703</v>
      </c>
      <c r="S2594" s="350" t="s">
        <v>3704</v>
      </c>
    </row>
    <row r="2595" spans="1:19" x14ac:dyDescent="0.25">
      <c r="A2595" t="s">
        <v>3317</v>
      </c>
      <c r="B2595" s="50" t="s">
        <v>612</v>
      </c>
      <c r="C2595" s="51"/>
      <c r="D2595" s="352">
        <v>342332</v>
      </c>
      <c r="E2595" s="352">
        <f>VLOOKUP(D2595,'[1]Task list &amp; Maintenace plan'!$B:$G,6,FALSE)</f>
        <v>100705</v>
      </c>
      <c r="F2595" s="352" t="s">
        <v>3706</v>
      </c>
      <c r="G2595" s="61" t="s">
        <v>620</v>
      </c>
      <c r="H2595" s="61" t="s">
        <v>3707</v>
      </c>
      <c r="I2595" s="353">
        <v>90</v>
      </c>
      <c r="J2595" s="412">
        <v>1</v>
      </c>
      <c r="K2595" s="412">
        <v>150</v>
      </c>
      <c r="L2595" s="412">
        <v>4</v>
      </c>
      <c r="M2595" s="412">
        <f t="shared" si="12"/>
        <v>600</v>
      </c>
      <c r="N2595" s="412" t="s">
        <v>3174</v>
      </c>
      <c r="R2595" s="411"/>
      <c r="S2595" s="353"/>
    </row>
    <row r="2596" spans="1:19" x14ac:dyDescent="0.25">
      <c r="A2596" t="s">
        <v>3317</v>
      </c>
      <c r="B2596" s="50" t="s">
        <v>612</v>
      </c>
      <c r="C2596" s="51"/>
      <c r="D2596" s="352">
        <v>342511</v>
      </c>
      <c r="E2596" s="352">
        <f>VLOOKUP(D2596,'[1]Task list &amp; Maintenace plan'!$B:$G,6,FALSE)</f>
        <v>555</v>
      </c>
      <c r="F2596" s="352" t="s">
        <v>3708</v>
      </c>
      <c r="G2596" s="61" t="s">
        <v>629</v>
      </c>
      <c r="H2596" s="61" t="s">
        <v>3709</v>
      </c>
      <c r="I2596" s="353">
        <v>180</v>
      </c>
      <c r="J2596" s="412">
        <v>1</v>
      </c>
      <c r="K2596" s="412">
        <v>60</v>
      </c>
      <c r="L2596" s="412">
        <v>4</v>
      </c>
      <c r="M2596" s="412">
        <f t="shared" si="12"/>
        <v>240</v>
      </c>
      <c r="N2596" s="412" t="s">
        <v>20</v>
      </c>
      <c r="R2596" s="411"/>
      <c r="S2596" s="353"/>
    </row>
    <row r="2597" spans="1:19" x14ac:dyDescent="0.25">
      <c r="A2597" t="s">
        <v>3317</v>
      </c>
      <c r="B2597" s="50" t="s">
        <v>612</v>
      </c>
      <c r="C2597" s="51"/>
      <c r="D2597" s="346">
        <v>345926</v>
      </c>
      <c r="E2597" s="346">
        <f>VLOOKUP(D2597,'[1]Task list &amp; Maintenace plan'!$B:$G,6,FALSE)</f>
        <v>100706</v>
      </c>
      <c r="F2597" s="346" t="s">
        <v>3701</v>
      </c>
      <c r="G2597" s="348" t="s">
        <v>620</v>
      </c>
      <c r="H2597" s="348" t="s">
        <v>3710</v>
      </c>
      <c r="I2597" s="347">
        <v>180</v>
      </c>
      <c r="J2597" s="733">
        <v>1</v>
      </c>
      <c r="K2597" s="733">
        <v>60</v>
      </c>
      <c r="L2597" s="733">
        <v>2</v>
      </c>
      <c r="M2597" s="733">
        <f t="shared" si="12"/>
        <v>120</v>
      </c>
      <c r="N2597" s="733" t="s">
        <v>3174</v>
      </c>
      <c r="R2597" s="413" t="s">
        <v>3674</v>
      </c>
      <c r="S2597" s="347"/>
    </row>
    <row r="2598" spans="1:19" x14ac:dyDescent="0.25">
      <c r="A2598" t="s">
        <v>3317</v>
      </c>
      <c r="B2598" s="50" t="s">
        <v>612</v>
      </c>
      <c r="C2598" s="51"/>
      <c r="D2598" s="346">
        <v>345926</v>
      </c>
      <c r="E2598" s="346">
        <f>VLOOKUP(D2598,'[1]Task list &amp; Maintenace plan'!$B:$G,6,FALSE)</f>
        <v>100706</v>
      </c>
      <c r="F2598" s="346" t="s">
        <v>3701</v>
      </c>
      <c r="G2598" s="348" t="s">
        <v>622</v>
      </c>
      <c r="H2598" s="348" t="s">
        <v>3711</v>
      </c>
      <c r="I2598" s="347">
        <v>180</v>
      </c>
      <c r="J2598" s="736">
        <v>1</v>
      </c>
      <c r="K2598" s="736">
        <v>60</v>
      </c>
      <c r="L2598" s="736">
        <v>2</v>
      </c>
      <c r="M2598" s="736">
        <f t="shared" si="12"/>
        <v>120</v>
      </c>
      <c r="N2598" s="736"/>
      <c r="R2598" s="413" t="s">
        <v>3674</v>
      </c>
      <c r="S2598" s="347"/>
    </row>
    <row r="2599" spans="1:19" x14ac:dyDescent="0.25">
      <c r="A2599" t="s">
        <v>3317</v>
      </c>
      <c r="B2599" s="50" t="s">
        <v>612</v>
      </c>
      <c r="C2599" s="51"/>
      <c r="D2599" s="346">
        <v>345926</v>
      </c>
      <c r="E2599" s="346">
        <f>VLOOKUP(D2599,'[1]Task list &amp; Maintenace plan'!$B:$G,6,FALSE)</f>
        <v>100706</v>
      </c>
      <c r="F2599" s="346" t="s">
        <v>3701</v>
      </c>
      <c r="G2599" s="348" t="s">
        <v>624</v>
      </c>
      <c r="H2599" s="348" t="s">
        <v>3712</v>
      </c>
      <c r="I2599" s="347">
        <v>180</v>
      </c>
      <c r="J2599" s="736">
        <v>1</v>
      </c>
      <c r="K2599" s="736">
        <v>60</v>
      </c>
      <c r="L2599" s="736">
        <v>2</v>
      </c>
      <c r="M2599" s="736">
        <f t="shared" si="12"/>
        <v>120</v>
      </c>
      <c r="N2599" s="736"/>
      <c r="R2599" s="413" t="s">
        <v>3674</v>
      </c>
      <c r="S2599" s="347"/>
    </row>
    <row r="2600" spans="1:19" ht="15.75" thickBot="1" x14ac:dyDescent="0.3">
      <c r="A2600" t="s">
        <v>3317</v>
      </c>
      <c r="B2600" s="50" t="s">
        <v>612</v>
      </c>
      <c r="C2600" s="214"/>
      <c r="D2600" s="466">
        <v>345926</v>
      </c>
      <c r="E2600" s="466">
        <f>VLOOKUP(D2600,'[1]Task list &amp; Maintenace plan'!$B:$G,6,FALSE)</f>
        <v>100706</v>
      </c>
      <c r="F2600" s="466" t="s">
        <v>3701</v>
      </c>
      <c r="G2600" s="468" t="s">
        <v>627</v>
      </c>
      <c r="H2600" s="468" t="s">
        <v>3713</v>
      </c>
      <c r="I2600" s="467">
        <v>180</v>
      </c>
      <c r="J2600" s="738">
        <v>1</v>
      </c>
      <c r="K2600" s="738">
        <v>60</v>
      </c>
      <c r="L2600" s="738">
        <v>2</v>
      </c>
      <c r="M2600" s="738">
        <f t="shared" si="12"/>
        <v>120</v>
      </c>
      <c r="N2600" s="738"/>
      <c r="R2600" s="543" t="s">
        <v>3674</v>
      </c>
      <c r="S2600" s="467"/>
    </row>
    <row r="2601" spans="1:19" x14ac:dyDescent="0.25">
      <c r="A2601" t="s">
        <v>3317</v>
      </c>
      <c r="B2601" s="50" t="s">
        <v>657</v>
      </c>
      <c r="C2601" s="51"/>
      <c r="D2601" s="346">
        <v>343634</v>
      </c>
      <c r="E2601" s="346">
        <f>VLOOKUP(D2601,'[1]Task list &amp; Maintenace plan'!$B:$G,6,FALSE)</f>
        <v>735</v>
      </c>
      <c r="F2601" s="346" t="s">
        <v>3714</v>
      </c>
      <c r="G2601" s="348" t="s">
        <v>661</v>
      </c>
      <c r="H2601" s="348" t="s">
        <v>3715</v>
      </c>
      <c r="I2601" s="347">
        <v>7</v>
      </c>
      <c r="J2601" s="739">
        <v>1</v>
      </c>
      <c r="K2601" s="739">
        <v>15</v>
      </c>
      <c r="L2601" s="739">
        <v>1</v>
      </c>
      <c r="M2601" s="739">
        <f t="shared" si="12"/>
        <v>15</v>
      </c>
      <c r="N2601" s="739" t="s">
        <v>3174</v>
      </c>
      <c r="R2601" s="413" t="s">
        <v>3159</v>
      </c>
      <c r="S2601" s="347"/>
    </row>
    <row r="2602" spans="1:19" x14ac:dyDescent="0.25">
      <c r="A2602" t="s">
        <v>3317</v>
      </c>
      <c r="B2602" s="50" t="s">
        <v>657</v>
      </c>
      <c r="C2602" s="51"/>
      <c r="D2602" s="346">
        <v>343634</v>
      </c>
      <c r="E2602" s="346">
        <f>VLOOKUP(D2602,'[1]Task list &amp; Maintenace plan'!$B:$G,6,FALSE)</f>
        <v>735</v>
      </c>
      <c r="F2602" s="346" t="s">
        <v>3714</v>
      </c>
      <c r="G2602" s="348" t="s">
        <v>658</v>
      </c>
      <c r="H2602" s="348" t="s">
        <v>3716</v>
      </c>
      <c r="I2602" s="347">
        <v>7</v>
      </c>
      <c r="J2602" s="736">
        <v>1</v>
      </c>
      <c r="K2602" s="736">
        <v>15</v>
      </c>
      <c r="L2602" s="736">
        <v>1</v>
      </c>
      <c r="M2602" s="736">
        <f t="shared" si="12"/>
        <v>15</v>
      </c>
      <c r="N2602" s="736"/>
      <c r="R2602" s="413" t="s">
        <v>3159</v>
      </c>
      <c r="S2602" s="347"/>
    </row>
    <row r="2603" spans="1:19" x14ac:dyDescent="0.25">
      <c r="A2603" t="s">
        <v>3317</v>
      </c>
      <c r="B2603" s="50" t="s">
        <v>657</v>
      </c>
      <c r="C2603" s="51"/>
      <c r="D2603" s="349">
        <v>343634</v>
      </c>
      <c r="E2603" s="349">
        <f>VLOOKUP(D2603,'[1]Task list &amp; Maintenace plan'!$B:$G,6,FALSE)</f>
        <v>735</v>
      </c>
      <c r="F2603" s="349" t="s">
        <v>3714</v>
      </c>
      <c r="G2603" s="351" t="s">
        <v>395</v>
      </c>
      <c r="H2603" s="351" t="s">
        <v>3717</v>
      </c>
      <c r="I2603" s="350">
        <v>7</v>
      </c>
      <c r="J2603" s="737">
        <v>1</v>
      </c>
      <c r="K2603" s="737">
        <v>15</v>
      </c>
      <c r="L2603" s="737">
        <v>1</v>
      </c>
      <c r="M2603" s="737">
        <f t="shared" si="12"/>
        <v>15</v>
      </c>
      <c r="N2603" s="737"/>
      <c r="R2603" s="414" t="s">
        <v>3159</v>
      </c>
      <c r="S2603" s="350"/>
    </row>
    <row r="2604" spans="1:19" x14ac:dyDescent="0.25">
      <c r="A2604" t="s">
        <v>3317</v>
      </c>
      <c r="B2604" s="50" t="s">
        <v>657</v>
      </c>
      <c r="C2604" s="51"/>
      <c r="D2604" s="360">
        <v>345882</v>
      </c>
      <c r="E2604" s="360">
        <f>VLOOKUP(D2604,'[1]Task list &amp; Maintenace plan'!$B:$G,6,FALSE)</f>
        <v>100707</v>
      </c>
      <c r="F2604" s="360" t="s">
        <v>3718</v>
      </c>
      <c r="G2604" s="362" t="s">
        <v>661</v>
      </c>
      <c r="H2604" s="362" t="s">
        <v>3719</v>
      </c>
      <c r="I2604" s="361">
        <v>15</v>
      </c>
      <c r="J2604" s="733">
        <v>1</v>
      </c>
      <c r="K2604" s="733">
        <v>30</v>
      </c>
      <c r="L2604" s="733">
        <v>1</v>
      </c>
      <c r="M2604" s="733">
        <f t="shared" si="12"/>
        <v>30</v>
      </c>
      <c r="N2604" s="733" t="s">
        <v>20</v>
      </c>
      <c r="R2604" s="419"/>
      <c r="S2604" s="361"/>
    </row>
    <row r="2605" spans="1:19" x14ac:dyDescent="0.25">
      <c r="A2605" t="s">
        <v>3317</v>
      </c>
      <c r="B2605" s="50" t="s">
        <v>657</v>
      </c>
      <c r="C2605" s="51"/>
      <c r="D2605" s="346">
        <v>345882</v>
      </c>
      <c r="E2605" s="346">
        <f>VLOOKUP(D2605,'[1]Task list &amp; Maintenace plan'!$B:$G,6,FALSE)</f>
        <v>100707</v>
      </c>
      <c r="F2605" s="346" t="s">
        <v>3718</v>
      </c>
      <c r="G2605" s="348" t="s">
        <v>658</v>
      </c>
      <c r="H2605" s="348" t="s">
        <v>3720</v>
      </c>
      <c r="I2605" s="347">
        <v>15</v>
      </c>
      <c r="J2605" s="736">
        <v>1</v>
      </c>
      <c r="K2605" s="736">
        <v>30</v>
      </c>
      <c r="L2605" s="736">
        <v>1</v>
      </c>
      <c r="M2605" s="736">
        <f t="shared" si="12"/>
        <v>30</v>
      </c>
      <c r="N2605" s="736"/>
      <c r="R2605" s="413"/>
      <c r="S2605" s="347"/>
    </row>
    <row r="2606" spans="1:19" x14ac:dyDescent="0.25">
      <c r="A2606" t="s">
        <v>3317</v>
      </c>
      <c r="B2606" s="50" t="s">
        <v>657</v>
      </c>
      <c r="C2606" s="51"/>
      <c r="D2606" s="349">
        <v>345882</v>
      </c>
      <c r="E2606" s="349">
        <f>VLOOKUP(D2606,'[1]Task list &amp; Maintenace plan'!$B:$G,6,FALSE)</f>
        <v>100707</v>
      </c>
      <c r="F2606" s="349"/>
      <c r="G2606" s="351" t="s">
        <v>669</v>
      </c>
      <c r="H2606" s="351" t="s">
        <v>3721</v>
      </c>
      <c r="I2606" s="350">
        <v>15</v>
      </c>
      <c r="J2606" s="737">
        <v>1</v>
      </c>
      <c r="K2606" s="737">
        <v>30</v>
      </c>
      <c r="L2606" s="737">
        <v>1</v>
      </c>
      <c r="M2606" s="737">
        <f t="shared" si="12"/>
        <v>30</v>
      </c>
      <c r="N2606" s="737"/>
      <c r="R2606" s="414"/>
      <c r="S2606" s="350"/>
    </row>
    <row r="2607" spans="1:19" x14ac:dyDescent="0.25">
      <c r="A2607" t="s">
        <v>3317</v>
      </c>
      <c r="B2607" s="50" t="s">
        <v>657</v>
      </c>
      <c r="C2607" s="51"/>
      <c r="D2607" s="343">
        <v>345883</v>
      </c>
      <c r="E2607" s="343">
        <f>VLOOKUP(D2607,'[1]Task list &amp; Maintenace plan'!$B:$G,6,FALSE)</f>
        <v>100708</v>
      </c>
      <c r="F2607" s="343" t="s">
        <v>3722</v>
      </c>
      <c r="G2607" s="345" t="s">
        <v>663</v>
      </c>
      <c r="H2607" s="345" t="s">
        <v>3723</v>
      </c>
      <c r="I2607" s="344">
        <v>15</v>
      </c>
      <c r="J2607" s="733"/>
      <c r="K2607" s="733">
        <v>15</v>
      </c>
      <c r="L2607" s="733">
        <v>1</v>
      </c>
      <c r="M2607" s="733">
        <f t="shared" si="12"/>
        <v>15</v>
      </c>
      <c r="N2607" s="733" t="s">
        <v>3174</v>
      </c>
      <c r="R2607" s="418" t="s">
        <v>3281</v>
      </c>
      <c r="S2607" s="344"/>
    </row>
    <row r="2608" spans="1:19" x14ac:dyDescent="0.25">
      <c r="A2608" t="s">
        <v>3317</v>
      </c>
      <c r="B2608" s="50" t="s">
        <v>657</v>
      </c>
      <c r="C2608" s="51"/>
      <c r="D2608" s="346">
        <v>345883</v>
      </c>
      <c r="E2608" s="346">
        <f>VLOOKUP(D2608,'[1]Task list &amp; Maintenace plan'!$B:$G,6,FALSE)</f>
        <v>100708</v>
      </c>
      <c r="F2608" s="346" t="s">
        <v>3722</v>
      </c>
      <c r="G2608" s="348" t="s">
        <v>665</v>
      </c>
      <c r="H2608" s="348" t="s">
        <v>3724</v>
      </c>
      <c r="I2608" s="347">
        <v>15</v>
      </c>
      <c r="J2608" s="736"/>
      <c r="K2608" s="736">
        <v>15</v>
      </c>
      <c r="L2608" s="736">
        <v>1</v>
      </c>
      <c r="M2608" s="736">
        <f t="shared" si="12"/>
        <v>15</v>
      </c>
      <c r="N2608" s="736"/>
      <c r="R2608" s="413" t="s">
        <v>3281</v>
      </c>
      <c r="S2608" s="347"/>
    </row>
    <row r="2609" spans="1:19" x14ac:dyDescent="0.25">
      <c r="A2609" t="s">
        <v>3317</v>
      </c>
      <c r="B2609" s="50" t="s">
        <v>657</v>
      </c>
      <c r="C2609" s="51"/>
      <c r="D2609" s="349">
        <v>345883</v>
      </c>
      <c r="E2609" s="349">
        <f>VLOOKUP(D2609,'[1]Task list &amp; Maintenace plan'!$B:$G,6,FALSE)</f>
        <v>100708</v>
      </c>
      <c r="F2609" s="349" t="s">
        <v>3722</v>
      </c>
      <c r="G2609" s="351" t="s">
        <v>397</v>
      </c>
      <c r="H2609" s="351" t="s">
        <v>3365</v>
      </c>
      <c r="I2609" s="350">
        <v>15</v>
      </c>
      <c r="J2609" s="737"/>
      <c r="K2609" s="737">
        <v>15</v>
      </c>
      <c r="L2609" s="737">
        <v>1</v>
      </c>
      <c r="M2609" s="737">
        <f t="shared" si="12"/>
        <v>15</v>
      </c>
      <c r="N2609" s="737"/>
      <c r="R2609" s="414" t="s">
        <v>3281</v>
      </c>
      <c r="S2609" s="350"/>
    </row>
    <row r="2610" spans="1:19" x14ac:dyDescent="0.25">
      <c r="A2610" t="s">
        <v>3317</v>
      </c>
      <c r="B2610" s="50" t="s">
        <v>657</v>
      </c>
      <c r="C2610" s="51"/>
      <c r="D2610" s="343">
        <v>345896</v>
      </c>
      <c r="E2610" s="343">
        <f>VLOOKUP(D2610,'[1]Task list &amp; Maintenace plan'!$B:$G,6,FALSE)</f>
        <v>100709</v>
      </c>
      <c r="F2610" s="343" t="s">
        <v>3725</v>
      </c>
      <c r="G2610" s="345" t="s">
        <v>665</v>
      </c>
      <c r="H2610" s="345" t="s">
        <v>3726</v>
      </c>
      <c r="I2610" s="344">
        <v>30</v>
      </c>
      <c r="J2610" s="733">
        <v>1</v>
      </c>
      <c r="K2610" s="733">
        <v>15</v>
      </c>
      <c r="L2610" s="733">
        <v>1</v>
      </c>
      <c r="M2610" s="733">
        <f t="shared" si="12"/>
        <v>15</v>
      </c>
      <c r="N2610" s="733" t="s">
        <v>20</v>
      </c>
      <c r="R2610" s="418" t="s">
        <v>3727</v>
      </c>
      <c r="S2610" s="344" t="s">
        <v>3342</v>
      </c>
    </row>
    <row r="2611" spans="1:19" x14ac:dyDescent="0.25">
      <c r="A2611" t="s">
        <v>3317</v>
      </c>
      <c r="B2611" s="50" t="s">
        <v>657</v>
      </c>
      <c r="C2611" s="51"/>
      <c r="D2611" s="346">
        <v>345896</v>
      </c>
      <c r="E2611" s="346">
        <f>VLOOKUP(D2611,'[1]Task list &amp; Maintenace plan'!$B:$G,6,FALSE)</f>
        <v>100709</v>
      </c>
      <c r="F2611" s="346" t="s">
        <v>3725</v>
      </c>
      <c r="G2611" s="348" t="s">
        <v>658</v>
      </c>
      <c r="H2611" s="348" t="s">
        <v>3362</v>
      </c>
      <c r="I2611" s="347">
        <v>30</v>
      </c>
      <c r="J2611" s="736">
        <v>1</v>
      </c>
      <c r="K2611" s="736">
        <v>15</v>
      </c>
      <c r="L2611" s="736">
        <v>1</v>
      </c>
      <c r="M2611" s="736">
        <f t="shared" si="12"/>
        <v>15</v>
      </c>
      <c r="N2611" s="736"/>
      <c r="R2611" s="413"/>
      <c r="S2611" s="347"/>
    </row>
    <row r="2612" spans="1:19" x14ac:dyDescent="0.25">
      <c r="A2612" t="s">
        <v>3317</v>
      </c>
      <c r="B2612" s="50" t="s">
        <v>657</v>
      </c>
      <c r="C2612" s="51"/>
      <c r="D2612" s="349">
        <v>345896</v>
      </c>
      <c r="E2612" s="349">
        <f>VLOOKUP(D2612,'[1]Task list &amp; Maintenace plan'!$B:$G,6,FALSE)</f>
        <v>100709</v>
      </c>
      <c r="F2612" s="349" t="s">
        <v>3725</v>
      </c>
      <c r="G2612" s="351" t="s">
        <v>663</v>
      </c>
      <c r="H2612" s="351" t="s">
        <v>3728</v>
      </c>
      <c r="I2612" s="350">
        <v>30</v>
      </c>
      <c r="J2612" s="737">
        <v>1</v>
      </c>
      <c r="K2612" s="737">
        <v>15</v>
      </c>
      <c r="L2612" s="737">
        <v>1</v>
      </c>
      <c r="M2612" s="737">
        <f t="shared" si="12"/>
        <v>15</v>
      </c>
      <c r="N2612" s="737"/>
      <c r="R2612" s="414" t="s">
        <v>3727</v>
      </c>
      <c r="S2612" s="350" t="s">
        <v>3342</v>
      </c>
    </row>
    <row r="2613" spans="1:19" x14ac:dyDescent="0.25">
      <c r="A2613" t="s">
        <v>3317</v>
      </c>
      <c r="B2613" s="50" t="s">
        <v>657</v>
      </c>
      <c r="C2613" s="51"/>
      <c r="D2613" s="343">
        <v>345927</v>
      </c>
      <c r="E2613" s="343">
        <f>VLOOKUP(D2613,'[1]Task list &amp; Maintenace plan'!$B:$G,6,FALSE)</f>
        <v>100710</v>
      </c>
      <c r="F2613" s="343" t="s">
        <v>3729</v>
      </c>
      <c r="G2613" s="345" t="s">
        <v>661</v>
      </c>
      <c r="H2613" s="345" t="s">
        <v>3730</v>
      </c>
      <c r="I2613" s="344">
        <v>180</v>
      </c>
      <c r="J2613" s="733">
        <v>1</v>
      </c>
      <c r="K2613" s="733">
        <v>120</v>
      </c>
      <c r="L2613" s="733">
        <v>3</v>
      </c>
      <c r="M2613" s="733">
        <f t="shared" si="12"/>
        <v>360</v>
      </c>
      <c r="N2613" s="733" t="s">
        <v>3174</v>
      </c>
      <c r="R2613" s="418" t="s">
        <v>3254</v>
      </c>
      <c r="S2613" s="344"/>
    </row>
    <row r="2614" spans="1:19" x14ac:dyDescent="0.25">
      <c r="A2614" t="s">
        <v>3317</v>
      </c>
      <c r="B2614" s="50" t="s">
        <v>657</v>
      </c>
      <c r="C2614" s="51"/>
      <c r="D2614" s="346">
        <v>345927</v>
      </c>
      <c r="E2614" s="346">
        <f>VLOOKUP(D2614,'[1]Task list &amp; Maintenace plan'!$B:$G,6,FALSE)</f>
        <v>100710</v>
      </c>
      <c r="F2614" s="346" t="s">
        <v>3729</v>
      </c>
      <c r="G2614" s="348" t="s">
        <v>658</v>
      </c>
      <c r="H2614" s="348" t="s">
        <v>3731</v>
      </c>
      <c r="I2614" s="347">
        <v>180</v>
      </c>
      <c r="J2614" s="736">
        <v>1</v>
      </c>
      <c r="K2614" s="736">
        <v>120</v>
      </c>
      <c r="L2614" s="736">
        <v>3</v>
      </c>
      <c r="M2614" s="736">
        <f t="shared" si="12"/>
        <v>360</v>
      </c>
      <c r="N2614" s="736"/>
      <c r="R2614" s="413" t="s">
        <v>3254</v>
      </c>
      <c r="S2614" s="347"/>
    </row>
    <row r="2615" spans="1:19" x14ac:dyDescent="0.25">
      <c r="A2615" t="s">
        <v>3317</v>
      </c>
      <c r="B2615" s="50" t="s">
        <v>657</v>
      </c>
      <c r="C2615" s="51"/>
      <c r="D2615" s="346">
        <v>345927</v>
      </c>
      <c r="E2615" s="346">
        <f>VLOOKUP(D2615,'[1]Task list &amp; Maintenace plan'!$B:$G,6,FALSE)</f>
        <v>100710</v>
      </c>
      <c r="F2615" s="346" t="s">
        <v>3729</v>
      </c>
      <c r="G2615" s="348" t="s">
        <v>667</v>
      </c>
      <c r="H2615" s="348" t="s">
        <v>3732</v>
      </c>
      <c r="I2615" s="347">
        <v>180</v>
      </c>
      <c r="J2615" s="736">
        <v>1</v>
      </c>
      <c r="K2615" s="736">
        <v>120</v>
      </c>
      <c r="L2615" s="736">
        <v>3</v>
      </c>
      <c r="M2615" s="736">
        <f t="shared" si="12"/>
        <v>360</v>
      </c>
      <c r="N2615" s="736"/>
      <c r="R2615" s="413" t="s">
        <v>3254</v>
      </c>
      <c r="S2615" s="347"/>
    </row>
    <row r="2616" spans="1:19" x14ac:dyDescent="0.25">
      <c r="A2616" t="s">
        <v>3317</v>
      </c>
      <c r="B2616" s="50" t="s">
        <v>657</v>
      </c>
      <c r="C2616" s="51"/>
      <c r="D2616" s="349">
        <v>345927</v>
      </c>
      <c r="E2616" s="349">
        <f>VLOOKUP(D2616,'[1]Task list &amp; Maintenace plan'!$B:$G,6,FALSE)</f>
        <v>100710</v>
      </c>
      <c r="F2616" s="349" t="s">
        <v>3729</v>
      </c>
      <c r="G2616" s="351" t="s">
        <v>395</v>
      </c>
      <c r="H2616" s="351" t="s">
        <v>3733</v>
      </c>
      <c r="I2616" s="350">
        <v>180</v>
      </c>
      <c r="J2616" s="737">
        <v>1</v>
      </c>
      <c r="K2616" s="737">
        <v>120</v>
      </c>
      <c r="L2616" s="737">
        <v>3</v>
      </c>
      <c r="M2616" s="737">
        <f t="shared" si="12"/>
        <v>360</v>
      </c>
      <c r="N2616" s="737"/>
      <c r="R2616" s="414" t="s">
        <v>3254</v>
      </c>
      <c r="S2616" s="350"/>
    </row>
    <row r="2617" spans="1:19" x14ac:dyDescent="0.25">
      <c r="A2617" t="s">
        <v>3317</v>
      </c>
      <c r="B2617" s="50" t="s">
        <v>657</v>
      </c>
      <c r="C2617" s="51"/>
      <c r="D2617" s="423">
        <v>350843</v>
      </c>
      <c r="E2617" s="423">
        <f>VLOOKUP(D2617,'[1]Task list &amp; Maintenace plan'!$B:$G,6,FALSE)</f>
        <v>1413</v>
      </c>
      <c r="F2617" s="423" t="s">
        <v>3734</v>
      </c>
      <c r="G2617" s="433" t="s">
        <v>669</v>
      </c>
      <c r="H2617" s="433" t="s">
        <v>3735</v>
      </c>
      <c r="I2617" s="434">
        <v>120</v>
      </c>
      <c r="J2617" s="436">
        <v>1</v>
      </c>
      <c r="K2617" s="436">
        <v>120</v>
      </c>
      <c r="L2617" s="436">
        <v>3</v>
      </c>
      <c r="M2617" s="436">
        <f t="shared" si="12"/>
        <v>360</v>
      </c>
      <c r="N2617" s="436" t="s">
        <v>468</v>
      </c>
      <c r="R2617" s="435"/>
      <c r="S2617" s="434"/>
    </row>
    <row r="2618" spans="1:19" x14ac:dyDescent="0.25">
      <c r="A2618" t="s">
        <v>3317</v>
      </c>
      <c r="B2618" s="50" t="s">
        <v>657</v>
      </c>
      <c r="C2618" s="51"/>
      <c r="D2618" s="352">
        <v>345928</v>
      </c>
      <c r="E2618" s="352">
        <f>VLOOKUP(D2618,'[1]Task list &amp; Maintenace plan'!$B:$G,6,FALSE)</f>
        <v>100711</v>
      </c>
      <c r="F2618" s="352" t="s">
        <v>3736</v>
      </c>
      <c r="G2618" s="61" t="s">
        <v>663</v>
      </c>
      <c r="H2618" s="61" t="s">
        <v>3737</v>
      </c>
      <c r="I2618" s="353">
        <v>180</v>
      </c>
      <c r="J2618" s="412">
        <v>1</v>
      </c>
      <c r="K2618" s="412">
        <v>180</v>
      </c>
      <c r="L2618" s="412">
        <v>3</v>
      </c>
      <c r="M2618" s="412">
        <f t="shared" si="12"/>
        <v>540</v>
      </c>
      <c r="N2618" s="412" t="s">
        <v>468</v>
      </c>
      <c r="R2618" s="411"/>
      <c r="S2618" s="353"/>
    </row>
    <row r="2619" spans="1:19" x14ac:dyDescent="0.25">
      <c r="A2619" t="s">
        <v>3317</v>
      </c>
      <c r="B2619" s="50" t="s">
        <v>657</v>
      </c>
      <c r="C2619" s="51"/>
      <c r="D2619" s="352">
        <v>345929</v>
      </c>
      <c r="E2619" s="352">
        <f>VLOOKUP(D2619,'[1]Task list &amp; Maintenace plan'!$B:$G,6,FALSE)</f>
        <v>100712</v>
      </c>
      <c r="F2619" s="352" t="s">
        <v>3738</v>
      </c>
      <c r="G2619" s="61" t="s">
        <v>665</v>
      </c>
      <c r="H2619" s="61" t="s">
        <v>3739</v>
      </c>
      <c r="I2619" s="353">
        <v>180</v>
      </c>
      <c r="J2619" s="412">
        <v>1</v>
      </c>
      <c r="K2619" s="412">
        <v>180</v>
      </c>
      <c r="L2619" s="412">
        <v>3</v>
      </c>
      <c r="M2619" s="412">
        <f t="shared" si="12"/>
        <v>540</v>
      </c>
      <c r="N2619" s="412" t="s">
        <v>468</v>
      </c>
      <c r="R2619" s="411"/>
      <c r="S2619" s="353"/>
    </row>
    <row r="2620" spans="1:19" x14ac:dyDescent="0.25">
      <c r="A2620" t="s">
        <v>3317</v>
      </c>
      <c r="B2620" s="50" t="s">
        <v>657</v>
      </c>
      <c r="C2620" s="51"/>
      <c r="D2620" s="352">
        <v>345930</v>
      </c>
      <c r="E2620" s="352">
        <f>VLOOKUP(D2620,'[1]Task list &amp; Maintenace plan'!$B:$G,6,FALSE)</f>
        <v>100713</v>
      </c>
      <c r="F2620" s="352" t="s">
        <v>3740</v>
      </c>
      <c r="G2620" s="61" t="s">
        <v>397</v>
      </c>
      <c r="H2620" s="61" t="s">
        <v>3387</v>
      </c>
      <c r="I2620" s="353">
        <v>180</v>
      </c>
      <c r="J2620" s="412">
        <v>1</v>
      </c>
      <c r="K2620" s="412">
        <v>180</v>
      </c>
      <c r="L2620" s="412">
        <v>3</v>
      </c>
      <c r="M2620" s="412">
        <f t="shared" si="12"/>
        <v>540</v>
      </c>
      <c r="N2620" s="412" t="s">
        <v>468</v>
      </c>
      <c r="R2620" s="411"/>
      <c r="S2620" s="353"/>
    </row>
    <row r="2621" spans="1:19" x14ac:dyDescent="0.25">
      <c r="A2621" t="s">
        <v>3317</v>
      </c>
      <c r="B2621" s="50" t="s">
        <v>657</v>
      </c>
      <c r="C2621" s="51"/>
      <c r="D2621" s="545">
        <v>345931</v>
      </c>
      <c r="E2621" s="545">
        <f>VLOOKUP(D2621,'[1]Task list &amp; Maintenace plan'!$B:$G,6,FALSE)</f>
        <v>100714</v>
      </c>
      <c r="F2621" s="545" t="s">
        <v>3741</v>
      </c>
      <c r="G2621" s="546" t="s">
        <v>658</v>
      </c>
      <c r="H2621" s="420" t="s">
        <v>3742</v>
      </c>
      <c r="I2621" s="421">
        <v>180</v>
      </c>
      <c r="J2621" s="733">
        <v>1</v>
      </c>
      <c r="K2621" s="733">
        <v>360</v>
      </c>
      <c r="L2621" s="733">
        <v>5</v>
      </c>
      <c r="M2621" s="733">
        <f t="shared" si="12"/>
        <v>1800</v>
      </c>
      <c r="N2621" s="733" t="s">
        <v>468</v>
      </c>
      <c r="R2621" s="422" t="s">
        <v>3743</v>
      </c>
      <c r="S2621" s="421"/>
    </row>
    <row r="2622" spans="1:19" x14ac:dyDescent="0.25">
      <c r="A2622" t="s">
        <v>3317</v>
      </c>
      <c r="B2622" s="50" t="s">
        <v>657</v>
      </c>
      <c r="C2622" s="51"/>
      <c r="D2622" s="547">
        <v>345931</v>
      </c>
      <c r="E2622" s="547">
        <f>VLOOKUP(D2622,'[1]Task list &amp; Maintenace plan'!$B:$G,6,FALSE)</f>
        <v>100714</v>
      </c>
      <c r="F2622" s="547" t="s">
        <v>3741</v>
      </c>
      <c r="G2622" s="548" t="s">
        <v>661</v>
      </c>
      <c r="H2622" s="351" t="s">
        <v>3744</v>
      </c>
      <c r="I2622" s="350">
        <v>180</v>
      </c>
      <c r="J2622" s="737">
        <v>1</v>
      </c>
      <c r="K2622" s="737">
        <v>360</v>
      </c>
      <c r="L2622" s="737">
        <v>5</v>
      </c>
      <c r="M2622" s="737">
        <f t="shared" si="12"/>
        <v>1800</v>
      </c>
      <c r="N2622" s="737"/>
      <c r="R2622" s="414" t="s">
        <v>3745</v>
      </c>
      <c r="S2622" s="350"/>
    </row>
    <row r="2623" spans="1:19" ht="15.75" thickBot="1" x14ac:dyDescent="0.3">
      <c r="A2623" t="s">
        <v>3317</v>
      </c>
      <c r="B2623" s="50" t="s">
        <v>657</v>
      </c>
      <c r="C2623" s="214"/>
      <c r="D2623" s="549">
        <v>350844</v>
      </c>
      <c r="E2623" s="549">
        <f>VLOOKUP(D2623,'[1]Task list &amp; Maintenace plan'!$B:$G,6,FALSE)</f>
        <v>1414</v>
      </c>
      <c r="F2623" s="549" t="s">
        <v>3746</v>
      </c>
      <c r="G2623" s="550" t="s">
        <v>667</v>
      </c>
      <c r="H2623" s="365" t="s">
        <v>3747</v>
      </c>
      <c r="I2623" s="364">
        <v>180</v>
      </c>
      <c r="J2623" s="437">
        <v>1</v>
      </c>
      <c r="K2623" s="437">
        <v>240</v>
      </c>
      <c r="L2623" s="437">
        <v>4</v>
      </c>
      <c r="M2623" s="437">
        <f t="shared" si="12"/>
        <v>960</v>
      </c>
      <c r="N2623" s="437" t="s">
        <v>468</v>
      </c>
      <c r="R2623" s="427"/>
      <c r="S2623" s="364"/>
    </row>
    <row r="2624" spans="1:19" x14ac:dyDescent="0.25">
      <c r="A2624" t="s">
        <v>3317</v>
      </c>
      <c r="B2624" s="50" t="s">
        <v>685</v>
      </c>
      <c r="C2624" s="51"/>
      <c r="D2624" s="343">
        <v>345884</v>
      </c>
      <c r="E2624" s="343">
        <f>VLOOKUP(D2624,'[1]Task list &amp; Maintenace plan'!$B:$G,6,FALSE)</f>
        <v>100715</v>
      </c>
      <c r="F2624" s="343" t="s">
        <v>3748</v>
      </c>
      <c r="G2624" s="345" t="s">
        <v>426</v>
      </c>
      <c r="H2624" s="345" t="s">
        <v>3749</v>
      </c>
      <c r="I2624" s="344">
        <v>15</v>
      </c>
      <c r="J2624" s="739"/>
      <c r="K2624" s="739">
        <v>15</v>
      </c>
      <c r="L2624" s="739">
        <v>1</v>
      </c>
      <c r="M2624" s="739">
        <f t="shared" si="12"/>
        <v>15</v>
      </c>
      <c r="N2624" s="739" t="s">
        <v>3174</v>
      </c>
      <c r="R2624" s="418" t="s">
        <v>3750</v>
      </c>
      <c r="S2624" s="344"/>
    </row>
    <row r="2625" spans="1:19" x14ac:dyDescent="0.25">
      <c r="A2625" t="s">
        <v>3317</v>
      </c>
      <c r="B2625" s="50" t="s">
        <v>685</v>
      </c>
      <c r="C2625" s="51"/>
      <c r="D2625" s="349">
        <v>345884</v>
      </c>
      <c r="E2625" s="349">
        <f>VLOOKUP(D2625,'[1]Task list &amp; Maintenace plan'!$B:$G,6,FALSE)</f>
        <v>100715</v>
      </c>
      <c r="F2625" s="349" t="s">
        <v>3748</v>
      </c>
      <c r="G2625" s="351" t="s">
        <v>419</v>
      </c>
      <c r="H2625" s="351" t="s">
        <v>3751</v>
      </c>
      <c r="I2625" s="350">
        <v>15</v>
      </c>
      <c r="J2625" s="737"/>
      <c r="K2625" s="737">
        <v>15</v>
      </c>
      <c r="L2625" s="737">
        <v>1</v>
      </c>
      <c r="M2625" s="737">
        <f t="shared" si="12"/>
        <v>15</v>
      </c>
      <c r="N2625" s="737"/>
      <c r="R2625" s="414" t="s">
        <v>3281</v>
      </c>
      <c r="S2625" s="350"/>
    </row>
    <row r="2626" spans="1:19" x14ac:dyDescent="0.25">
      <c r="A2626" t="s">
        <v>3317</v>
      </c>
      <c r="B2626" s="50" t="s">
        <v>685</v>
      </c>
      <c r="C2626" s="51"/>
      <c r="D2626" s="343">
        <v>345897</v>
      </c>
      <c r="E2626" s="343">
        <f>VLOOKUP(D2626,'[1]Task list &amp; Maintenace plan'!$B:$G,6,FALSE)</f>
        <v>100716</v>
      </c>
      <c r="F2626" s="343" t="s">
        <v>3752</v>
      </c>
      <c r="G2626" s="345" t="s">
        <v>426</v>
      </c>
      <c r="H2626" s="345" t="s">
        <v>3753</v>
      </c>
      <c r="I2626" s="344">
        <v>30</v>
      </c>
      <c r="J2626" s="733"/>
      <c r="K2626" s="733">
        <v>15</v>
      </c>
      <c r="L2626" s="733">
        <v>1</v>
      </c>
      <c r="M2626" s="733">
        <f t="shared" si="12"/>
        <v>15</v>
      </c>
      <c r="N2626" s="733" t="s">
        <v>20</v>
      </c>
      <c r="R2626" s="418"/>
      <c r="S2626" s="344"/>
    </row>
    <row r="2627" spans="1:19" x14ac:dyDescent="0.25">
      <c r="A2627" t="s">
        <v>3317</v>
      </c>
      <c r="B2627" s="50" t="s">
        <v>685</v>
      </c>
      <c r="C2627" s="51"/>
      <c r="D2627" s="346">
        <v>345897</v>
      </c>
      <c r="E2627" s="346">
        <f>VLOOKUP(D2627,'[1]Task list &amp; Maintenace plan'!$B:$G,6,FALSE)</f>
        <v>100716</v>
      </c>
      <c r="F2627" s="346" t="s">
        <v>3752</v>
      </c>
      <c r="G2627" s="348" t="s">
        <v>426</v>
      </c>
      <c r="H2627" s="348" t="s">
        <v>3754</v>
      </c>
      <c r="I2627" s="347">
        <v>30</v>
      </c>
      <c r="J2627" s="736"/>
      <c r="K2627" s="736">
        <v>15</v>
      </c>
      <c r="L2627" s="736">
        <v>1</v>
      </c>
      <c r="M2627" s="736">
        <f t="shared" si="12"/>
        <v>15</v>
      </c>
      <c r="N2627" s="736"/>
      <c r="R2627" s="413"/>
      <c r="S2627" s="347"/>
    </row>
    <row r="2628" spans="1:19" x14ac:dyDescent="0.25">
      <c r="A2628" t="s">
        <v>3317</v>
      </c>
      <c r="B2628" s="50" t="s">
        <v>685</v>
      </c>
      <c r="C2628" s="51"/>
      <c r="D2628" s="346">
        <v>345897</v>
      </c>
      <c r="E2628" s="346">
        <f>VLOOKUP(D2628,'[1]Task list &amp; Maintenace plan'!$B:$G,6,FALSE)</f>
        <v>100716</v>
      </c>
      <c r="F2628" s="346" t="s">
        <v>3752</v>
      </c>
      <c r="G2628" s="348" t="s">
        <v>419</v>
      </c>
      <c r="H2628" s="348" t="s">
        <v>3755</v>
      </c>
      <c r="I2628" s="347">
        <v>30</v>
      </c>
      <c r="J2628" s="736"/>
      <c r="K2628" s="736">
        <v>15</v>
      </c>
      <c r="L2628" s="736">
        <v>1</v>
      </c>
      <c r="M2628" s="736">
        <f t="shared" si="12"/>
        <v>15</v>
      </c>
      <c r="N2628" s="736"/>
      <c r="R2628" s="413"/>
      <c r="S2628" s="347"/>
    </row>
    <row r="2629" spans="1:19" x14ac:dyDescent="0.25">
      <c r="A2629" t="s">
        <v>3317</v>
      </c>
      <c r="B2629" s="50" t="s">
        <v>685</v>
      </c>
      <c r="C2629" s="51"/>
      <c r="D2629" s="349">
        <v>345897</v>
      </c>
      <c r="E2629" s="349">
        <f>VLOOKUP(D2629,'[1]Task list &amp; Maintenace plan'!$B:$G,6,FALSE)</f>
        <v>100716</v>
      </c>
      <c r="F2629" s="349" t="s">
        <v>3752</v>
      </c>
      <c r="G2629" s="351" t="s">
        <v>689</v>
      </c>
      <c r="H2629" s="351" t="s">
        <v>3756</v>
      </c>
      <c r="I2629" s="350">
        <v>30</v>
      </c>
      <c r="J2629" s="737"/>
      <c r="K2629" s="737">
        <v>15</v>
      </c>
      <c r="L2629" s="737">
        <v>1</v>
      </c>
      <c r="M2629" s="737">
        <f t="shared" si="12"/>
        <v>15</v>
      </c>
      <c r="N2629" s="737"/>
      <c r="R2629" s="414"/>
      <c r="S2629" s="350"/>
    </row>
    <row r="2630" spans="1:19" x14ac:dyDescent="0.25">
      <c r="A2630" t="s">
        <v>3317</v>
      </c>
      <c r="B2630" s="50" t="s">
        <v>685</v>
      </c>
      <c r="C2630" s="51"/>
      <c r="D2630" s="423">
        <v>345932</v>
      </c>
      <c r="E2630" s="423">
        <f>VLOOKUP(D2630,'[1]Task list &amp; Maintenace plan'!$B:$G,6,FALSE)</f>
        <v>100717</v>
      </c>
      <c r="F2630" s="423" t="s">
        <v>3757</v>
      </c>
      <c r="G2630" s="433" t="s">
        <v>419</v>
      </c>
      <c r="H2630" s="433" t="s">
        <v>3758</v>
      </c>
      <c r="I2630" s="434">
        <v>30</v>
      </c>
      <c r="J2630" s="436"/>
      <c r="K2630" s="436">
        <v>10</v>
      </c>
      <c r="L2630" s="436">
        <v>1</v>
      </c>
      <c r="M2630" s="436">
        <f t="shared" si="12"/>
        <v>10</v>
      </c>
      <c r="N2630" s="436" t="s">
        <v>20</v>
      </c>
      <c r="R2630" s="435"/>
      <c r="S2630" s="434"/>
    </row>
    <row r="2631" spans="1:19" x14ac:dyDescent="0.25">
      <c r="A2631" t="s">
        <v>3317</v>
      </c>
      <c r="B2631" s="50" t="s">
        <v>685</v>
      </c>
      <c r="C2631" s="51"/>
      <c r="D2631" s="352">
        <v>345933</v>
      </c>
      <c r="E2631" s="352">
        <f>VLOOKUP(D2631,'[1]Task list &amp; Maintenace plan'!$B:$G,6,FALSE)</f>
        <v>100718</v>
      </c>
      <c r="F2631" s="352" t="s">
        <v>3759</v>
      </c>
      <c r="G2631" s="61" t="s">
        <v>419</v>
      </c>
      <c r="H2631" s="61" t="s">
        <v>3760</v>
      </c>
      <c r="I2631" s="353">
        <v>90</v>
      </c>
      <c r="J2631" s="412">
        <v>1</v>
      </c>
      <c r="K2631" s="412">
        <v>60</v>
      </c>
      <c r="L2631" s="412">
        <v>1</v>
      </c>
      <c r="M2631" s="412">
        <f t="shared" si="12"/>
        <v>60</v>
      </c>
      <c r="N2631" s="412" t="s">
        <v>3174</v>
      </c>
      <c r="R2631" s="411" t="s">
        <v>3401</v>
      </c>
      <c r="S2631" s="353"/>
    </row>
    <row r="2632" spans="1:19" x14ac:dyDescent="0.25">
      <c r="A2632" t="s">
        <v>3317</v>
      </c>
      <c r="B2632" s="50" t="s">
        <v>685</v>
      </c>
      <c r="C2632" s="51"/>
      <c r="D2632" s="423">
        <v>350700</v>
      </c>
      <c r="E2632" s="423">
        <f>VLOOKUP(D2632,'[1]Task list &amp; Maintenace plan'!$B:$G,6,FALSE)</f>
        <v>1408</v>
      </c>
      <c r="F2632" s="423" t="s">
        <v>3761</v>
      </c>
      <c r="G2632" s="433" t="s">
        <v>426</v>
      </c>
      <c r="H2632" s="433" t="s">
        <v>3762</v>
      </c>
      <c r="I2632" s="434">
        <v>180</v>
      </c>
      <c r="J2632" s="436">
        <v>1</v>
      </c>
      <c r="K2632" s="436">
        <v>60</v>
      </c>
      <c r="L2632" s="436">
        <v>1</v>
      </c>
      <c r="M2632" s="436">
        <f t="shared" si="12"/>
        <v>60</v>
      </c>
      <c r="N2632" s="436" t="s">
        <v>3174</v>
      </c>
      <c r="R2632" s="435" t="s">
        <v>3254</v>
      </c>
      <c r="S2632" s="434"/>
    </row>
    <row r="2633" spans="1:19" x14ac:dyDescent="0.25">
      <c r="A2633" t="s">
        <v>3317</v>
      </c>
      <c r="B2633" s="50" t="s">
        <v>685</v>
      </c>
      <c r="C2633" s="51"/>
      <c r="D2633" s="343">
        <v>345934</v>
      </c>
      <c r="E2633" s="343">
        <f>VLOOKUP(D2633,'[1]Task list &amp; Maintenace plan'!$B:$G,6,FALSE)</f>
        <v>430</v>
      </c>
      <c r="F2633" s="343" t="s">
        <v>3763</v>
      </c>
      <c r="G2633" s="345" t="s">
        <v>426</v>
      </c>
      <c r="H2633" s="345" t="s">
        <v>3405</v>
      </c>
      <c r="I2633" s="344">
        <v>180</v>
      </c>
      <c r="J2633" s="551">
        <v>1</v>
      </c>
      <c r="K2633" s="551">
        <v>360</v>
      </c>
      <c r="L2633" s="551">
        <v>5</v>
      </c>
      <c r="M2633" s="551">
        <f t="shared" si="12"/>
        <v>1800</v>
      </c>
      <c r="N2633" s="551" t="s">
        <v>468</v>
      </c>
      <c r="R2633" s="418"/>
      <c r="S2633" s="344"/>
    </row>
    <row r="2634" spans="1:19" ht="15.75" thickBot="1" x14ac:dyDescent="0.3">
      <c r="A2634" t="s">
        <v>3317</v>
      </c>
      <c r="B2634" s="50" t="s">
        <v>685</v>
      </c>
      <c r="C2634" s="214"/>
      <c r="D2634" s="366"/>
      <c r="E2634" s="366"/>
      <c r="F2634" s="366"/>
      <c r="G2634" s="468"/>
      <c r="H2634" s="468"/>
      <c r="I2634" s="552"/>
      <c r="J2634" s="553"/>
      <c r="K2634" s="553"/>
      <c r="L2634" s="553"/>
      <c r="M2634" s="553"/>
      <c r="N2634" s="553"/>
      <c r="R2634" s="554"/>
      <c r="S2634" s="552"/>
    </row>
    <row r="2635" spans="1:19" x14ac:dyDescent="0.25">
      <c r="A2635" t="s">
        <v>3317</v>
      </c>
      <c r="B2635" s="50" t="s">
        <v>714</v>
      </c>
      <c r="C2635" s="445"/>
      <c r="D2635" s="555">
        <v>345885</v>
      </c>
      <c r="E2635" s="555">
        <f>VLOOKUP(D2635,'[1]Task list &amp; Maintenace plan'!$B:$G,6,FALSE)</f>
        <v>405</v>
      </c>
      <c r="F2635" s="555" t="s">
        <v>3764</v>
      </c>
      <c r="G2635" s="556" t="s">
        <v>725</v>
      </c>
      <c r="H2635" s="556" t="s">
        <v>3765</v>
      </c>
      <c r="I2635" s="557">
        <v>15</v>
      </c>
      <c r="J2635" s="739">
        <v>1</v>
      </c>
      <c r="K2635" s="739">
        <v>30</v>
      </c>
      <c r="L2635" s="739">
        <v>1</v>
      </c>
      <c r="M2635" s="739">
        <f t="shared" si="12"/>
        <v>30</v>
      </c>
      <c r="N2635" s="739" t="s">
        <v>20</v>
      </c>
      <c r="R2635" s="558"/>
      <c r="S2635" s="557"/>
    </row>
    <row r="2636" spans="1:19" x14ac:dyDescent="0.25">
      <c r="A2636" t="s">
        <v>3317</v>
      </c>
      <c r="B2636" s="50" t="s">
        <v>714</v>
      </c>
      <c r="C2636" s="445"/>
      <c r="D2636" s="346">
        <v>345885</v>
      </c>
      <c r="E2636" s="346">
        <f>VLOOKUP(D2636,'[1]Task list &amp; Maintenace plan'!$B:$G,6,FALSE)</f>
        <v>405</v>
      </c>
      <c r="F2636" s="346" t="s">
        <v>3764</v>
      </c>
      <c r="G2636" s="348" t="s">
        <v>731</v>
      </c>
      <c r="H2636" s="348" t="s">
        <v>3766</v>
      </c>
      <c r="I2636" s="347">
        <v>15</v>
      </c>
      <c r="J2636" s="736">
        <v>1</v>
      </c>
      <c r="K2636" s="736">
        <v>30</v>
      </c>
      <c r="L2636" s="736">
        <v>1</v>
      </c>
      <c r="M2636" s="736">
        <f t="shared" si="12"/>
        <v>30</v>
      </c>
      <c r="N2636" s="736"/>
      <c r="R2636" s="413"/>
      <c r="S2636" s="347"/>
    </row>
    <row r="2637" spans="1:19" x14ac:dyDescent="0.25">
      <c r="A2637" t="s">
        <v>3317</v>
      </c>
      <c r="B2637" s="50" t="s">
        <v>714</v>
      </c>
      <c r="C2637" s="445"/>
      <c r="D2637" s="346">
        <v>345885</v>
      </c>
      <c r="E2637" s="346">
        <f>VLOOKUP(D2637,'[1]Task list &amp; Maintenace plan'!$B:$G,6,FALSE)</f>
        <v>405</v>
      </c>
      <c r="F2637" s="346" t="s">
        <v>3764</v>
      </c>
      <c r="G2637" s="348" t="s">
        <v>735</v>
      </c>
      <c r="H2637" s="348" t="s">
        <v>3767</v>
      </c>
      <c r="I2637" s="347">
        <v>15</v>
      </c>
      <c r="J2637" s="736"/>
      <c r="K2637" s="736">
        <v>30</v>
      </c>
      <c r="L2637" s="736">
        <v>1</v>
      </c>
      <c r="M2637" s="736">
        <f t="shared" si="12"/>
        <v>30</v>
      </c>
      <c r="N2637" s="736"/>
      <c r="R2637" s="413"/>
      <c r="S2637" s="347"/>
    </row>
    <row r="2638" spans="1:19" x14ac:dyDescent="0.25">
      <c r="A2638" t="s">
        <v>3317</v>
      </c>
      <c r="B2638" s="50" t="s">
        <v>714</v>
      </c>
      <c r="C2638" s="503"/>
      <c r="D2638" s="349">
        <v>345885</v>
      </c>
      <c r="E2638" s="349">
        <f>VLOOKUP(D2638,'[1]Task list &amp; Maintenace plan'!$B:$G,6,FALSE)</f>
        <v>405</v>
      </c>
      <c r="F2638" s="349" t="s">
        <v>3764</v>
      </c>
      <c r="G2638" s="351" t="s">
        <v>487</v>
      </c>
      <c r="H2638" s="351" t="s">
        <v>3768</v>
      </c>
      <c r="I2638" s="350">
        <v>15</v>
      </c>
      <c r="J2638" s="737"/>
      <c r="K2638" s="737">
        <v>30</v>
      </c>
      <c r="L2638" s="737">
        <v>1</v>
      </c>
      <c r="M2638" s="737">
        <f t="shared" si="12"/>
        <v>30</v>
      </c>
      <c r="N2638" s="737"/>
      <c r="R2638" s="414"/>
      <c r="S2638" s="350"/>
    </row>
    <row r="2639" spans="1:19" x14ac:dyDescent="0.25">
      <c r="A2639" t="s">
        <v>3317</v>
      </c>
      <c r="B2639" s="50" t="s">
        <v>714</v>
      </c>
      <c r="C2639" s="503"/>
      <c r="D2639" s="343">
        <v>345886</v>
      </c>
      <c r="E2639" s="343">
        <f>VLOOKUP(D2639,'[1]Task list &amp; Maintenace plan'!$B:$G,6,FALSE)</f>
        <v>100719</v>
      </c>
      <c r="F2639" s="343" t="s">
        <v>3769</v>
      </c>
      <c r="G2639" s="345" t="s">
        <v>718</v>
      </c>
      <c r="H2639" s="345" t="s">
        <v>3770</v>
      </c>
      <c r="I2639" s="344">
        <v>15</v>
      </c>
      <c r="J2639" s="733"/>
      <c r="K2639" s="733">
        <v>30</v>
      </c>
      <c r="L2639" s="733">
        <v>1</v>
      </c>
      <c r="M2639" s="733">
        <f t="shared" si="12"/>
        <v>30</v>
      </c>
      <c r="N2639" s="733" t="s">
        <v>3174</v>
      </c>
      <c r="R2639" s="418" t="s">
        <v>3159</v>
      </c>
      <c r="S2639" s="344"/>
    </row>
    <row r="2640" spans="1:19" x14ac:dyDescent="0.25">
      <c r="A2640" t="s">
        <v>3317</v>
      </c>
      <c r="B2640" s="50" t="s">
        <v>714</v>
      </c>
      <c r="C2640" s="503"/>
      <c r="D2640" s="346">
        <v>345886</v>
      </c>
      <c r="E2640" s="346">
        <f>VLOOKUP(D2640,'[1]Task list &amp; Maintenace plan'!$B:$G,6,FALSE)</f>
        <v>100719</v>
      </c>
      <c r="F2640" s="346" t="s">
        <v>3769</v>
      </c>
      <c r="G2640" s="348" t="s">
        <v>733</v>
      </c>
      <c r="H2640" s="348" t="s">
        <v>3771</v>
      </c>
      <c r="I2640" s="347">
        <v>15</v>
      </c>
      <c r="J2640" s="736"/>
      <c r="K2640" s="736">
        <v>30</v>
      </c>
      <c r="L2640" s="736">
        <v>1</v>
      </c>
      <c r="M2640" s="736">
        <f t="shared" si="12"/>
        <v>30</v>
      </c>
      <c r="N2640" s="736"/>
      <c r="R2640" s="413" t="s">
        <v>3159</v>
      </c>
      <c r="S2640" s="347"/>
    </row>
    <row r="2641" spans="1:19" x14ac:dyDescent="0.25">
      <c r="A2641" t="s">
        <v>3317</v>
      </c>
      <c r="B2641" s="50" t="s">
        <v>714</v>
      </c>
      <c r="C2641" s="445"/>
      <c r="D2641" s="349">
        <v>345886</v>
      </c>
      <c r="E2641" s="349">
        <f>VLOOKUP(D2641,'[1]Task list &amp; Maintenace plan'!$B:$G,6,FALSE)</f>
        <v>100719</v>
      </c>
      <c r="F2641" s="349" t="s">
        <v>3769</v>
      </c>
      <c r="G2641" s="351" t="s">
        <v>735</v>
      </c>
      <c r="H2641" s="351" t="s">
        <v>3772</v>
      </c>
      <c r="I2641" s="350">
        <v>15</v>
      </c>
      <c r="J2641" s="737"/>
      <c r="K2641" s="737">
        <v>30</v>
      </c>
      <c r="L2641" s="737">
        <v>1</v>
      </c>
      <c r="M2641" s="737">
        <f t="shared" si="12"/>
        <v>30</v>
      </c>
      <c r="N2641" s="737"/>
      <c r="R2641" s="414" t="s">
        <v>3159</v>
      </c>
      <c r="S2641" s="350"/>
    </row>
    <row r="2642" spans="1:19" x14ac:dyDescent="0.25">
      <c r="A2642" t="s">
        <v>3317</v>
      </c>
      <c r="B2642" s="50" t="s">
        <v>714</v>
      </c>
      <c r="C2642" s="445"/>
      <c r="D2642" s="417">
        <v>345898</v>
      </c>
      <c r="E2642" s="417">
        <f>VLOOKUP(D2642,'[1]Task list &amp; Maintenace plan'!$B:$G,6,FALSE)</f>
        <v>100720</v>
      </c>
      <c r="F2642" s="417" t="s">
        <v>3773</v>
      </c>
      <c r="G2642" s="420" t="s">
        <v>715</v>
      </c>
      <c r="H2642" s="420" t="s">
        <v>3774</v>
      </c>
      <c r="I2642" s="421">
        <v>30</v>
      </c>
      <c r="J2642" s="733">
        <v>1</v>
      </c>
      <c r="K2642" s="733">
        <v>90</v>
      </c>
      <c r="L2642" s="733">
        <v>2</v>
      </c>
      <c r="M2642" s="733">
        <f t="shared" ref="M2642:M2705" si="13">K2642*L2642</f>
        <v>180</v>
      </c>
      <c r="N2642" s="733" t="s">
        <v>468</v>
      </c>
      <c r="R2642" s="422"/>
      <c r="S2642" s="421"/>
    </row>
    <row r="2643" spans="1:19" x14ac:dyDescent="0.25">
      <c r="A2643" t="s">
        <v>3317</v>
      </c>
      <c r="B2643" s="50" t="s">
        <v>714</v>
      </c>
      <c r="C2643" s="445"/>
      <c r="D2643" s="349">
        <v>345898</v>
      </c>
      <c r="E2643" s="349">
        <f>VLOOKUP(D2643,'[1]Task list &amp; Maintenace plan'!$B:$G,6,FALSE)</f>
        <v>100720</v>
      </c>
      <c r="F2643" s="349" t="s">
        <v>3773</v>
      </c>
      <c r="G2643" s="351" t="s">
        <v>718</v>
      </c>
      <c r="H2643" s="351" t="s">
        <v>3775</v>
      </c>
      <c r="I2643" s="350">
        <v>30</v>
      </c>
      <c r="J2643" s="737">
        <v>1</v>
      </c>
      <c r="K2643" s="737">
        <v>90</v>
      </c>
      <c r="L2643" s="737">
        <v>2</v>
      </c>
      <c r="M2643" s="737">
        <f t="shared" si="13"/>
        <v>180</v>
      </c>
      <c r="N2643" s="737"/>
      <c r="R2643" s="414"/>
      <c r="S2643" s="350"/>
    </row>
    <row r="2644" spans="1:19" x14ac:dyDescent="0.25">
      <c r="A2644" t="s">
        <v>3317</v>
      </c>
      <c r="B2644" s="50" t="s">
        <v>714</v>
      </c>
      <c r="C2644" s="445"/>
      <c r="D2644" s="349">
        <v>342401</v>
      </c>
      <c r="E2644" s="349">
        <f>VLOOKUP(D2644,'[1]Task list &amp; Maintenace plan'!$B:$G,6,FALSE)</f>
        <v>510</v>
      </c>
      <c r="F2644" s="349" t="s">
        <v>3776</v>
      </c>
      <c r="G2644" s="351" t="s">
        <v>715</v>
      </c>
      <c r="H2644" s="351" t="s">
        <v>3777</v>
      </c>
      <c r="I2644" s="350">
        <v>60</v>
      </c>
      <c r="J2644" s="472">
        <v>1</v>
      </c>
      <c r="K2644" s="472">
        <v>240</v>
      </c>
      <c r="L2644" s="472">
        <v>2</v>
      </c>
      <c r="M2644" s="472">
        <f t="shared" si="13"/>
        <v>480</v>
      </c>
      <c r="N2644" s="472" t="s">
        <v>468</v>
      </c>
      <c r="R2644" s="414"/>
      <c r="S2644" s="350"/>
    </row>
    <row r="2645" spans="1:19" x14ac:dyDescent="0.25">
      <c r="A2645" t="s">
        <v>3317</v>
      </c>
      <c r="B2645" s="50" t="s">
        <v>714</v>
      </c>
      <c r="C2645" s="445"/>
      <c r="D2645" s="417">
        <v>345935</v>
      </c>
      <c r="E2645" s="417">
        <f>VLOOKUP(D2645,'[1]Task list &amp; Maintenace plan'!$B:$G,6,FALSE)</f>
        <v>376</v>
      </c>
      <c r="F2645" s="417" t="s">
        <v>3778</v>
      </c>
      <c r="G2645" s="420" t="s">
        <v>733</v>
      </c>
      <c r="H2645" s="420" t="s">
        <v>3779</v>
      </c>
      <c r="I2645" s="421">
        <v>90</v>
      </c>
      <c r="J2645" s="733">
        <v>1</v>
      </c>
      <c r="K2645" s="733">
        <v>480</v>
      </c>
      <c r="L2645" s="733">
        <v>6</v>
      </c>
      <c r="M2645" s="733">
        <f t="shared" si="13"/>
        <v>2880</v>
      </c>
      <c r="N2645" s="733" t="s">
        <v>468</v>
      </c>
      <c r="R2645" s="422"/>
      <c r="S2645" s="421"/>
    </row>
    <row r="2646" spans="1:19" x14ac:dyDescent="0.25">
      <c r="A2646" t="s">
        <v>3317</v>
      </c>
      <c r="B2646" s="50" t="s">
        <v>714</v>
      </c>
      <c r="C2646" s="445"/>
      <c r="D2646" s="349">
        <v>345935</v>
      </c>
      <c r="E2646" s="349">
        <f>VLOOKUP(D2646,'[1]Task list &amp; Maintenace plan'!$B:$G,6,FALSE)</f>
        <v>376</v>
      </c>
      <c r="F2646" s="349" t="s">
        <v>3778</v>
      </c>
      <c r="G2646" s="351" t="s">
        <v>735</v>
      </c>
      <c r="H2646" s="351" t="s">
        <v>3780</v>
      </c>
      <c r="I2646" s="350">
        <v>90</v>
      </c>
      <c r="J2646" s="737">
        <v>1</v>
      </c>
      <c r="K2646" s="737">
        <v>480</v>
      </c>
      <c r="L2646" s="737">
        <v>6</v>
      </c>
      <c r="M2646" s="737">
        <f t="shared" si="13"/>
        <v>2880</v>
      </c>
      <c r="N2646" s="737"/>
      <c r="R2646" s="414"/>
      <c r="S2646" s="350"/>
    </row>
    <row r="2647" spans="1:19" x14ac:dyDescent="0.25">
      <c r="A2647" t="s">
        <v>3317</v>
      </c>
      <c r="B2647" s="50" t="s">
        <v>714</v>
      </c>
      <c r="C2647" s="51"/>
      <c r="D2647" s="360">
        <v>343017</v>
      </c>
      <c r="E2647" s="360">
        <f>VLOOKUP(D2647,'[1]Task list &amp; Maintenace plan'!$B:$G,6,FALSE)</f>
        <v>673</v>
      </c>
      <c r="F2647" s="360" t="s">
        <v>3781</v>
      </c>
      <c r="G2647" s="362" t="s">
        <v>735</v>
      </c>
      <c r="H2647" s="362" t="s">
        <v>3782</v>
      </c>
      <c r="I2647" s="361">
        <v>90</v>
      </c>
      <c r="J2647" s="424">
        <v>1</v>
      </c>
      <c r="K2647" s="424">
        <v>120</v>
      </c>
      <c r="L2647" s="424">
        <v>4</v>
      </c>
      <c r="M2647" s="424">
        <f t="shared" si="13"/>
        <v>480</v>
      </c>
      <c r="N2647" s="424" t="s">
        <v>468</v>
      </c>
      <c r="R2647" s="419"/>
      <c r="S2647" s="361"/>
    </row>
    <row r="2648" spans="1:19" x14ac:dyDescent="0.25">
      <c r="A2648" t="s">
        <v>3317</v>
      </c>
      <c r="B2648" s="50" t="s">
        <v>714</v>
      </c>
      <c r="C2648" s="51"/>
      <c r="D2648" s="417">
        <v>345936</v>
      </c>
      <c r="E2648" s="417">
        <f>VLOOKUP(D2648,'[1]Task list &amp; Maintenace plan'!$B:$G,6,FALSE)</f>
        <v>100721</v>
      </c>
      <c r="F2648" s="417" t="s">
        <v>3783</v>
      </c>
      <c r="G2648" s="420" t="s">
        <v>718</v>
      </c>
      <c r="H2648" s="420" t="s">
        <v>3784</v>
      </c>
      <c r="I2648" s="421">
        <v>180</v>
      </c>
      <c r="J2648" s="733">
        <v>1</v>
      </c>
      <c r="K2648" s="733">
        <v>180</v>
      </c>
      <c r="L2648" s="733">
        <v>2</v>
      </c>
      <c r="M2648" s="733">
        <f t="shared" si="13"/>
        <v>360</v>
      </c>
      <c r="N2648" s="733" t="s">
        <v>3174</v>
      </c>
      <c r="R2648" s="422" t="s">
        <v>3703</v>
      </c>
      <c r="S2648" s="421"/>
    </row>
    <row r="2649" spans="1:19" x14ac:dyDescent="0.25">
      <c r="A2649" t="s">
        <v>3317</v>
      </c>
      <c r="B2649" s="50" t="s">
        <v>714</v>
      </c>
      <c r="C2649" s="51"/>
      <c r="D2649" s="346">
        <v>345936</v>
      </c>
      <c r="E2649" s="346">
        <f>VLOOKUP(D2649,'[1]Task list &amp; Maintenace plan'!$B:$G,6,FALSE)</f>
        <v>100721</v>
      </c>
      <c r="F2649" s="346" t="s">
        <v>3783</v>
      </c>
      <c r="G2649" s="348" t="s">
        <v>733</v>
      </c>
      <c r="H2649" s="348" t="s">
        <v>3785</v>
      </c>
      <c r="I2649" s="347">
        <v>180</v>
      </c>
      <c r="J2649" s="736">
        <v>1</v>
      </c>
      <c r="K2649" s="736">
        <v>180</v>
      </c>
      <c r="L2649" s="736">
        <v>2</v>
      </c>
      <c r="M2649" s="736">
        <f t="shared" si="13"/>
        <v>360</v>
      </c>
      <c r="N2649" s="736"/>
      <c r="R2649" s="413" t="s">
        <v>3703</v>
      </c>
      <c r="S2649" s="347"/>
    </row>
    <row r="2650" spans="1:19" x14ac:dyDescent="0.25">
      <c r="A2650" t="s">
        <v>3317</v>
      </c>
      <c r="B2650" s="50" t="s">
        <v>714</v>
      </c>
      <c r="C2650" s="51"/>
      <c r="D2650" s="346">
        <v>345936</v>
      </c>
      <c r="E2650" s="346">
        <f>VLOOKUP(D2650,'[1]Task list &amp; Maintenace plan'!$B:$G,6,FALSE)</f>
        <v>100721</v>
      </c>
      <c r="F2650" s="346" t="s">
        <v>3783</v>
      </c>
      <c r="G2650" s="348" t="s">
        <v>735</v>
      </c>
      <c r="H2650" s="348" t="s">
        <v>3786</v>
      </c>
      <c r="I2650" s="347">
        <v>180</v>
      </c>
      <c r="J2650" s="736">
        <v>1</v>
      </c>
      <c r="K2650" s="736">
        <v>180</v>
      </c>
      <c r="L2650" s="736">
        <v>2</v>
      </c>
      <c r="M2650" s="736">
        <f t="shared" si="13"/>
        <v>360</v>
      </c>
      <c r="N2650" s="736"/>
      <c r="R2650" s="413" t="s">
        <v>3703</v>
      </c>
      <c r="S2650" s="347"/>
    </row>
    <row r="2651" spans="1:19" x14ac:dyDescent="0.25">
      <c r="A2651" t="s">
        <v>3317</v>
      </c>
      <c r="B2651" s="50" t="s">
        <v>714</v>
      </c>
      <c r="C2651" s="51"/>
      <c r="D2651" s="349">
        <v>345936</v>
      </c>
      <c r="E2651" s="349">
        <f>VLOOKUP(D2651,'[1]Task list &amp; Maintenace plan'!$B:$G,6,FALSE)</f>
        <v>100721</v>
      </c>
      <c r="F2651" s="349" t="s">
        <v>3783</v>
      </c>
      <c r="G2651" s="351" t="s">
        <v>731</v>
      </c>
      <c r="H2651" s="351" t="s">
        <v>3787</v>
      </c>
      <c r="I2651" s="350">
        <v>180</v>
      </c>
      <c r="J2651" s="737">
        <v>1</v>
      </c>
      <c r="K2651" s="737">
        <v>180</v>
      </c>
      <c r="L2651" s="737">
        <v>2</v>
      </c>
      <c r="M2651" s="737">
        <f t="shared" si="13"/>
        <v>360</v>
      </c>
      <c r="N2651" s="737"/>
      <c r="R2651" s="414" t="s">
        <v>3703</v>
      </c>
      <c r="S2651" s="350"/>
    </row>
    <row r="2652" spans="1:19" x14ac:dyDescent="0.25">
      <c r="A2652" t="s">
        <v>3317</v>
      </c>
      <c r="B2652" s="50" t="s">
        <v>714</v>
      </c>
      <c r="C2652" s="51"/>
      <c r="D2652" s="349">
        <v>356701</v>
      </c>
      <c r="E2652" s="349">
        <f>VLOOKUP(D2652,'[1]Task list &amp; Maintenace plan'!$B:$G,6,FALSE)</f>
        <v>1615</v>
      </c>
      <c r="F2652" s="349" t="s">
        <v>3788</v>
      </c>
      <c r="G2652" s="351" t="s">
        <v>487</v>
      </c>
      <c r="H2652" s="351" t="s">
        <v>3430</v>
      </c>
      <c r="I2652" s="350">
        <v>180</v>
      </c>
      <c r="J2652" s="472">
        <v>1</v>
      </c>
      <c r="K2652" s="472">
        <v>120</v>
      </c>
      <c r="L2652" s="472">
        <v>3</v>
      </c>
      <c r="M2652" s="472">
        <f t="shared" si="13"/>
        <v>360</v>
      </c>
      <c r="N2652" s="472" t="s">
        <v>468</v>
      </c>
      <c r="R2652" s="414"/>
      <c r="S2652" s="350"/>
    </row>
    <row r="2653" spans="1:19" ht="15.75" thickBot="1" x14ac:dyDescent="0.3">
      <c r="A2653" t="s">
        <v>3317</v>
      </c>
      <c r="B2653" s="50" t="s">
        <v>714</v>
      </c>
      <c r="C2653" s="214"/>
      <c r="D2653" s="363">
        <v>345937</v>
      </c>
      <c r="E2653" s="363">
        <f>VLOOKUP(D2653,'[1]Task list &amp; Maintenace plan'!$B:$G,6,FALSE)</f>
        <v>396</v>
      </c>
      <c r="F2653" s="363" t="s">
        <v>3789</v>
      </c>
      <c r="G2653" s="365" t="s">
        <v>727</v>
      </c>
      <c r="H2653" s="365" t="s">
        <v>3790</v>
      </c>
      <c r="I2653" s="364">
        <v>180</v>
      </c>
      <c r="J2653" s="437">
        <v>1</v>
      </c>
      <c r="K2653" s="437">
        <v>180</v>
      </c>
      <c r="L2653" s="437">
        <v>3</v>
      </c>
      <c r="M2653" s="437">
        <f t="shared" si="13"/>
        <v>540</v>
      </c>
      <c r="N2653" s="437" t="s">
        <v>468</v>
      </c>
      <c r="R2653" s="427"/>
      <c r="S2653" s="364"/>
    </row>
    <row r="2654" spans="1:19" x14ac:dyDescent="0.25">
      <c r="A2654" t="s">
        <v>3317</v>
      </c>
      <c r="B2654" s="50" t="s">
        <v>761</v>
      </c>
      <c r="C2654" s="51"/>
      <c r="D2654" s="343">
        <v>345887</v>
      </c>
      <c r="E2654" s="343">
        <f>VLOOKUP(D2654,'[1]Task list &amp; Maintenace plan'!$B:$G,6,FALSE)</f>
        <v>100722</v>
      </c>
      <c r="F2654" s="343" t="s">
        <v>3791</v>
      </c>
      <c r="G2654" s="345" t="s">
        <v>3792</v>
      </c>
      <c r="H2654" s="345" t="s">
        <v>3793</v>
      </c>
      <c r="I2654" s="344">
        <v>15</v>
      </c>
      <c r="J2654" s="739"/>
      <c r="K2654" s="739">
        <v>30</v>
      </c>
      <c r="L2654" s="739">
        <v>1</v>
      </c>
      <c r="M2654" s="739">
        <f t="shared" si="13"/>
        <v>30</v>
      </c>
      <c r="N2654" s="739" t="s">
        <v>3174</v>
      </c>
      <c r="R2654" s="418" t="s">
        <v>3159</v>
      </c>
      <c r="S2654" s="344"/>
    </row>
    <row r="2655" spans="1:19" x14ac:dyDescent="0.25">
      <c r="A2655" t="s">
        <v>3317</v>
      </c>
      <c r="B2655" s="50" t="s">
        <v>761</v>
      </c>
      <c r="C2655" s="51"/>
      <c r="D2655" s="346">
        <v>345887</v>
      </c>
      <c r="E2655" s="346">
        <f>VLOOKUP(D2655,'[1]Task list &amp; Maintenace plan'!$B:$G,6,FALSE)</f>
        <v>100722</v>
      </c>
      <c r="F2655" s="346" t="s">
        <v>3791</v>
      </c>
      <c r="G2655" s="348" t="s">
        <v>3794</v>
      </c>
      <c r="H2655" s="348" t="s">
        <v>3795</v>
      </c>
      <c r="I2655" s="347">
        <v>15</v>
      </c>
      <c r="J2655" s="736"/>
      <c r="K2655" s="736">
        <v>30</v>
      </c>
      <c r="L2655" s="736">
        <v>0</v>
      </c>
      <c r="M2655" s="736">
        <f t="shared" si="13"/>
        <v>0</v>
      </c>
      <c r="N2655" s="736"/>
      <c r="R2655" s="413" t="s">
        <v>3159</v>
      </c>
      <c r="S2655" s="347"/>
    </row>
    <row r="2656" spans="1:19" x14ac:dyDescent="0.25">
      <c r="A2656" t="s">
        <v>3317</v>
      </c>
      <c r="B2656" s="50" t="s">
        <v>761</v>
      </c>
      <c r="C2656" s="51"/>
      <c r="D2656" s="346">
        <v>345887</v>
      </c>
      <c r="E2656" s="346">
        <f>VLOOKUP(D2656,'[1]Task list &amp; Maintenace plan'!$B:$G,6,FALSE)</f>
        <v>100722</v>
      </c>
      <c r="F2656" s="346" t="s">
        <v>3791</v>
      </c>
      <c r="G2656" s="348" t="s">
        <v>3796</v>
      </c>
      <c r="H2656" s="348" t="s">
        <v>3797</v>
      </c>
      <c r="I2656" s="347">
        <v>15</v>
      </c>
      <c r="J2656" s="736"/>
      <c r="K2656" s="736">
        <v>30</v>
      </c>
      <c r="L2656" s="736">
        <v>0</v>
      </c>
      <c r="M2656" s="736">
        <f t="shared" si="13"/>
        <v>0</v>
      </c>
      <c r="N2656" s="736"/>
      <c r="R2656" s="413" t="s">
        <v>3159</v>
      </c>
      <c r="S2656" s="347"/>
    </row>
    <row r="2657" spans="1:19" x14ac:dyDescent="0.25">
      <c r="A2657" t="s">
        <v>3317</v>
      </c>
      <c r="B2657" s="50" t="s">
        <v>761</v>
      </c>
      <c r="C2657" s="51"/>
      <c r="D2657" s="346">
        <v>345887</v>
      </c>
      <c r="E2657" s="346">
        <f>VLOOKUP(D2657,'[1]Task list &amp; Maintenace plan'!$B:$G,6,FALSE)</f>
        <v>100722</v>
      </c>
      <c r="F2657" s="346" t="s">
        <v>3791</v>
      </c>
      <c r="G2657" s="348" t="s">
        <v>3798</v>
      </c>
      <c r="H2657" s="348" t="s">
        <v>3799</v>
      </c>
      <c r="I2657" s="347">
        <v>15</v>
      </c>
      <c r="J2657" s="736"/>
      <c r="K2657" s="736">
        <v>30</v>
      </c>
      <c r="L2657" s="736">
        <v>0</v>
      </c>
      <c r="M2657" s="736">
        <f t="shared" si="13"/>
        <v>0</v>
      </c>
      <c r="N2657" s="736"/>
      <c r="R2657" s="413" t="s">
        <v>3159</v>
      </c>
      <c r="S2657" s="347"/>
    </row>
    <row r="2658" spans="1:19" x14ac:dyDescent="0.25">
      <c r="A2658" t="s">
        <v>3317</v>
      </c>
      <c r="B2658" s="50" t="s">
        <v>761</v>
      </c>
      <c r="C2658" s="51"/>
      <c r="D2658" s="349">
        <v>345887</v>
      </c>
      <c r="E2658" s="349">
        <f>VLOOKUP(D2658,'[1]Task list &amp; Maintenace plan'!$B:$G,6,FALSE)</f>
        <v>100722</v>
      </c>
      <c r="F2658" s="349" t="s">
        <v>3791</v>
      </c>
      <c r="G2658" s="351" t="s">
        <v>3800</v>
      </c>
      <c r="H2658" s="351" t="s">
        <v>3801</v>
      </c>
      <c r="I2658" s="350">
        <v>15</v>
      </c>
      <c r="J2658" s="737"/>
      <c r="K2658" s="737">
        <v>30</v>
      </c>
      <c r="L2658" s="737">
        <v>0</v>
      </c>
      <c r="M2658" s="737">
        <f t="shared" si="13"/>
        <v>0</v>
      </c>
      <c r="N2658" s="737"/>
      <c r="R2658" s="414" t="s">
        <v>3159</v>
      </c>
      <c r="S2658" s="350"/>
    </row>
    <row r="2659" spans="1:19" x14ac:dyDescent="0.25">
      <c r="A2659" t="s">
        <v>3317</v>
      </c>
      <c r="B2659" s="50" t="s">
        <v>761</v>
      </c>
      <c r="C2659" s="51"/>
      <c r="D2659" s="417">
        <v>345899</v>
      </c>
      <c r="E2659" s="417">
        <f>VLOOKUP(D2659,'[1]Task list &amp; Maintenace plan'!$B:$G,6,FALSE)</f>
        <v>100723</v>
      </c>
      <c r="F2659" s="417" t="s">
        <v>3802</v>
      </c>
      <c r="G2659" s="420" t="s">
        <v>3803</v>
      </c>
      <c r="H2659" s="420" t="s">
        <v>3804</v>
      </c>
      <c r="I2659" s="421">
        <v>30</v>
      </c>
      <c r="J2659" s="733"/>
      <c r="K2659" s="733">
        <v>30</v>
      </c>
      <c r="L2659" s="733">
        <v>1</v>
      </c>
      <c r="M2659" s="733">
        <f t="shared" si="13"/>
        <v>30</v>
      </c>
      <c r="N2659" s="733" t="s">
        <v>20</v>
      </c>
      <c r="R2659" s="422"/>
      <c r="S2659" s="421"/>
    </row>
    <row r="2660" spans="1:19" x14ac:dyDescent="0.25">
      <c r="A2660" t="s">
        <v>3317</v>
      </c>
      <c r="B2660" s="50" t="s">
        <v>761</v>
      </c>
      <c r="C2660" s="51"/>
      <c r="D2660" s="423">
        <v>345899</v>
      </c>
      <c r="E2660" s="423">
        <f>VLOOKUP(D2660,'[1]Task list &amp; Maintenace plan'!$B:$G,6,FALSE)</f>
        <v>100723</v>
      </c>
      <c r="F2660" s="423" t="s">
        <v>3802</v>
      </c>
      <c r="G2660" s="433" t="s">
        <v>3803</v>
      </c>
      <c r="H2660" s="433" t="s">
        <v>3805</v>
      </c>
      <c r="I2660" s="434">
        <v>30</v>
      </c>
      <c r="J2660" s="737"/>
      <c r="K2660" s="737">
        <v>30</v>
      </c>
      <c r="L2660" s="737">
        <v>1</v>
      </c>
      <c r="M2660" s="737">
        <f t="shared" si="13"/>
        <v>30</v>
      </c>
      <c r="N2660" s="737"/>
      <c r="R2660" s="435"/>
      <c r="S2660" s="434"/>
    </row>
    <row r="2661" spans="1:19" x14ac:dyDescent="0.25">
      <c r="A2661" t="s">
        <v>3317</v>
      </c>
      <c r="B2661" s="50" t="s">
        <v>761</v>
      </c>
      <c r="C2661" s="51"/>
      <c r="D2661" s="352">
        <v>345938</v>
      </c>
      <c r="E2661" s="352">
        <f>VLOOKUP(D2661,'[1]Task list &amp; Maintenace plan'!$B:$G,6,FALSE)</f>
        <v>429</v>
      </c>
      <c r="F2661" s="352" t="s">
        <v>3806</v>
      </c>
      <c r="G2661" s="61" t="s">
        <v>3803</v>
      </c>
      <c r="H2661" s="61" t="s">
        <v>3807</v>
      </c>
      <c r="I2661" s="353">
        <v>90</v>
      </c>
      <c r="J2661" s="412"/>
      <c r="K2661" s="412">
        <v>30</v>
      </c>
      <c r="L2661" s="412">
        <v>1</v>
      </c>
      <c r="M2661" s="412">
        <f t="shared" si="13"/>
        <v>30</v>
      </c>
      <c r="N2661" s="412" t="s">
        <v>20</v>
      </c>
      <c r="R2661" s="411"/>
      <c r="S2661" s="353"/>
    </row>
    <row r="2662" spans="1:19" x14ac:dyDescent="0.25">
      <c r="A2662" t="s">
        <v>3317</v>
      </c>
      <c r="B2662" s="50" t="s">
        <v>761</v>
      </c>
      <c r="C2662" s="51"/>
      <c r="D2662" s="343">
        <v>345939</v>
      </c>
      <c r="E2662" s="343">
        <f>VLOOKUP(D2662,'[1]Task list &amp; Maintenace plan'!$B:$G,6,FALSE)</f>
        <v>100724</v>
      </c>
      <c r="F2662" s="343" t="s">
        <v>3808</v>
      </c>
      <c r="G2662" s="345" t="s">
        <v>3792</v>
      </c>
      <c r="H2662" s="345" t="s">
        <v>3809</v>
      </c>
      <c r="I2662" s="344">
        <v>180</v>
      </c>
      <c r="J2662" s="733">
        <v>1</v>
      </c>
      <c r="K2662" s="733">
        <v>120</v>
      </c>
      <c r="L2662" s="733">
        <v>2</v>
      </c>
      <c r="M2662" s="733">
        <f t="shared" si="13"/>
        <v>240</v>
      </c>
      <c r="N2662" s="733" t="s">
        <v>3174</v>
      </c>
      <c r="R2662" s="418" t="s">
        <v>3703</v>
      </c>
      <c r="S2662" s="344"/>
    </row>
    <row r="2663" spans="1:19" x14ac:dyDescent="0.25">
      <c r="A2663" t="s">
        <v>3317</v>
      </c>
      <c r="B2663" s="50" t="s">
        <v>761</v>
      </c>
      <c r="C2663" s="51"/>
      <c r="D2663" s="346">
        <v>345939</v>
      </c>
      <c r="E2663" s="346">
        <f>VLOOKUP(D2663,'[1]Task list &amp; Maintenace plan'!$B:$G,6,FALSE)</f>
        <v>100724</v>
      </c>
      <c r="F2663" s="346" t="s">
        <v>3808</v>
      </c>
      <c r="G2663" s="348" t="s">
        <v>3794</v>
      </c>
      <c r="H2663" s="348" t="s">
        <v>3810</v>
      </c>
      <c r="I2663" s="347">
        <v>180</v>
      </c>
      <c r="J2663" s="736">
        <v>1</v>
      </c>
      <c r="K2663" s="736">
        <v>120</v>
      </c>
      <c r="L2663" s="736">
        <v>2</v>
      </c>
      <c r="M2663" s="736">
        <f t="shared" si="13"/>
        <v>240</v>
      </c>
      <c r="N2663" s="736"/>
      <c r="R2663" s="413" t="s">
        <v>3703</v>
      </c>
      <c r="S2663" s="347"/>
    </row>
    <row r="2664" spans="1:19" x14ac:dyDescent="0.25">
      <c r="A2664" t="s">
        <v>3317</v>
      </c>
      <c r="B2664" s="50" t="s">
        <v>761</v>
      </c>
      <c r="C2664" s="51"/>
      <c r="D2664" s="346">
        <v>345939</v>
      </c>
      <c r="E2664" s="346">
        <f>VLOOKUP(D2664,'[1]Task list &amp; Maintenace plan'!$B:$G,6,FALSE)</f>
        <v>100724</v>
      </c>
      <c r="F2664" s="346" t="s">
        <v>3808</v>
      </c>
      <c r="G2664" s="348" t="s">
        <v>3796</v>
      </c>
      <c r="H2664" s="348" t="s">
        <v>3811</v>
      </c>
      <c r="I2664" s="347">
        <v>180</v>
      </c>
      <c r="J2664" s="736">
        <v>1</v>
      </c>
      <c r="K2664" s="736">
        <v>120</v>
      </c>
      <c r="L2664" s="736">
        <v>2</v>
      </c>
      <c r="M2664" s="736">
        <f t="shared" si="13"/>
        <v>240</v>
      </c>
      <c r="N2664" s="736"/>
      <c r="R2664" s="413" t="s">
        <v>3703</v>
      </c>
      <c r="S2664" s="347"/>
    </row>
    <row r="2665" spans="1:19" x14ac:dyDescent="0.25">
      <c r="A2665" t="s">
        <v>3317</v>
      </c>
      <c r="B2665" s="50" t="s">
        <v>761</v>
      </c>
      <c r="C2665" s="51"/>
      <c r="D2665" s="346">
        <v>345939</v>
      </c>
      <c r="E2665" s="346">
        <f>VLOOKUP(D2665,'[1]Task list &amp; Maintenace plan'!$B:$G,6,FALSE)</f>
        <v>100724</v>
      </c>
      <c r="F2665" s="346" t="s">
        <v>3808</v>
      </c>
      <c r="G2665" s="348" t="s">
        <v>3798</v>
      </c>
      <c r="H2665" s="348" t="s">
        <v>3812</v>
      </c>
      <c r="I2665" s="347">
        <v>180</v>
      </c>
      <c r="J2665" s="736">
        <v>1</v>
      </c>
      <c r="K2665" s="736">
        <v>120</v>
      </c>
      <c r="L2665" s="736">
        <v>2</v>
      </c>
      <c r="M2665" s="736">
        <f t="shared" si="13"/>
        <v>240</v>
      </c>
      <c r="N2665" s="736"/>
      <c r="R2665" s="413" t="s">
        <v>3703</v>
      </c>
      <c r="S2665" s="347"/>
    </row>
    <row r="2666" spans="1:19" ht="15.75" thickBot="1" x14ac:dyDescent="0.3">
      <c r="A2666" t="s">
        <v>3317</v>
      </c>
      <c r="B2666" s="50" t="s">
        <v>761</v>
      </c>
      <c r="C2666" s="214"/>
      <c r="D2666" s="466">
        <v>345939</v>
      </c>
      <c r="E2666" s="466">
        <f>VLOOKUP(D2666,'[1]Task list &amp; Maintenace plan'!$B:$G,6,FALSE)</f>
        <v>100724</v>
      </c>
      <c r="F2666" s="466" t="s">
        <v>3808</v>
      </c>
      <c r="G2666" s="468" t="s">
        <v>3800</v>
      </c>
      <c r="H2666" s="468" t="s">
        <v>3813</v>
      </c>
      <c r="I2666" s="467">
        <v>180</v>
      </c>
      <c r="J2666" s="738">
        <v>1</v>
      </c>
      <c r="K2666" s="738">
        <v>120</v>
      </c>
      <c r="L2666" s="738">
        <v>2</v>
      </c>
      <c r="M2666" s="738">
        <f t="shared" si="13"/>
        <v>240</v>
      </c>
      <c r="N2666" s="738"/>
      <c r="R2666" s="543" t="s">
        <v>3703</v>
      </c>
      <c r="S2666" s="467"/>
    </row>
    <row r="2667" spans="1:19" x14ac:dyDescent="0.25">
      <c r="A2667" t="s">
        <v>3317</v>
      </c>
      <c r="B2667" s="50" t="s">
        <v>812</v>
      </c>
      <c r="C2667" s="51"/>
      <c r="D2667" s="346">
        <v>345888</v>
      </c>
      <c r="E2667" s="346">
        <f>VLOOKUP(D2667,'[1]Task list &amp; Maintenace plan'!$B:$G,6,FALSE)</f>
        <v>100725</v>
      </c>
      <c r="F2667" s="346" t="s">
        <v>3814</v>
      </c>
      <c r="G2667" s="348" t="s">
        <v>3815</v>
      </c>
      <c r="H2667" s="348" t="s">
        <v>3816</v>
      </c>
      <c r="I2667" s="347">
        <v>15</v>
      </c>
      <c r="J2667" s="739"/>
      <c r="K2667" s="739">
        <v>30</v>
      </c>
      <c r="L2667" s="739">
        <v>1</v>
      </c>
      <c r="M2667" s="739">
        <f t="shared" si="13"/>
        <v>30</v>
      </c>
      <c r="N2667" s="739" t="s">
        <v>3174</v>
      </c>
      <c r="R2667" s="413" t="s">
        <v>3159</v>
      </c>
      <c r="S2667" s="347"/>
    </row>
    <row r="2668" spans="1:19" x14ac:dyDescent="0.25">
      <c r="A2668" t="s">
        <v>3317</v>
      </c>
      <c r="B2668" s="50" t="s">
        <v>812</v>
      </c>
      <c r="C2668" s="51"/>
      <c r="D2668" s="349">
        <v>345888</v>
      </c>
      <c r="E2668" s="349">
        <f>VLOOKUP(D2668,'[1]Task list &amp; Maintenace plan'!$B:$G,6,FALSE)</f>
        <v>100725</v>
      </c>
      <c r="F2668" s="349" t="s">
        <v>3814</v>
      </c>
      <c r="G2668" s="351" t="s">
        <v>3817</v>
      </c>
      <c r="H2668" s="351" t="s">
        <v>3818</v>
      </c>
      <c r="I2668" s="350">
        <v>15</v>
      </c>
      <c r="J2668" s="737"/>
      <c r="K2668" s="737">
        <v>30</v>
      </c>
      <c r="L2668" s="737">
        <v>1</v>
      </c>
      <c r="M2668" s="737">
        <f t="shared" si="13"/>
        <v>30</v>
      </c>
      <c r="N2668" s="737"/>
      <c r="R2668" s="414" t="s">
        <v>3159</v>
      </c>
      <c r="S2668" s="350"/>
    </row>
    <row r="2669" spans="1:19" x14ac:dyDescent="0.25">
      <c r="A2669" t="s">
        <v>3317</v>
      </c>
      <c r="B2669" s="50" t="s">
        <v>812</v>
      </c>
      <c r="C2669" s="51"/>
      <c r="D2669" s="343">
        <v>345900</v>
      </c>
      <c r="E2669" s="343">
        <f>VLOOKUP(D2669,'[1]Task list &amp; Maintenace plan'!$B:$G,6,FALSE)</f>
        <v>100726</v>
      </c>
      <c r="F2669" s="343" t="s">
        <v>3819</v>
      </c>
      <c r="G2669" s="345" t="s">
        <v>820</v>
      </c>
      <c r="H2669" s="345" t="s">
        <v>3820</v>
      </c>
      <c r="I2669" s="344">
        <v>30</v>
      </c>
      <c r="J2669" s="733"/>
      <c r="K2669" s="733">
        <v>0</v>
      </c>
      <c r="L2669" s="733">
        <v>0</v>
      </c>
      <c r="M2669" s="733">
        <f t="shared" si="13"/>
        <v>0</v>
      </c>
      <c r="N2669" s="733" t="s">
        <v>20</v>
      </c>
      <c r="R2669" s="418"/>
      <c r="S2669" s="344"/>
    </row>
    <row r="2670" spans="1:19" x14ac:dyDescent="0.25">
      <c r="A2670" t="s">
        <v>3317</v>
      </c>
      <c r="B2670" s="50" t="s">
        <v>812</v>
      </c>
      <c r="C2670" s="51"/>
      <c r="D2670" s="346">
        <v>345900</v>
      </c>
      <c r="E2670" s="346">
        <f>VLOOKUP(D2670,'[1]Task list &amp; Maintenace plan'!$B:$G,6,FALSE)</f>
        <v>100726</v>
      </c>
      <c r="F2670" s="346" t="s">
        <v>3819</v>
      </c>
      <c r="G2670" s="348" t="s">
        <v>3821</v>
      </c>
      <c r="H2670" s="348" t="s">
        <v>3822</v>
      </c>
      <c r="I2670" s="347">
        <v>30</v>
      </c>
      <c r="J2670" s="736"/>
      <c r="K2670" s="736">
        <v>0</v>
      </c>
      <c r="L2670" s="736">
        <v>0</v>
      </c>
      <c r="M2670" s="736">
        <f t="shared" si="13"/>
        <v>0</v>
      </c>
      <c r="N2670" s="736"/>
      <c r="R2670" s="413"/>
      <c r="S2670" s="347"/>
    </row>
    <row r="2671" spans="1:19" x14ac:dyDescent="0.25">
      <c r="A2671" t="s">
        <v>3317</v>
      </c>
      <c r="B2671" s="50" t="s">
        <v>812</v>
      </c>
      <c r="C2671" s="51"/>
      <c r="D2671" s="349">
        <v>345900</v>
      </c>
      <c r="E2671" s="349">
        <f>VLOOKUP(D2671,'[1]Task list &amp; Maintenace plan'!$B:$G,6,FALSE)</f>
        <v>100726</v>
      </c>
      <c r="F2671" s="349" t="s">
        <v>3819</v>
      </c>
      <c r="G2671" s="351" t="s">
        <v>3821</v>
      </c>
      <c r="H2671" s="351" t="s">
        <v>3805</v>
      </c>
      <c r="I2671" s="350">
        <v>30</v>
      </c>
      <c r="J2671" s="737"/>
      <c r="K2671" s="737">
        <v>0</v>
      </c>
      <c r="L2671" s="737">
        <v>0</v>
      </c>
      <c r="M2671" s="737">
        <f t="shared" si="13"/>
        <v>0</v>
      </c>
      <c r="N2671" s="737"/>
      <c r="R2671" s="414"/>
      <c r="S2671" s="350"/>
    </row>
    <row r="2672" spans="1:19" x14ac:dyDescent="0.25">
      <c r="A2672" t="s">
        <v>3317</v>
      </c>
      <c r="B2672" s="50" t="s">
        <v>812</v>
      </c>
      <c r="C2672" s="51"/>
      <c r="D2672" s="346">
        <v>345940</v>
      </c>
      <c r="E2672" s="346">
        <f>VLOOKUP(D2672,'[1]Task list &amp; Maintenace plan'!$B:$G,6,FALSE)</f>
        <v>100727</v>
      </c>
      <c r="F2672" s="346" t="s">
        <v>3823</v>
      </c>
      <c r="G2672" s="348" t="s">
        <v>3815</v>
      </c>
      <c r="H2672" s="348" t="s">
        <v>3824</v>
      </c>
      <c r="I2672" s="347">
        <v>180</v>
      </c>
      <c r="J2672" s="733">
        <v>1</v>
      </c>
      <c r="K2672" s="733">
        <v>60</v>
      </c>
      <c r="L2672" s="733">
        <v>2</v>
      </c>
      <c r="M2672" s="733">
        <f t="shared" si="13"/>
        <v>120</v>
      </c>
      <c r="N2672" s="733" t="s">
        <v>3174</v>
      </c>
      <c r="R2672" s="413" t="s">
        <v>3703</v>
      </c>
      <c r="S2672" s="347"/>
    </row>
    <row r="2673" spans="1:19" ht="15.75" thickBot="1" x14ac:dyDescent="0.3">
      <c r="A2673" t="s">
        <v>3317</v>
      </c>
      <c r="B2673" s="50" t="s">
        <v>812</v>
      </c>
      <c r="C2673" s="51"/>
      <c r="D2673" s="349">
        <v>345940</v>
      </c>
      <c r="E2673" s="349">
        <f>VLOOKUP(D2673,'[1]Task list &amp; Maintenace plan'!$B:$G,6,FALSE)</f>
        <v>100727</v>
      </c>
      <c r="F2673" s="349" t="s">
        <v>3823</v>
      </c>
      <c r="G2673" s="351" t="s">
        <v>3817</v>
      </c>
      <c r="H2673" s="351" t="s">
        <v>3825</v>
      </c>
      <c r="I2673" s="350">
        <v>180</v>
      </c>
      <c r="J2673" s="738">
        <v>1</v>
      </c>
      <c r="K2673" s="738">
        <v>60</v>
      </c>
      <c r="L2673" s="738">
        <v>2</v>
      </c>
      <c r="M2673" s="738">
        <f t="shared" si="13"/>
        <v>120</v>
      </c>
      <c r="N2673" s="738"/>
      <c r="R2673" s="414" t="s">
        <v>3703</v>
      </c>
      <c r="S2673" s="350"/>
    </row>
    <row r="2674" spans="1:19" x14ac:dyDescent="0.25">
      <c r="A2674" t="s">
        <v>3317</v>
      </c>
      <c r="B2674" s="50" t="s">
        <v>855</v>
      </c>
      <c r="C2674" s="51"/>
      <c r="D2674" s="555">
        <v>345889</v>
      </c>
      <c r="E2674" s="555">
        <f>VLOOKUP(D2674,'[1]Task list &amp; Maintenace plan'!$B:$G,6,FALSE)</f>
        <v>100728</v>
      </c>
      <c r="F2674" s="555" t="s">
        <v>3826</v>
      </c>
      <c r="G2674" s="556" t="s">
        <v>861</v>
      </c>
      <c r="H2674" s="556" t="s">
        <v>3827</v>
      </c>
      <c r="I2674" s="557">
        <v>15</v>
      </c>
      <c r="J2674" s="739"/>
      <c r="K2674" s="739">
        <v>30</v>
      </c>
      <c r="L2674" s="739">
        <v>1</v>
      </c>
      <c r="M2674" s="739">
        <f t="shared" si="13"/>
        <v>30</v>
      </c>
      <c r="N2674" s="739" t="s">
        <v>20</v>
      </c>
      <c r="R2674" s="558"/>
      <c r="S2674" s="557"/>
    </row>
    <row r="2675" spans="1:19" x14ac:dyDescent="0.25">
      <c r="A2675" t="s">
        <v>3317</v>
      </c>
      <c r="B2675" s="50" t="s">
        <v>855</v>
      </c>
      <c r="C2675" s="51"/>
      <c r="D2675" s="346">
        <v>345889</v>
      </c>
      <c r="E2675" s="346">
        <f>VLOOKUP(D2675,'[1]Task list &amp; Maintenace plan'!$B:$G,6,FALSE)</f>
        <v>100728</v>
      </c>
      <c r="F2675" s="346" t="s">
        <v>3826</v>
      </c>
      <c r="G2675" s="348" t="s">
        <v>863</v>
      </c>
      <c r="H2675" s="348" t="s">
        <v>3828</v>
      </c>
      <c r="I2675" s="347">
        <v>15</v>
      </c>
      <c r="J2675" s="736"/>
      <c r="K2675" s="736">
        <v>30</v>
      </c>
      <c r="L2675" s="736">
        <v>1</v>
      </c>
      <c r="M2675" s="736">
        <f t="shared" si="13"/>
        <v>30</v>
      </c>
      <c r="N2675" s="736"/>
      <c r="R2675" s="413"/>
      <c r="S2675" s="347"/>
    </row>
    <row r="2676" spans="1:19" x14ac:dyDescent="0.25">
      <c r="A2676" t="s">
        <v>3317</v>
      </c>
      <c r="B2676" s="50" t="s">
        <v>855</v>
      </c>
      <c r="C2676" s="51"/>
      <c r="D2676" s="346">
        <v>345889</v>
      </c>
      <c r="E2676" s="346">
        <f>VLOOKUP(D2676,'[1]Task list &amp; Maintenace plan'!$B:$G,6,FALSE)</f>
        <v>100728</v>
      </c>
      <c r="F2676" s="346" t="s">
        <v>3826</v>
      </c>
      <c r="G2676" s="348" t="s">
        <v>861</v>
      </c>
      <c r="H2676" s="348" t="s">
        <v>3829</v>
      </c>
      <c r="I2676" s="347">
        <v>15</v>
      </c>
      <c r="J2676" s="736"/>
      <c r="K2676" s="736">
        <v>30</v>
      </c>
      <c r="L2676" s="736">
        <v>1</v>
      </c>
      <c r="M2676" s="736">
        <f t="shared" si="13"/>
        <v>30</v>
      </c>
      <c r="N2676" s="736"/>
      <c r="R2676" s="413"/>
      <c r="S2676" s="347"/>
    </row>
    <row r="2677" spans="1:19" x14ac:dyDescent="0.25">
      <c r="A2677" t="s">
        <v>3317</v>
      </c>
      <c r="B2677" s="50" t="s">
        <v>855</v>
      </c>
      <c r="C2677" s="51"/>
      <c r="D2677" s="346">
        <v>345889</v>
      </c>
      <c r="E2677" s="346">
        <f>VLOOKUP(D2677,'[1]Task list &amp; Maintenace plan'!$B:$G,6,FALSE)</f>
        <v>100728</v>
      </c>
      <c r="F2677" s="346" t="s">
        <v>3826</v>
      </c>
      <c r="G2677" s="348" t="s">
        <v>861</v>
      </c>
      <c r="H2677" s="348" t="s">
        <v>3830</v>
      </c>
      <c r="I2677" s="347">
        <v>15</v>
      </c>
      <c r="J2677" s="736"/>
      <c r="K2677" s="736">
        <v>30</v>
      </c>
      <c r="L2677" s="736">
        <v>1</v>
      </c>
      <c r="M2677" s="736">
        <f t="shared" si="13"/>
        <v>30</v>
      </c>
      <c r="N2677" s="736"/>
      <c r="R2677" s="413"/>
      <c r="S2677" s="347"/>
    </row>
    <row r="2678" spans="1:19" x14ac:dyDescent="0.25">
      <c r="A2678" t="s">
        <v>3317</v>
      </c>
      <c r="B2678" s="50" t="s">
        <v>855</v>
      </c>
      <c r="C2678" s="51"/>
      <c r="D2678" s="346">
        <v>345889</v>
      </c>
      <c r="E2678" s="346">
        <f>VLOOKUP(D2678,'[1]Task list &amp; Maintenace plan'!$B:$G,6,FALSE)</f>
        <v>100728</v>
      </c>
      <c r="F2678" s="346" t="s">
        <v>3826</v>
      </c>
      <c r="G2678" s="348" t="s">
        <v>861</v>
      </c>
      <c r="H2678" s="348" t="s">
        <v>3831</v>
      </c>
      <c r="I2678" s="347">
        <v>15</v>
      </c>
      <c r="J2678" s="736"/>
      <c r="K2678" s="736">
        <v>30</v>
      </c>
      <c r="L2678" s="736">
        <v>1</v>
      </c>
      <c r="M2678" s="736">
        <f t="shared" si="13"/>
        <v>30</v>
      </c>
      <c r="N2678" s="736"/>
      <c r="R2678" s="413"/>
      <c r="S2678" s="347"/>
    </row>
    <row r="2679" spans="1:19" x14ac:dyDescent="0.25">
      <c r="A2679" t="s">
        <v>3317</v>
      </c>
      <c r="B2679" s="50" t="s">
        <v>855</v>
      </c>
      <c r="C2679" s="51"/>
      <c r="D2679" s="346">
        <v>345889</v>
      </c>
      <c r="E2679" s="346">
        <f>VLOOKUP(D2679,'[1]Task list &amp; Maintenace plan'!$B:$G,6,FALSE)</f>
        <v>100728</v>
      </c>
      <c r="F2679" s="346" t="s">
        <v>3826</v>
      </c>
      <c r="G2679" s="348" t="s">
        <v>863</v>
      </c>
      <c r="H2679" s="348" t="s">
        <v>3832</v>
      </c>
      <c r="I2679" s="347">
        <v>15</v>
      </c>
      <c r="J2679" s="736"/>
      <c r="K2679" s="736">
        <v>30</v>
      </c>
      <c r="L2679" s="736">
        <v>1</v>
      </c>
      <c r="M2679" s="736">
        <f t="shared" si="13"/>
        <v>30</v>
      </c>
      <c r="N2679" s="736"/>
      <c r="R2679" s="413"/>
      <c r="S2679" s="347"/>
    </row>
    <row r="2680" spans="1:19" x14ac:dyDescent="0.25">
      <c r="A2680" t="s">
        <v>3317</v>
      </c>
      <c r="B2680" s="50" t="s">
        <v>855</v>
      </c>
      <c r="C2680" s="51"/>
      <c r="D2680" s="346">
        <v>345889</v>
      </c>
      <c r="E2680" s="346">
        <f>VLOOKUP(D2680,'[1]Task list &amp; Maintenace plan'!$B:$G,6,FALSE)</f>
        <v>100728</v>
      </c>
      <c r="F2680" s="346" t="s">
        <v>3826</v>
      </c>
      <c r="G2680" s="348" t="s">
        <v>875</v>
      </c>
      <c r="H2680" s="348" t="s">
        <v>3833</v>
      </c>
      <c r="I2680" s="347">
        <v>15</v>
      </c>
      <c r="J2680" s="736"/>
      <c r="K2680" s="736">
        <v>30</v>
      </c>
      <c r="L2680" s="736">
        <v>1</v>
      </c>
      <c r="M2680" s="736">
        <f t="shared" si="13"/>
        <v>30</v>
      </c>
      <c r="N2680" s="736"/>
      <c r="R2680" s="413"/>
      <c r="S2680" s="347"/>
    </row>
    <row r="2681" spans="1:19" x14ac:dyDescent="0.25">
      <c r="A2681" t="s">
        <v>3317</v>
      </c>
      <c r="B2681" s="50" t="s">
        <v>855</v>
      </c>
      <c r="C2681" s="51"/>
      <c r="D2681" s="346">
        <v>345889</v>
      </c>
      <c r="E2681" s="346">
        <f>VLOOKUP(D2681,'[1]Task list &amp; Maintenace plan'!$B:$G,6,FALSE)</f>
        <v>100728</v>
      </c>
      <c r="F2681" s="346" t="s">
        <v>3826</v>
      </c>
      <c r="G2681" s="348" t="s">
        <v>875</v>
      </c>
      <c r="H2681" s="348" t="s">
        <v>3834</v>
      </c>
      <c r="I2681" s="347">
        <v>15</v>
      </c>
      <c r="J2681" s="736"/>
      <c r="K2681" s="736">
        <v>30</v>
      </c>
      <c r="L2681" s="736">
        <v>1</v>
      </c>
      <c r="M2681" s="736">
        <f t="shared" si="13"/>
        <v>30</v>
      </c>
      <c r="N2681" s="736"/>
      <c r="R2681" s="413"/>
      <c r="S2681" s="347"/>
    </row>
    <row r="2682" spans="1:19" x14ac:dyDescent="0.25">
      <c r="A2682" t="s">
        <v>3317</v>
      </c>
      <c r="B2682" s="50" t="s">
        <v>855</v>
      </c>
      <c r="C2682" s="51"/>
      <c r="D2682" s="349">
        <v>345889</v>
      </c>
      <c r="E2682" s="349">
        <f>VLOOKUP(D2682,'[1]Task list &amp; Maintenace plan'!$B:$G,6,FALSE)</f>
        <v>100728</v>
      </c>
      <c r="F2682" s="349" t="s">
        <v>3826</v>
      </c>
      <c r="G2682" s="351" t="s">
        <v>3835</v>
      </c>
      <c r="H2682" s="351" t="s">
        <v>3836</v>
      </c>
      <c r="I2682" s="350">
        <v>15</v>
      </c>
      <c r="J2682" s="737"/>
      <c r="K2682" s="737">
        <v>30</v>
      </c>
      <c r="L2682" s="737">
        <v>1</v>
      </c>
      <c r="M2682" s="737">
        <f t="shared" si="13"/>
        <v>30</v>
      </c>
      <c r="N2682" s="737"/>
      <c r="R2682" s="414"/>
      <c r="S2682" s="350"/>
    </row>
    <row r="2683" spans="1:19" x14ac:dyDescent="0.25">
      <c r="A2683" t="s">
        <v>3317</v>
      </c>
      <c r="B2683" s="50" t="s">
        <v>855</v>
      </c>
      <c r="C2683" s="51"/>
      <c r="D2683" s="343">
        <v>345890</v>
      </c>
      <c r="E2683" s="343">
        <f>VLOOKUP(D2683,'[1]Task list &amp; Maintenace plan'!$B:$G,6,FALSE)</f>
        <v>100729</v>
      </c>
      <c r="F2683" s="343" t="s">
        <v>3837</v>
      </c>
      <c r="G2683" s="345" t="s">
        <v>861</v>
      </c>
      <c r="H2683" s="345" t="s">
        <v>3838</v>
      </c>
      <c r="I2683" s="344">
        <v>15</v>
      </c>
      <c r="J2683" s="733"/>
      <c r="K2683" s="733">
        <v>15</v>
      </c>
      <c r="L2683" s="733">
        <v>1</v>
      </c>
      <c r="M2683" s="733">
        <f t="shared" si="13"/>
        <v>15</v>
      </c>
      <c r="N2683" s="733" t="s">
        <v>3174</v>
      </c>
      <c r="R2683" s="418" t="s">
        <v>3159</v>
      </c>
      <c r="S2683" s="344"/>
    </row>
    <row r="2684" spans="1:19" x14ac:dyDescent="0.25">
      <c r="A2684" t="s">
        <v>3317</v>
      </c>
      <c r="B2684" s="50" t="s">
        <v>855</v>
      </c>
      <c r="C2684" s="51"/>
      <c r="D2684" s="346">
        <v>345890</v>
      </c>
      <c r="E2684" s="346">
        <f>VLOOKUP(D2684,'[1]Task list &amp; Maintenace plan'!$B:$G,6,FALSE)</f>
        <v>100729</v>
      </c>
      <c r="F2684" s="346" t="s">
        <v>3837</v>
      </c>
      <c r="G2684" s="348" t="s">
        <v>863</v>
      </c>
      <c r="H2684" s="348" t="s">
        <v>3839</v>
      </c>
      <c r="I2684" s="347">
        <v>15</v>
      </c>
      <c r="J2684" s="736"/>
      <c r="K2684" s="736">
        <v>15</v>
      </c>
      <c r="L2684" s="736">
        <v>1</v>
      </c>
      <c r="M2684" s="736">
        <f t="shared" si="13"/>
        <v>15</v>
      </c>
      <c r="N2684" s="736"/>
      <c r="R2684" s="413" t="s">
        <v>3159</v>
      </c>
      <c r="S2684" s="347"/>
    </row>
    <row r="2685" spans="1:19" x14ac:dyDescent="0.25">
      <c r="A2685" t="s">
        <v>3317</v>
      </c>
      <c r="B2685" s="50" t="s">
        <v>855</v>
      </c>
      <c r="C2685" s="51"/>
      <c r="D2685" s="346">
        <v>345890</v>
      </c>
      <c r="E2685" s="346">
        <f>VLOOKUP(D2685,'[1]Task list &amp; Maintenace plan'!$B:$G,6,FALSE)</f>
        <v>100729</v>
      </c>
      <c r="F2685" s="346" t="s">
        <v>3837</v>
      </c>
      <c r="G2685" s="348" t="s">
        <v>873</v>
      </c>
      <c r="H2685" s="348" t="s">
        <v>3840</v>
      </c>
      <c r="I2685" s="347">
        <v>15</v>
      </c>
      <c r="J2685" s="736"/>
      <c r="K2685" s="736">
        <v>15</v>
      </c>
      <c r="L2685" s="736">
        <v>1</v>
      </c>
      <c r="M2685" s="736">
        <f t="shared" si="13"/>
        <v>15</v>
      </c>
      <c r="N2685" s="736"/>
      <c r="R2685" s="413" t="s">
        <v>3159</v>
      </c>
      <c r="S2685" s="347"/>
    </row>
    <row r="2686" spans="1:19" x14ac:dyDescent="0.25">
      <c r="A2686" t="s">
        <v>3317</v>
      </c>
      <c r="B2686" s="50" t="s">
        <v>855</v>
      </c>
      <c r="C2686" s="51"/>
      <c r="D2686" s="346">
        <v>345890</v>
      </c>
      <c r="E2686" s="346">
        <f>VLOOKUP(D2686,'[1]Task list &amp; Maintenace plan'!$B:$G,6,FALSE)</f>
        <v>100729</v>
      </c>
      <c r="F2686" s="346" t="s">
        <v>3837</v>
      </c>
      <c r="G2686" s="348" t="s">
        <v>875</v>
      </c>
      <c r="H2686" s="348" t="s">
        <v>3841</v>
      </c>
      <c r="I2686" s="347">
        <v>15</v>
      </c>
      <c r="J2686" s="736"/>
      <c r="K2686" s="736">
        <v>15</v>
      </c>
      <c r="L2686" s="736">
        <v>1</v>
      </c>
      <c r="M2686" s="736">
        <f t="shared" si="13"/>
        <v>15</v>
      </c>
      <c r="N2686" s="736"/>
      <c r="R2686" s="413" t="s">
        <v>3159</v>
      </c>
      <c r="S2686" s="347"/>
    </row>
    <row r="2687" spans="1:19" x14ac:dyDescent="0.25">
      <c r="A2687" t="s">
        <v>3317</v>
      </c>
      <c r="B2687" s="50" t="s">
        <v>855</v>
      </c>
      <c r="C2687" s="51"/>
      <c r="D2687" s="349">
        <v>345890</v>
      </c>
      <c r="E2687" s="349">
        <f>VLOOKUP(D2687,'[1]Task list &amp; Maintenace plan'!$B:$G,6,FALSE)</f>
        <v>100729</v>
      </c>
      <c r="F2687" s="346" t="s">
        <v>3837</v>
      </c>
      <c r="G2687" s="351" t="s">
        <v>3842</v>
      </c>
      <c r="H2687" s="351" t="s">
        <v>3843</v>
      </c>
      <c r="I2687" s="350">
        <v>15</v>
      </c>
      <c r="J2687" s="737"/>
      <c r="K2687" s="737">
        <v>15</v>
      </c>
      <c r="L2687" s="737">
        <v>1</v>
      </c>
      <c r="M2687" s="737">
        <f t="shared" si="13"/>
        <v>15</v>
      </c>
      <c r="N2687" s="737"/>
      <c r="R2687" s="414"/>
      <c r="S2687" s="350"/>
    </row>
    <row r="2688" spans="1:19" x14ac:dyDescent="0.25">
      <c r="A2688" t="s">
        <v>3317</v>
      </c>
      <c r="B2688" s="50" t="s">
        <v>855</v>
      </c>
      <c r="C2688" s="51"/>
      <c r="D2688" s="343">
        <v>345941</v>
      </c>
      <c r="E2688" s="343">
        <f>VLOOKUP(D2688,'[1]Task list &amp; Maintenace plan'!$B:$G,6,FALSE)</f>
        <v>100730</v>
      </c>
      <c r="F2688" s="343" t="s">
        <v>3844</v>
      </c>
      <c r="G2688" s="345" t="s">
        <v>861</v>
      </c>
      <c r="H2688" s="345" t="s">
        <v>3845</v>
      </c>
      <c r="I2688" s="344">
        <v>180</v>
      </c>
      <c r="J2688" s="733">
        <v>1</v>
      </c>
      <c r="K2688" s="733">
        <v>150</v>
      </c>
      <c r="L2688" s="733">
        <v>2</v>
      </c>
      <c r="M2688" s="733">
        <f t="shared" si="13"/>
        <v>300</v>
      </c>
      <c r="N2688" s="733" t="s">
        <v>3174</v>
      </c>
      <c r="R2688" s="418" t="s">
        <v>3703</v>
      </c>
      <c r="S2688" s="344"/>
    </row>
    <row r="2689" spans="1:19" x14ac:dyDescent="0.25">
      <c r="A2689" t="s">
        <v>3317</v>
      </c>
      <c r="B2689" s="50" t="s">
        <v>855</v>
      </c>
      <c r="C2689" s="51"/>
      <c r="D2689" s="346">
        <v>345941</v>
      </c>
      <c r="E2689" s="346">
        <f>VLOOKUP(D2689,'[1]Task list &amp; Maintenace plan'!$B:$G,6,FALSE)</f>
        <v>100730</v>
      </c>
      <c r="F2689" s="346" t="s">
        <v>3844</v>
      </c>
      <c r="G2689" s="348" t="s">
        <v>863</v>
      </c>
      <c r="H2689" s="348" t="s">
        <v>3846</v>
      </c>
      <c r="I2689" s="347">
        <v>180</v>
      </c>
      <c r="J2689" s="736">
        <v>1</v>
      </c>
      <c r="K2689" s="736">
        <v>150</v>
      </c>
      <c r="L2689" s="736">
        <v>2</v>
      </c>
      <c r="M2689" s="736">
        <f t="shared" si="13"/>
        <v>300</v>
      </c>
      <c r="N2689" s="736"/>
      <c r="R2689" s="413" t="s">
        <v>3703</v>
      </c>
      <c r="S2689" s="347"/>
    </row>
    <row r="2690" spans="1:19" x14ac:dyDescent="0.25">
      <c r="A2690" t="s">
        <v>3317</v>
      </c>
      <c r="B2690" s="50" t="s">
        <v>855</v>
      </c>
      <c r="C2690" s="51"/>
      <c r="D2690" s="346">
        <v>345941</v>
      </c>
      <c r="E2690" s="346">
        <f>VLOOKUP(D2690,'[1]Task list &amp; Maintenace plan'!$B:$G,6,FALSE)</f>
        <v>100730</v>
      </c>
      <c r="F2690" s="346" t="s">
        <v>3844</v>
      </c>
      <c r="G2690" s="348" t="s">
        <v>873</v>
      </c>
      <c r="H2690" s="348" t="s">
        <v>3847</v>
      </c>
      <c r="I2690" s="347">
        <v>180</v>
      </c>
      <c r="J2690" s="736">
        <v>1</v>
      </c>
      <c r="K2690" s="736">
        <v>150</v>
      </c>
      <c r="L2690" s="736">
        <v>2</v>
      </c>
      <c r="M2690" s="736">
        <f t="shared" si="13"/>
        <v>300</v>
      </c>
      <c r="N2690" s="736"/>
      <c r="R2690" s="413" t="s">
        <v>3703</v>
      </c>
      <c r="S2690" s="347"/>
    </row>
    <row r="2691" spans="1:19" x14ac:dyDescent="0.25">
      <c r="A2691" t="s">
        <v>3317</v>
      </c>
      <c r="B2691" s="50" t="s">
        <v>855</v>
      </c>
      <c r="C2691" s="51"/>
      <c r="D2691" s="346">
        <v>345941</v>
      </c>
      <c r="E2691" s="346">
        <f>VLOOKUP(D2691,'[1]Task list &amp; Maintenace plan'!$B:$G,6,FALSE)</f>
        <v>100730</v>
      </c>
      <c r="F2691" s="346" t="s">
        <v>3844</v>
      </c>
      <c r="G2691" s="348" t="s">
        <v>875</v>
      </c>
      <c r="H2691" s="348" t="s">
        <v>3848</v>
      </c>
      <c r="I2691" s="347">
        <v>180</v>
      </c>
      <c r="J2691" s="736">
        <v>1</v>
      </c>
      <c r="K2691" s="736">
        <v>150</v>
      </c>
      <c r="L2691" s="736">
        <v>2</v>
      </c>
      <c r="M2691" s="736">
        <f t="shared" si="13"/>
        <v>300</v>
      </c>
      <c r="N2691" s="736"/>
      <c r="R2691" s="413" t="s">
        <v>3703</v>
      </c>
      <c r="S2691" s="347"/>
    </row>
    <row r="2692" spans="1:19" x14ac:dyDescent="0.25">
      <c r="A2692" t="s">
        <v>3317</v>
      </c>
      <c r="B2692" s="50" t="s">
        <v>855</v>
      </c>
      <c r="C2692" s="51"/>
      <c r="D2692" s="349">
        <v>345941</v>
      </c>
      <c r="E2692" s="349">
        <f>VLOOKUP(D2692,'[1]Task list &amp; Maintenace plan'!$B:$G,6,FALSE)</f>
        <v>100730</v>
      </c>
      <c r="F2692" s="349" t="s">
        <v>3844</v>
      </c>
      <c r="G2692" s="351" t="s">
        <v>3842</v>
      </c>
      <c r="H2692" s="351" t="s">
        <v>3849</v>
      </c>
      <c r="I2692" s="350">
        <v>180</v>
      </c>
      <c r="J2692" s="737">
        <v>1</v>
      </c>
      <c r="K2692" s="737">
        <v>150</v>
      </c>
      <c r="L2692" s="737">
        <f>VLOOKUP(D2692,[2]Stax!$D$6:$K$187,8,FALSE)</f>
        <v>2</v>
      </c>
      <c r="M2692" s="737">
        <f t="shared" si="13"/>
        <v>300</v>
      </c>
      <c r="N2692" s="737"/>
      <c r="R2692" s="414"/>
      <c r="S2692" s="350"/>
    </row>
    <row r="2693" spans="1:19" x14ac:dyDescent="0.25">
      <c r="A2693" t="s">
        <v>3317</v>
      </c>
      <c r="B2693" s="559" t="s">
        <v>949</v>
      </c>
      <c r="C2693" s="225"/>
      <c r="D2693" s="560">
        <v>610000004021</v>
      </c>
      <c r="E2693" s="560">
        <f>VLOOKUP(D2693,'[1]Task list &amp; Maintenace plan'!$B:$G,6,FALSE)</f>
        <v>100455</v>
      </c>
      <c r="F2693" s="560" t="s">
        <v>3850</v>
      </c>
      <c r="G2693" s="561" t="s">
        <v>950</v>
      </c>
      <c r="H2693" s="561" t="s">
        <v>3851</v>
      </c>
      <c r="I2693" s="562">
        <v>30</v>
      </c>
      <c r="J2693" s="752"/>
      <c r="K2693" s="752">
        <f>VLOOKUP(D2693,[2]PC50MZ!$C$6:$I$325,7,FALSE)</f>
        <v>15</v>
      </c>
      <c r="L2693" s="752">
        <v>1</v>
      </c>
      <c r="M2693" s="752">
        <f t="shared" si="13"/>
        <v>15</v>
      </c>
      <c r="N2693" s="752" t="s">
        <v>20</v>
      </c>
      <c r="O2693" s="563"/>
      <c r="P2693" s="563"/>
      <c r="Q2693" s="563"/>
      <c r="R2693" s="564"/>
      <c r="S2693" s="562"/>
    </row>
    <row r="2694" spans="1:19" x14ac:dyDescent="0.25">
      <c r="A2694" t="s">
        <v>3317</v>
      </c>
      <c r="B2694" s="559" t="s">
        <v>949</v>
      </c>
      <c r="C2694" s="225"/>
      <c r="D2694" s="560">
        <v>610000004021</v>
      </c>
      <c r="E2694" s="560">
        <f>VLOOKUP(D2694,'[1]Task list &amp; Maintenace plan'!$B:$G,6,FALSE)</f>
        <v>100455</v>
      </c>
      <c r="F2694" s="560" t="s">
        <v>3850</v>
      </c>
      <c r="G2694" s="561" t="s">
        <v>950</v>
      </c>
      <c r="H2694" s="561" t="s">
        <v>3852</v>
      </c>
      <c r="I2694" s="562">
        <v>30</v>
      </c>
      <c r="J2694" s="753"/>
      <c r="K2694" s="753">
        <f>VLOOKUP(D2694,[2]PC50MZ!$C$6:$I$325,7,FALSE)</f>
        <v>15</v>
      </c>
      <c r="L2694" s="753">
        <v>1</v>
      </c>
      <c r="M2694" s="753">
        <f t="shared" si="13"/>
        <v>15</v>
      </c>
      <c r="N2694" s="753"/>
      <c r="O2694" s="563"/>
      <c r="P2694" s="563"/>
      <c r="Q2694" s="563"/>
      <c r="R2694" s="564"/>
      <c r="S2694" s="562"/>
    </row>
    <row r="2695" spans="1:19" x14ac:dyDescent="0.25">
      <c r="A2695" t="s">
        <v>3317</v>
      </c>
      <c r="B2695" s="559" t="s">
        <v>949</v>
      </c>
      <c r="C2695" s="225"/>
      <c r="D2695" s="560">
        <v>610000004021</v>
      </c>
      <c r="E2695" s="560">
        <f>VLOOKUP(D2695,'[1]Task list &amp; Maintenace plan'!$B:$G,6,FALSE)</f>
        <v>100455</v>
      </c>
      <c r="F2695" s="560" t="s">
        <v>3850</v>
      </c>
      <c r="G2695" s="561" t="s">
        <v>959</v>
      </c>
      <c r="H2695" s="561" t="s">
        <v>3853</v>
      </c>
      <c r="I2695" s="562">
        <v>30</v>
      </c>
      <c r="J2695" s="753"/>
      <c r="K2695" s="753">
        <f>VLOOKUP(D2695,[2]PC50MZ!$C$6:$I$325,7,FALSE)</f>
        <v>15</v>
      </c>
      <c r="L2695" s="753">
        <v>1</v>
      </c>
      <c r="M2695" s="753">
        <f t="shared" si="13"/>
        <v>15</v>
      </c>
      <c r="N2695" s="753"/>
      <c r="O2695" s="563"/>
      <c r="P2695" s="563"/>
      <c r="Q2695" s="563"/>
      <c r="R2695" s="564"/>
      <c r="S2695" s="562"/>
    </row>
    <row r="2696" spans="1:19" x14ac:dyDescent="0.25">
      <c r="A2696" t="s">
        <v>3317</v>
      </c>
      <c r="B2696" s="559" t="s">
        <v>949</v>
      </c>
      <c r="C2696" s="225"/>
      <c r="D2696" s="565">
        <v>610000004021</v>
      </c>
      <c r="E2696" s="565">
        <f>VLOOKUP(D2696,'[1]Task list &amp; Maintenace plan'!$B:$G,6,FALSE)</f>
        <v>100455</v>
      </c>
      <c r="F2696" s="565" t="s">
        <v>3850</v>
      </c>
      <c r="G2696" s="566" t="s">
        <v>959</v>
      </c>
      <c r="H2696" s="566" t="s">
        <v>3854</v>
      </c>
      <c r="I2696" s="567">
        <v>30</v>
      </c>
      <c r="J2696" s="754"/>
      <c r="K2696" s="754">
        <f>VLOOKUP(D2696,[2]PC50MZ!$C$6:$I$325,7,FALSE)</f>
        <v>15</v>
      </c>
      <c r="L2696" s="754">
        <v>1</v>
      </c>
      <c r="M2696" s="754">
        <f t="shared" si="13"/>
        <v>15</v>
      </c>
      <c r="N2696" s="754"/>
      <c r="O2696" s="563"/>
      <c r="P2696" s="563"/>
      <c r="Q2696" s="563"/>
      <c r="R2696" s="568"/>
      <c r="S2696" s="567"/>
    </row>
    <row r="2697" spans="1:19" x14ac:dyDescent="0.25">
      <c r="A2697" t="s">
        <v>3317</v>
      </c>
      <c r="B2697" s="559" t="s">
        <v>949</v>
      </c>
      <c r="C2697" s="225"/>
      <c r="D2697" s="569">
        <v>610000004022</v>
      </c>
      <c r="E2697" s="569">
        <f>VLOOKUP(D2697,'[1]Task list &amp; Maintenace plan'!$B:$G,6,FALSE)</f>
        <v>100456</v>
      </c>
      <c r="F2697" s="569" t="s">
        <v>3855</v>
      </c>
      <c r="G2697" s="570" t="s">
        <v>3856</v>
      </c>
      <c r="H2697" s="570" t="s">
        <v>3857</v>
      </c>
      <c r="I2697" s="571">
        <v>30</v>
      </c>
      <c r="J2697" s="752"/>
      <c r="K2697" s="752">
        <f>VLOOKUP(D2697,[2]PC50MZ!$C$6:$I$325,7,FALSE)</f>
        <v>15</v>
      </c>
      <c r="L2697" s="752">
        <v>1</v>
      </c>
      <c r="M2697" s="752">
        <f t="shared" si="13"/>
        <v>15</v>
      </c>
      <c r="N2697" s="752" t="s">
        <v>3174</v>
      </c>
      <c r="O2697" s="563"/>
      <c r="P2697" s="563"/>
      <c r="Q2697" s="563"/>
      <c r="R2697" s="572" t="s">
        <v>3159</v>
      </c>
      <c r="S2697" s="571"/>
    </row>
    <row r="2698" spans="1:19" x14ac:dyDescent="0.25">
      <c r="A2698" t="s">
        <v>3317</v>
      </c>
      <c r="B2698" s="559" t="s">
        <v>949</v>
      </c>
      <c r="C2698" s="225"/>
      <c r="D2698" s="560">
        <v>610000004022</v>
      </c>
      <c r="E2698" s="560">
        <f>VLOOKUP(D2698,'[1]Task list &amp; Maintenace plan'!$B:$G,6,FALSE)</f>
        <v>100456</v>
      </c>
      <c r="F2698" s="560" t="s">
        <v>3855</v>
      </c>
      <c r="G2698" s="561" t="s">
        <v>3858</v>
      </c>
      <c r="H2698" s="561" t="s">
        <v>3859</v>
      </c>
      <c r="I2698" s="562">
        <v>30</v>
      </c>
      <c r="J2698" s="753"/>
      <c r="K2698" s="753">
        <f>VLOOKUP(D2698,[2]PC50MZ!$C$6:$I$325,7,FALSE)</f>
        <v>15</v>
      </c>
      <c r="L2698" s="753">
        <v>1</v>
      </c>
      <c r="M2698" s="753">
        <f t="shared" si="13"/>
        <v>15</v>
      </c>
      <c r="N2698" s="753"/>
      <c r="O2698" s="563"/>
      <c r="P2698" s="563"/>
      <c r="Q2698" s="563"/>
      <c r="R2698" s="564" t="s">
        <v>3159</v>
      </c>
      <c r="S2698" s="562"/>
    </row>
    <row r="2699" spans="1:19" x14ac:dyDescent="0.25">
      <c r="A2699" t="s">
        <v>3317</v>
      </c>
      <c r="B2699" s="559" t="s">
        <v>949</v>
      </c>
      <c r="C2699" s="225"/>
      <c r="D2699" s="560">
        <v>610000004022</v>
      </c>
      <c r="E2699" s="560">
        <f>VLOOKUP(D2699,'[1]Task list &amp; Maintenace plan'!$B:$G,6,FALSE)</f>
        <v>100456</v>
      </c>
      <c r="F2699" s="560" t="s">
        <v>3855</v>
      </c>
      <c r="G2699" s="561" t="s">
        <v>952</v>
      </c>
      <c r="H2699" s="561" t="s">
        <v>3860</v>
      </c>
      <c r="I2699" s="562">
        <v>30</v>
      </c>
      <c r="J2699" s="753"/>
      <c r="K2699" s="753">
        <f>VLOOKUP(D2699,[2]PC50MZ!$C$6:$I$325,7,FALSE)</f>
        <v>15</v>
      </c>
      <c r="L2699" s="753">
        <v>1</v>
      </c>
      <c r="M2699" s="753">
        <f t="shared" si="13"/>
        <v>15</v>
      </c>
      <c r="N2699" s="753"/>
      <c r="O2699" s="563"/>
      <c r="P2699" s="563"/>
      <c r="Q2699" s="563"/>
      <c r="R2699" s="564" t="s">
        <v>3159</v>
      </c>
      <c r="S2699" s="562"/>
    </row>
    <row r="2700" spans="1:19" x14ac:dyDescent="0.25">
      <c r="A2700" t="s">
        <v>3317</v>
      </c>
      <c r="B2700" s="559" t="s">
        <v>949</v>
      </c>
      <c r="C2700" s="225"/>
      <c r="D2700" s="565">
        <v>610000004022</v>
      </c>
      <c r="E2700" s="565">
        <f>VLOOKUP(D2700,'[1]Task list &amp; Maintenace plan'!$B:$G,6,FALSE)</f>
        <v>100456</v>
      </c>
      <c r="F2700" s="565" t="s">
        <v>3855</v>
      </c>
      <c r="G2700" s="566" t="s">
        <v>3858</v>
      </c>
      <c r="H2700" s="566" t="s">
        <v>3861</v>
      </c>
      <c r="I2700" s="567">
        <v>30</v>
      </c>
      <c r="J2700" s="754"/>
      <c r="K2700" s="754">
        <f>VLOOKUP(D2700,[2]PC50MZ!$C$6:$I$325,7,FALSE)</f>
        <v>15</v>
      </c>
      <c r="L2700" s="754">
        <v>1</v>
      </c>
      <c r="M2700" s="754">
        <f t="shared" si="13"/>
        <v>15</v>
      </c>
      <c r="N2700" s="754"/>
      <c r="O2700" s="563"/>
      <c r="P2700" s="563"/>
      <c r="Q2700" s="563"/>
      <c r="R2700" s="568" t="s">
        <v>3159</v>
      </c>
      <c r="S2700" s="567"/>
    </row>
    <row r="2701" spans="1:19" x14ac:dyDescent="0.25">
      <c r="A2701" t="s">
        <v>3317</v>
      </c>
      <c r="B2701" s="559" t="s">
        <v>949</v>
      </c>
      <c r="C2701" s="225"/>
      <c r="D2701" s="573">
        <v>610000004023</v>
      </c>
      <c r="E2701" s="573">
        <f>VLOOKUP(D2701,'[1]Task list &amp; Maintenace plan'!$B:$G,6,FALSE)</f>
        <v>100457</v>
      </c>
      <c r="F2701" s="573" t="s">
        <v>3862</v>
      </c>
      <c r="G2701" s="574" t="s">
        <v>952</v>
      </c>
      <c r="H2701" s="574" t="s">
        <v>3863</v>
      </c>
      <c r="I2701" s="575">
        <v>180</v>
      </c>
      <c r="J2701" s="576">
        <v>1</v>
      </c>
      <c r="K2701" s="576">
        <f>VLOOKUP(D2701,[2]PC50MZ!$C$6:$I$325,7,FALSE)</f>
        <v>120</v>
      </c>
      <c r="L2701" s="576">
        <v>4</v>
      </c>
      <c r="M2701" s="576">
        <f t="shared" si="13"/>
        <v>480</v>
      </c>
      <c r="N2701" s="576" t="s">
        <v>468</v>
      </c>
      <c r="O2701" s="563"/>
      <c r="P2701" s="563"/>
      <c r="Q2701" s="563"/>
      <c r="R2701" s="577" t="s">
        <v>3864</v>
      </c>
      <c r="S2701" s="575" t="s">
        <v>3186</v>
      </c>
    </row>
    <row r="2702" spans="1:19" x14ac:dyDescent="0.25">
      <c r="A2702" t="s">
        <v>3317</v>
      </c>
      <c r="B2702" s="559" t="s">
        <v>949</v>
      </c>
      <c r="C2702" s="225"/>
      <c r="D2702" s="569">
        <v>610000004024</v>
      </c>
      <c r="E2702" s="569">
        <f>VLOOKUP(D2702,'[1]Task list &amp; Maintenace plan'!$B:$G,6,FALSE)</f>
        <v>100458</v>
      </c>
      <c r="F2702" s="569" t="s">
        <v>3865</v>
      </c>
      <c r="G2702" s="570" t="s">
        <v>3858</v>
      </c>
      <c r="H2702" s="570" t="s">
        <v>3866</v>
      </c>
      <c r="I2702" s="571">
        <v>180</v>
      </c>
      <c r="J2702" s="752">
        <v>1</v>
      </c>
      <c r="K2702" s="752">
        <f>VLOOKUP(D2702,[2]PC50MZ!$C$6:$I$325,7,FALSE)</f>
        <v>120</v>
      </c>
      <c r="L2702" s="752">
        <v>2</v>
      </c>
      <c r="M2702" s="752">
        <f t="shared" si="13"/>
        <v>240</v>
      </c>
      <c r="N2702" s="752" t="s">
        <v>3174</v>
      </c>
      <c r="O2702" s="563"/>
      <c r="P2702" s="563"/>
      <c r="Q2702" s="563"/>
      <c r="R2702" s="572" t="s">
        <v>3254</v>
      </c>
      <c r="S2702" s="571" t="s">
        <v>3867</v>
      </c>
    </row>
    <row r="2703" spans="1:19" x14ac:dyDescent="0.25">
      <c r="A2703" t="s">
        <v>3317</v>
      </c>
      <c r="B2703" s="559" t="s">
        <v>949</v>
      </c>
      <c r="C2703" s="225"/>
      <c r="D2703" s="560">
        <v>610000004024</v>
      </c>
      <c r="E2703" s="560">
        <f>VLOOKUP(D2703,'[1]Task list &amp; Maintenace plan'!$B:$G,6,FALSE)</f>
        <v>100458</v>
      </c>
      <c r="F2703" s="560" t="s">
        <v>3865</v>
      </c>
      <c r="G2703" s="561" t="s">
        <v>3856</v>
      </c>
      <c r="H2703" s="561" t="s">
        <v>3868</v>
      </c>
      <c r="I2703" s="562">
        <v>180</v>
      </c>
      <c r="J2703" s="753">
        <v>1</v>
      </c>
      <c r="K2703" s="753">
        <f>VLOOKUP(D2703,[2]PC50MZ!$C$6:$I$325,7,FALSE)</f>
        <v>120</v>
      </c>
      <c r="L2703" s="753">
        <v>2</v>
      </c>
      <c r="M2703" s="753">
        <f t="shared" si="13"/>
        <v>240</v>
      </c>
      <c r="N2703" s="753"/>
      <c r="O2703" s="563"/>
      <c r="P2703" s="563"/>
      <c r="Q2703" s="563"/>
      <c r="R2703" s="564" t="s">
        <v>3869</v>
      </c>
      <c r="S2703" s="562"/>
    </row>
    <row r="2704" spans="1:19" x14ac:dyDescent="0.25">
      <c r="A2704" t="s">
        <v>3317</v>
      </c>
      <c r="B2704" s="559" t="s">
        <v>949</v>
      </c>
      <c r="C2704" s="225"/>
      <c r="D2704" s="560">
        <v>610000004024</v>
      </c>
      <c r="E2704" s="560">
        <f>VLOOKUP(D2704,'[1]Task list &amp; Maintenace plan'!$B:$G,6,FALSE)</f>
        <v>100458</v>
      </c>
      <c r="F2704" s="560" t="s">
        <v>3865</v>
      </c>
      <c r="G2704" s="561" t="s">
        <v>3858</v>
      </c>
      <c r="H2704" s="561" t="s">
        <v>3870</v>
      </c>
      <c r="I2704" s="562">
        <v>180</v>
      </c>
      <c r="J2704" s="753">
        <v>1</v>
      </c>
      <c r="K2704" s="753">
        <f>VLOOKUP(D2704,[2]PC50MZ!$C$6:$I$325,7,FALSE)</f>
        <v>120</v>
      </c>
      <c r="L2704" s="753">
        <v>2</v>
      </c>
      <c r="M2704" s="753">
        <f t="shared" si="13"/>
        <v>240</v>
      </c>
      <c r="N2704" s="753"/>
      <c r="O2704" s="563"/>
      <c r="P2704" s="563"/>
      <c r="Q2704" s="563"/>
      <c r="R2704" s="564" t="s">
        <v>3254</v>
      </c>
      <c r="S2704" s="562" t="s">
        <v>3502</v>
      </c>
    </row>
    <row r="2705" spans="1:19" x14ac:dyDescent="0.25">
      <c r="A2705" t="s">
        <v>3317</v>
      </c>
      <c r="B2705" s="559" t="s">
        <v>949</v>
      </c>
      <c r="C2705" s="225"/>
      <c r="D2705" s="560">
        <v>610000004024</v>
      </c>
      <c r="E2705" s="560">
        <f>VLOOKUP(D2705,'[1]Task list &amp; Maintenace plan'!$B:$G,6,FALSE)</f>
        <v>100458</v>
      </c>
      <c r="F2705" s="560" t="s">
        <v>3865</v>
      </c>
      <c r="G2705" s="561" t="s">
        <v>952</v>
      </c>
      <c r="H2705" s="561" t="s">
        <v>3871</v>
      </c>
      <c r="I2705" s="562">
        <v>180</v>
      </c>
      <c r="J2705" s="753">
        <v>1</v>
      </c>
      <c r="K2705" s="753">
        <f>VLOOKUP(D2705,[2]PC50MZ!$C$6:$I$325,7,FALSE)</f>
        <v>120</v>
      </c>
      <c r="L2705" s="753">
        <v>2</v>
      </c>
      <c r="M2705" s="753">
        <f t="shared" si="13"/>
        <v>240</v>
      </c>
      <c r="N2705" s="753"/>
      <c r="O2705" s="563"/>
      <c r="P2705" s="563"/>
      <c r="Q2705" s="563"/>
      <c r="R2705" s="564" t="s">
        <v>3254</v>
      </c>
      <c r="S2705" s="562" t="s">
        <v>3872</v>
      </c>
    </row>
    <row r="2706" spans="1:19" ht="15.75" thickBot="1" x14ac:dyDescent="0.3">
      <c r="A2706" t="s">
        <v>3317</v>
      </c>
      <c r="B2706" s="559" t="s">
        <v>949</v>
      </c>
      <c r="C2706" s="578"/>
      <c r="D2706" s="579">
        <v>610000004024</v>
      </c>
      <c r="E2706" s="579">
        <f>VLOOKUP(D2706,'[1]Task list &amp; Maintenace plan'!$B:$G,6,FALSE)</f>
        <v>100458</v>
      </c>
      <c r="F2706" s="579" t="s">
        <v>3865</v>
      </c>
      <c r="G2706" s="580" t="s">
        <v>959</v>
      </c>
      <c r="H2706" s="580" t="s">
        <v>3873</v>
      </c>
      <c r="I2706" s="581">
        <v>180</v>
      </c>
      <c r="J2706" s="756">
        <v>1</v>
      </c>
      <c r="K2706" s="756">
        <f>VLOOKUP(D2706,[2]PC50MZ!$C$6:$I$325,7,FALSE)</f>
        <v>120</v>
      </c>
      <c r="L2706" s="756">
        <v>2</v>
      </c>
      <c r="M2706" s="756">
        <f t="shared" ref="M2706:M2769" si="14">K2706*L2706</f>
        <v>240</v>
      </c>
      <c r="N2706" s="756"/>
      <c r="O2706" s="563"/>
      <c r="P2706" s="563"/>
      <c r="Q2706" s="563"/>
      <c r="R2706" s="582"/>
      <c r="S2706" s="581"/>
    </row>
    <row r="2707" spans="1:19" x14ac:dyDescent="0.25">
      <c r="A2707" t="s">
        <v>3317</v>
      </c>
      <c r="B2707" s="559" t="s">
        <v>987</v>
      </c>
      <c r="C2707" s="225"/>
      <c r="D2707" s="569">
        <v>610000004025</v>
      </c>
      <c r="E2707" s="569">
        <f>VLOOKUP(D2707,'[1]Task list &amp; Maintenace plan'!$B:$G,6,FALSE)</f>
        <v>100459</v>
      </c>
      <c r="F2707" s="569" t="s">
        <v>3874</v>
      </c>
      <c r="G2707" s="570" t="s">
        <v>990</v>
      </c>
      <c r="H2707" s="570" t="s">
        <v>3875</v>
      </c>
      <c r="I2707" s="571">
        <v>30</v>
      </c>
      <c r="J2707" s="755"/>
      <c r="K2707" s="755">
        <f>VLOOKUP(D2707,[2]PC50MZ!$C$6:$I$325,7,FALSE)</f>
        <v>10</v>
      </c>
      <c r="L2707" s="755">
        <v>1</v>
      </c>
      <c r="M2707" s="755">
        <f t="shared" si="14"/>
        <v>10</v>
      </c>
      <c r="N2707" s="755" t="s">
        <v>3174</v>
      </c>
      <c r="O2707" s="563"/>
      <c r="P2707" s="563"/>
      <c r="Q2707" s="563"/>
      <c r="R2707" s="572" t="s">
        <v>3159</v>
      </c>
      <c r="S2707" s="571"/>
    </row>
    <row r="2708" spans="1:19" x14ac:dyDescent="0.25">
      <c r="A2708" t="s">
        <v>3317</v>
      </c>
      <c r="B2708" s="559" t="s">
        <v>987</v>
      </c>
      <c r="C2708" s="225"/>
      <c r="D2708" s="565">
        <v>610000004025</v>
      </c>
      <c r="E2708" s="565">
        <f>VLOOKUP(D2708,'[1]Task list &amp; Maintenace plan'!$B:$G,6,FALSE)</f>
        <v>100459</v>
      </c>
      <c r="F2708" s="565" t="s">
        <v>3874</v>
      </c>
      <c r="G2708" s="566" t="s">
        <v>993</v>
      </c>
      <c r="H2708" s="566" t="s">
        <v>3876</v>
      </c>
      <c r="I2708" s="567">
        <v>30</v>
      </c>
      <c r="J2708" s="754"/>
      <c r="K2708" s="754">
        <f>VLOOKUP(D2708,[2]PC50MZ!$C$6:$I$325,7,FALSE)</f>
        <v>10</v>
      </c>
      <c r="L2708" s="754">
        <v>1</v>
      </c>
      <c r="M2708" s="754">
        <f t="shared" si="14"/>
        <v>10</v>
      </c>
      <c r="N2708" s="754"/>
      <c r="O2708" s="563"/>
      <c r="P2708" s="563"/>
      <c r="Q2708" s="563"/>
      <c r="R2708" s="568" t="s">
        <v>3159</v>
      </c>
      <c r="S2708" s="567"/>
    </row>
    <row r="2709" spans="1:19" x14ac:dyDescent="0.25">
      <c r="A2709" t="s">
        <v>3317</v>
      </c>
      <c r="B2709" s="559" t="s">
        <v>987</v>
      </c>
      <c r="C2709" s="225"/>
      <c r="D2709" s="569">
        <v>610000004026</v>
      </c>
      <c r="E2709" s="569">
        <f>VLOOKUP(D2709,'[1]Task list &amp; Maintenace plan'!$B:$G,6,FALSE)</f>
        <v>100460</v>
      </c>
      <c r="F2709" s="569" t="s">
        <v>3877</v>
      </c>
      <c r="G2709" s="570" t="s">
        <v>990</v>
      </c>
      <c r="H2709" s="570" t="s">
        <v>3878</v>
      </c>
      <c r="I2709" s="571">
        <v>30</v>
      </c>
      <c r="J2709" s="752">
        <v>1</v>
      </c>
      <c r="K2709" s="752">
        <f>VLOOKUP(D2709,[2]PC50MZ!$C$6:$I$325,7,FALSE)</f>
        <v>15</v>
      </c>
      <c r="L2709" s="752">
        <v>1</v>
      </c>
      <c r="M2709" s="752">
        <f t="shared" si="14"/>
        <v>15</v>
      </c>
      <c r="N2709" s="752" t="s">
        <v>20</v>
      </c>
      <c r="O2709" s="563"/>
      <c r="P2709" s="563"/>
      <c r="Q2709" s="563"/>
      <c r="R2709" s="572" t="s">
        <v>3879</v>
      </c>
      <c r="S2709" s="571" t="s">
        <v>3880</v>
      </c>
    </row>
    <row r="2710" spans="1:19" x14ac:dyDescent="0.25">
      <c r="A2710" t="s">
        <v>3317</v>
      </c>
      <c r="B2710" s="559" t="s">
        <v>987</v>
      </c>
      <c r="C2710" s="225"/>
      <c r="D2710" s="560">
        <v>610000004026</v>
      </c>
      <c r="E2710" s="560">
        <f>VLOOKUP(D2710,'[1]Task list &amp; Maintenace plan'!$B:$G,6,FALSE)</f>
        <v>100460</v>
      </c>
      <c r="F2710" s="560" t="s">
        <v>3877</v>
      </c>
      <c r="G2710" s="561" t="s">
        <v>988</v>
      </c>
      <c r="H2710" s="561" t="s">
        <v>3881</v>
      </c>
      <c r="I2710" s="562">
        <v>30</v>
      </c>
      <c r="J2710" s="753">
        <v>1</v>
      </c>
      <c r="K2710" s="753">
        <f>VLOOKUP(D2710,[2]PC50MZ!$C$6:$I$325,7,FALSE)</f>
        <v>15</v>
      </c>
      <c r="L2710" s="753">
        <v>1</v>
      </c>
      <c r="M2710" s="753">
        <f t="shared" si="14"/>
        <v>15</v>
      </c>
      <c r="N2710" s="753"/>
      <c r="O2710" s="563"/>
      <c r="P2710" s="563"/>
      <c r="Q2710" s="563"/>
      <c r="R2710" s="564"/>
      <c r="S2710" s="562"/>
    </row>
    <row r="2711" spans="1:19" x14ac:dyDescent="0.25">
      <c r="A2711" t="s">
        <v>3317</v>
      </c>
      <c r="B2711" s="559" t="s">
        <v>987</v>
      </c>
      <c r="C2711" s="225"/>
      <c r="D2711" s="560">
        <v>610000004026</v>
      </c>
      <c r="E2711" s="560">
        <f>VLOOKUP(D2711,'[1]Task list &amp; Maintenace plan'!$B:$G,6,FALSE)</f>
        <v>100460</v>
      </c>
      <c r="F2711" s="560" t="s">
        <v>3877</v>
      </c>
      <c r="G2711" s="561" t="s">
        <v>997</v>
      </c>
      <c r="H2711" s="561" t="s">
        <v>3882</v>
      </c>
      <c r="I2711" s="562">
        <v>30</v>
      </c>
      <c r="J2711" s="753">
        <v>1</v>
      </c>
      <c r="K2711" s="753">
        <f>VLOOKUP(D2711,[2]PC50MZ!$C$6:$I$325,7,FALSE)</f>
        <v>15</v>
      </c>
      <c r="L2711" s="753">
        <v>1</v>
      </c>
      <c r="M2711" s="753">
        <f t="shared" si="14"/>
        <v>15</v>
      </c>
      <c r="N2711" s="753"/>
      <c r="O2711" s="563"/>
      <c r="P2711" s="563"/>
      <c r="Q2711" s="563"/>
      <c r="R2711" s="564"/>
      <c r="S2711" s="562"/>
    </row>
    <row r="2712" spans="1:19" x14ac:dyDescent="0.25">
      <c r="A2712" t="s">
        <v>3317</v>
      </c>
      <c r="B2712" s="559" t="s">
        <v>987</v>
      </c>
      <c r="C2712" s="225"/>
      <c r="D2712" s="560">
        <v>610000004026</v>
      </c>
      <c r="E2712" s="560">
        <f>VLOOKUP(D2712,'[1]Task list &amp; Maintenace plan'!$B:$G,6,FALSE)</f>
        <v>100460</v>
      </c>
      <c r="F2712" s="560" t="s">
        <v>3877</v>
      </c>
      <c r="G2712" s="561" t="s">
        <v>995</v>
      </c>
      <c r="H2712" s="561" t="s">
        <v>3883</v>
      </c>
      <c r="I2712" s="562">
        <v>30</v>
      </c>
      <c r="J2712" s="753">
        <v>1</v>
      </c>
      <c r="K2712" s="753">
        <f>VLOOKUP(D2712,[2]PC50MZ!$C$6:$I$325,7,FALSE)</f>
        <v>15</v>
      </c>
      <c r="L2712" s="753">
        <v>1</v>
      </c>
      <c r="M2712" s="753">
        <f t="shared" si="14"/>
        <v>15</v>
      </c>
      <c r="N2712" s="753"/>
      <c r="O2712" s="563"/>
      <c r="P2712" s="563"/>
      <c r="Q2712" s="563"/>
      <c r="R2712" s="564" t="s">
        <v>3884</v>
      </c>
      <c r="S2712" s="562" t="s">
        <v>3342</v>
      </c>
    </row>
    <row r="2713" spans="1:19" x14ac:dyDescent="0.25">
      <c r="A2713" t="s">
        <v>3317</v>
      </c>
      <c r="B2713" s="559" t="s">
        <v>987</v>
      </c>
      <c r="C2713" s="225"/>
      <c r="D2713" s="560">
        <v>610000004026</v>
      </c>
      <c r="E2713" s="560">
        <f>VLOOKUP(D2713,'[1]Task list &amp; Maintenace plan'!$B:$G,6,FALSE)</f>
        <v>100460</v>
      </c>
      <c r="F2713" s="560" t="s">
        <v>3877</v>
      </c>
      <c r="G2713" s="561" t="s">
        <v>993</v>
      </c>
      <c r="H2713" s="561" t="s">
        <v>3885</v>
      </c>
      <c r="I2713" s="562">
        <v>30</v>
      </c>
      <c r="J2713" s="753">
        <v>1</v>
      </c>
      <c r="K2713" s="753">
        <f>VLOOKUP(D2713,[2]PC50MZ!$C$6:$I$325,7,FALSE)</f>
        <v>15</v>
      </c>
      <c r="L2713" s="753">
        <v>1</v>
      </c>
      <c r="M2713" s="753">
        <f t="shared" si="14"/>
        <v>15</v>
      </c>
      <c r="N2713" s="753"/>
      <c r="O2713" s="563"/>
      <c r="P2713" s="563"/>
      <c r="Q2713" s="563"/>
      <c r="R2713" s="564"/>
      <c r="S2713" s="562"/>
    </row>
    <row r="2714" spans="1:19" x14ac:dyDescent="0.25">
      <c r="A2714" t="s">
        <v>3317</v>
      </c>
      <c r="B2714" s="559" t="s">
        <v>987</v>
      </c>
      <c r="C2714" s="225"/>
      <c r="D2714" s="560">
        <v>610000004026</v>
      </c>
      <c r="E2714" s="560">
        <f>VLOOKUP(D2714,'[1]Task list &amp; Maintenace plan'!$B:$G,6,FALSE)</f>
        <v>100460</v>
      </c>
      <c r="F2714" s="560" t="s">
        <v>3877</v>
      </c>
      <c r="G2714" s="561" t="s">
        <v>1000</v>
      </c>
      <c r="H2714" s="561" t="s">
        <v>3886</v>
      </c>
      <c r="I2714" s="562">
        <v>30</v>
      </c>
      <c r="J2714" s="753">
        <v>1</v>
      </c>
      <c r="K2714" s="753">
        <f>VLOOKUP(D2714,[2]PC50MZ!$C$6:$I$325,7,FALSE)</f>
        <v>15</v>
      </c>
      <c r="L2714" s="753">
        <v>1</v>
      </c>
      <c r="M2714" s="753">
        <f t="shared" si="14"/>
        <v>15</v>
      </c>
      <c r="N2714" s="753"/>
      <c r="O2714" s="563"/>
      <c r="P2714" s="563"/>
      <c r="Q2714" s="563"/>
      <c r="R2714" s="564"/>
      <c r="S2714" s="562"/>
    </row>
    <row r="2715" spans="1:19" x14ac:dyDescent="0.25">
      <c r="A2715" t="s">
        <v>3317</v>
      </c>
      <c r="B2715" s="559" t="s">
        <v>987</v>
      </c>
      <c r="C2715" s="563"/>
      <c r="D2715" s="560">
        <v>610000004026</v>
      </c>
      <c r="E2715" s="560">
        <f>VLOOKUP(D2715,'[1]Task list &amp; Maintenace plan'!$B:$G,6,FALSE)</f>
        <v>100460</v>
      </c>
      <c r="F2715" s="560" t="s">
        <v>3877</v>
      </c>
      <c r="G2715" s="561" t="s">
        <v>1002</v>
      </c>
      <c r="H2715" s="561" t="s">
        <v>3887</v>
      </c>
      <c r="I2715" s="562">
        <v>30</v>
      </c>
      <c r="J2715" s="753">
        <v>1</v>
      </c>
      <c r="K2715" s="753">
        <f>VLOOKUP(D2715,[2]PC50MZ!$C$6:$I$325,7,FALSE)</f>
        <v>15</v>
      </c>
      <c r="L2715" s="753">
        <v>1</v>
      </c>
      <c r="M2715" s="753">
        <f t="shared" si="14"/>
        <v>15</v>
      </c>
      <c r="N2715" s="753"/>
      <c r="O2715" s="563"/>
      <c r="P2715" s="563"/>
      <c r="Q2715" s="563"/>
      <c r="R2715" s="564"/>
      <c r="S2715" s="562"/>
    </row>
    <row r="2716" spans="1:19" x14ac:dyDescent="0.25">
      <c r="A2716" t="s">
        <v>3317</v>
      </c>
      <c r="B2716" s="559" t="s">
        <v>987</v>
      </c>
      <c r="C2716" s="225"/>
      <c r="D2716" s="565">
        <v>610000004026</v>
      </c>
      <c r="E2716" s="565">
        <f>VLOOKUP(D2716,'[1]Task list &amp; Maintenace plan'!$B:$G,6,FALSE)</f>
        <v>100460</v>
      </c>
      <c r="F2716" s="565" t="s">
        <v>3877</v>
      </c>
      <c r="G2716" s="566" t="s">
        <v>995</v>
      </c>
      <c r="H2716" s="566" t="s">
        <v>3888</v>
      </c>
      <c r="I2716" s="567">
        <v>30</v>
      </c>
      <c r="J2716" s="754">
        <v>1</v>
      </c>
      <c r="K2716" s="754">
        <f>VLOOKUP(D2716,[2]PC50MZ!$C$6:$I$325,7,FALSE)</f>
        <v>15</v>
      </c>
      <c r="L2716" s="754">
        <v>1</v>
      </c>
      <c r="M2716" s="754">
        <f t="shared" si="14"/>
        <v>15</v>
      </c>
      <c r="N2716" s="754"/>
      <c r="O2716" s="563"/>
      <c r="P2716" s="563"/>
      <c r="Q2716" s="563"/>
      <c r="R2716" s="568"/>
      <c r="S2716" s="567"/>
    </row>
    <row r="2717" spans="1:19" x14ac:dyDescent="0.25">
      <c r="A2717" t="s">
        <v>3317</v>
      </c>
      <c r="B2717" s="559" t="s">
        <v>987</v>
      </c>
      <c r="C2717" s="225"/>
      <c r="D2717" s="573">
        <v>610000004027</v>
      </c>
      <c r="E2717" s="573">
        <f>VLOOKUP(D2717,'[1]Task list &amp; Maintenace plan'!$B:$G,6,FALSE)</f>
        <v>100461</v>
      </c>
      <c r="F2717" s="573" t="s">
        <v>3874</v>
      </c>
      <c r="G2717" s="574" t="s">
        <v>995</v>
      </c>
      <c r="H2717" s="574" t="s">
        <v>3889</v>
      </c>
      <c r="I2717" s="575">
        <v>30</v>
      </c>
      <c r="J2717" s="576">
        <v>1</v>
      </c>
      <c r="K2717" s="576">
        <v>30</v>
      </c>
      <c r="L2717" s="576">
        <v>1</v>
      </c>
      <c r="M2717" s="576">
        <f t="shared" si="14"/>
        <v>30</v>
      </c>
      <c r="N2717" s="576" t="s">
        <v>3174</v>
      </c>
      <c r="O2717" s="563"/>
      <c r="P2717" s="563"/>
      <c r="Q2717" s="563"/>
      <c r="R2717" s="577" t="s">
        <v>3401</v>
      </c>
      <c r="S2717" s="575"/>
    </row>
    <row r="2718" spans="1:19" x14ac:dyDescent="0.25">
      <c r="A2718" t="s">
        <v>3317</v>
      </c>
      <c r="B2718" s="559" t="s">
        <v>987</v>
      </c>
      <c r="C2718" s="225"/>
      <c r="D2718" s="569">
        <v>610000004028</v>
      </c>
      <c r="E2718" s="569">
        <f>VLOOKUP(D2718,'[1]Task list &amp; Maintenace plan'!$B:$G,6,FALSE)</f>
        <v>100462</v>
      </c>
      <c r="F2718" s="569" t="s">
        <v>3890</v>
      </c>
      <c r="G2718" s="570" t="s">
        <v>990</v>
      </c>
      <c r="H2718" s="570" t="s">
        <v>3891</v>
      </c>
      <c r="I2718" s="571">
        <v>30</v>
      </c>
      <c r="J2718" s="752"/>
      <c r="K2718" s="752">
        <v>15</v>
      </c>
      <c r="L2718" s="752">
        <v>1</v>
      </c>
      <c r="M2718" s="752">
        <f t="shared" si="14"/>
        <v>15</v>
      </c>
      <c r="N2718" s="752" t="s">
        <v>20</v>
      </c>
      <c r="O2718" s="563"/>
      <c r="P2718" s="563"/>
      <c r="Q2718" s="563"/>
      <c r="R2718" s="572"/>
      <c r="S2718" s="571"/>
    </row>
    <row r="2719" spans="1:19" x14ac:dyDescent="0.25">
      <c r="A2719" t="s">
        <v>3317</v>
      </c>
      <c r="B2719" s="559" t="s">
        <v>987</v>
      </c>
      <c r="C2719" s="225"/>
      <c r="D2719" s="565">
        <v>610000004028</v>
      </c>
      <c r="E2719" s="565">
        <f>VLOOKUP(D2719,'[1]Task list &amp; Maintenace plan'!$B:$G,6,FALSE)</f>
        <v>100462</v>
      </c>
      <c r="F2719" s="565" t="s">
        <v>3890</v>
      </c>
      <c r="G2719" s="566" t="s">
        <v>995</v>
      </c>
      <c r="H2719" s="566" t="s">
        <v>3892</v>
      </c>
      <c r="I2719" s="567">
        <v>30</v>
      </c>
      <c r="J2719" s="754"/>
      <c r="K2719" s="754">
        <v>15</v>
      </c>
      <c r="L2719" s="754">
        <v>1</v>
      </c>
      <c r="M2719" s="754">
        <f t="shared" si="14"/>
        <v>15</v>
      </c>
      <c r="N2719" s="754"/>
      <c r="O2719" s="563"/>
      <c r="P2719" s="563"/>
      <c r="Q2719" s="563"/>
      <c r="R2719" s="568"/>
      <c r="S2719" s="567"/>
    </row>
    <row r="2720" spans="1:19" x14ac:dyDescent="0.25">
      <c r="A2720" t="s">
        <v>3317</v>
      </c>
      <c r="B2720" s="559" t="s">
        <v>987</v>
      </c>
      <c r="C2720" s="225"/>
      <c r="D2720" s="569">
        <v>610000004029</v>
      </c>
      <c r="E2720" s="569">
        <f>VLOOKUP(D2720,'[1]Task list &amp; Maintenace plan'!$B:$G,6,FALSE)</f>
        <v>100463</v>
      </c>
      <c r="F2720" s="569" t="s">
        <v>3893</v>
      </c>
      <c r="G2720" s="570" t="s">
        <v>990</v>
      </c>
      <c r="H2720" s="570" t="s">
        <v>3894</v>
      </c>
      <c r="I2720" s="571">
        <v>180</v>
      </c>
      <c r="J2720" s="752">
        <v>1</v>
      </c>
      <c r="K2720" s="752">
        <f>VLOOKUP(D2720,[2]PC50MZ!$C$6:$I$325,7,FALSE)</f>
        <v>120</v>
      </c>
      <c r="L2720" s="752">
        <v>2</v>
      </c>
      <c r="M2720" s="752">
        <f t="shared" si="14"/>
        <v>240</v>
      </c>
      <c r="N2720" s="752" t="s">
        <v>3174</v>
      </c>
      <c r="O2720" s="563"/>
      <c r="P2720" s="563"/>
      <c r="Q2720" s="563"/>
      <c r="R2720" s="572" t="s">
        <v>3401</v>
      </c>
      <c r="S2720" s="571"/>
    </row>
    <row r="2721" spans="1:19" x14ac:dyDescent="0.25">
      <c r="A2721" t="s">
        <v>3317</v>
      </c>
      <c r="B2721" s="559" t="s">
        <v>987</v>
      </c>
      <c r="C2721" s="225"/>
      <c r="D2721" s="560">
        <v>610000004029</v>
      </c>
      <c r="E2721" s="560">
        <f>VLOOKUP(D2721,'[1]Task list &amp; Maintenace plan'!$B:$G,6,FALSE)</f>
        <v>100463</v>
      </c>
      <c r="F2721" s="560" t="s">
        <v>3893</v>
      </c>
      <c r="G2721" s="561" t="s">
        <v>993</v>
      </c>
      <c r="H2721" s="561" t="s">
        <v>3895</v>
      </c>
      <c r="I2721" s="562">
        <v>180</v>
      </c>
      <c r="J2721" s="753">
        <v>1</v>
      </c>
      <c r="K2721" s="753">
        <f>VLOOKUP(D2721,[2]PC50MZ!$C$6:$I$325,7,FALSE)</f>
        <v>120</v>
      </c>
      <c r="L2721" s="753">
        <v>2</v>
      </c>
      <c r="M2721" s="753">
        <f t="shared" si="14"/>
        <v>240</v>
      </c>
      <c r="N2721" s="753"/>
      <c r="O2721" s="563"/>
      <c r="P2721" s="563"/>
      <c r="Q2721" s="563"/>
      <c r="R2721" s="564" t="s">
        <v>3254</v>
      </c>
      <c r="S2721" s="562" t="s">
        <v>3867</v>
      </c>
    </row>
    <row r="2722" spans="1:19" x14ac:dyDescent="0.25">
      <c r="A2722" t="s">
        <v>3317</v>
      </c>
      <c r="B2722" s="559" t="s">
        <v>987</v>
      </c>
      <c r="C2722" s="225"/>
      <c r="D2722" s="560">
        <v>610000004029</v>
      </c>
      <c r="E2722" s="560">
        <f>VLOOKUP(D2722,'[1]Task list &amp; Maintenace plan'!$B:$G,6,FALSE)</f>
        <v>100463</v>
      </c>
      <c r="F2722" s="560" t="s">
        <v>3893</v>
      </c>
      <c r="G2722" s="561" t="s">
        <v>988</v>
      </c>
      <c r="H2722" s="561" t="s">
        <v>3896</v>
      </c>
      <c r="I2722" s="562">
        <v>180</v>
      </c>
      <c r="J2722" s="753">
        <v>1</v>
      </c>
      <c r="K2722" s="753">
        <f>VLOOKUP(D2722,[2]PC50MZ!$C$6:$I$325,7,FALSE)</f>
        <v>120</v>
      </c>
      <c r="L2722" s="753">
        <v>2</v>
      </c>
      <c r="M2722" s="753">
        <f t="shared" si="14"/>
        <v>240</v>
      </c>
      <c r="N2722" s="753"/>
      <c r="O2722" s="563"/>
      <c r="P2722" s="563"/>
      <c r="Q2722" s="563"/>
      <c r="R2722" s="564" t="s">
        <v>3251</v>
      </c>
      <c r="S2722" s="562" t="s">
        <v>3897</v>
      </c>
    </row>
    <row r="2723" spans="1:19" x14ac:dyDescent="0.25">
      <c r="A2723" t="s">
        <v>3317</v>
      </c>
      <c r="B2723" s="559" t="s">
        <v>987</v>
      </c>
      <c r="C2723" s="225"/>
      <c r="D2723" s="565">
        <v>610000004029</v>
      </c>
      <c r="E2723" s="565">
        <f>VLOOKUP(D2723,'[1]Task list &amp; Maintenace plan'!$B:$G,6,FALSE)</f>
        <v>100463</v>
      </c>
      <c r="F2723" s="565" t="s">
        <v>3893</v>
      </c>
      <c r="G2723" s="566" t="s">
        <v>997</v>
      </c>
      <c r="H2723" s="566" t="s">
        <v>3898</v>
      </c>
      <c r="I2723" s="567">
        <v>180</v>
      </c>
      <c r="J2723" s="754">
        <v>1</v>
      </c>
      <c r="K2723" s="754">
        <f>VLOOKUP(D2723,[2]PC50MZ!$C$6:$I$325,7,FALSE)</f>
        <v>120</v>
      </c>
      <c r="L2723" s="754">
        <v>2</v>
      </c>
      <c r="M2723" s="754">
        <f t="shared" si="14"/>
        <v>240</v>
      </c>
      <c r="N2723" s="754"/>
      <c r="O2723" s="563"/>
      <c r="P2723" s="563"/>
      <c r="Q2723" s="563"/>
      <c r="R2723" s="568" t="s">
        <v>3251</v>
      </c>
      <c r="S2723" s="567" t="s">
        <v>3897</v>
      </c>
    </row>
    <row r="2724" spans="1:19" x14ac:dyDescent="0.25">
      <c r="A2724" t="s">
        <v>3317</v>
      </c>
      <c r="B2724" s="559" t="s">
        <v>987</v>
      </c>
      <c r="C2724" s="225"/>
      <c r="D2724" s="583">
        <v>610000004030</v>
      </c>
      <c r="E2724" s="583">
        <f>VLOOKUP(D2724,'[1]Task list &amp; Maintenace plan'!$B:$G,6,FALSE)</f>
        <v>100464</v>
      </c>
      <c r="F2724" s="565" t="s">
        <v>3899</v>
      </c>
      <c r="G2724" s="584" t="s">
        <v>993</v>
      </c>
      <c r="H2724" s="584" t="s">
        <v>3900</v>
      </c>
      <c r="I2724" s="585">
        <v>365</v>
      </c>
      <c r="J2724" s="586">
        <v>1</v>
      </c>
      <c r="K2724" s="586">
        <v>250</v>
      </c>
      <c r="L2724" s="586">
        <v>6</v>
      </c>
      <c r="M2724" s="586">
        <f t="shared" si="14"/>
        <v>1500</v>
      </c>
      <c r="N2724" s="586" t="s">
        <v>468</v>
      </c>
      <c r="O2724" s="563"/>
      <c r="P2724" s="563"/>
      <c r="Q2724" s="563"/>
      <c r="R2724" s="587" t="s">
        <v>3901</v>
      </c>
      <c r="S2724" s="585" t="s">
        <v>3186</v>
      </c>
    </row>
    <row r="2725" spans="1:19" ht="15.75" thickBot="1" x14ac:dyDescent="0.3">
      <c r="A2725" t="s">
        <v>3317</v>
      </c>
      <c r="B2725" s="559" t="s">
        <v>987</v>
      </c>
      <c r="C2725" s="578"/>
      <c r="D2725" s="588">
        <v>342254</v>
      </c>
      <c r="E2725" s="588">
        <f>VLOOKUP(D2725,'[1]Task list &amp; Maintenace plan'!$B:$G,6,FALSE)</f>
        <v>450</v>
      </c>
      <c r="F2725" s="588" t="s">
        <v>3902</v>
      </c>
      <c r="G2725" s="589" t="s">
        <v>993</v>
      </c>
      <c r="H2725" s="589" t="s">
        <v>3903</v>
      </c>
      <c r="I2725" s="590">
        <v>180</v>
      </c>
      <c r="J2725" s="591">
        <v>1</v>
      </c>
      <c r="K2725" s="591">
        <f>VLOOKUP(D2725,[2]PC50MZ!$C$6:$I$325,7,FALSE)</f>
        <v>60</v>
      </c>
      <c r="L2725" s="591">
        <v>1</v>
      </c>
      <c r="M2725" s="591">
        <f t="shared" si="14"/>
        <v>60</v>
      </c>
      <c r="N2725" s="591" t="s">
        <v>20</v>
      </c>
      <c r="O2725" s="563"/>
      <c r="P2725" s="563"/>
      <c r="Q2725" s="563"/>
      <c r="R2725" s="592"/>
      <c r="S2725" s="590"/>
    </row>
    <row r="2726" spans="1:19" x14ac:dyDescent="0.25">
      <c r="A2726" t="s">
        <v>3317</v>
      </c>
      <c r="B2726" s="559" t="s">
        <v>1035</v>
      </c>
      <c r="C2726" s="225"/>
      <c r="D2726" s="593">
        <v>347637</v>
      </c>
      <c r="E2726" s="593">
        <f>VLOOKUP(D2726,'[1]Task list &amp; Maintenace plan'!$B:$G,6,FALSE)</f>
        <v>1216</v>
      </c>
      <c r="F2726" s="593" t="s">
        <v>3904</v>
      </c>
      <c r="G2726" s="594" t="s">
        <v>1045</v>
      </c>
      <c r="H2726" s="594" t="s">
        <v>3905</v>
      </c>
      <c r="I2726" s="595">
        <v>7</v>
      </c>
      <c r="J2726" s="596">
        <v>1</v>
      </c>
      <c r="K2726" s="596">
        <f>VLOOKUP(D2726,[2]PC50MZ!$C$6:$I$325,7,FALSE)</f>
        <v>30</v>
      </c>
      <c r="L2726" s="596">
        <v>1</v>
      </c>
      <c r="M2726" s="596">
        <f t="shared" si="14"/>
        <v>30</v>
      </c>
      <c r="N2726" s="596" t="s">
        <v>3174</v>
      </c>
      <c r="O2726" s="563"/>
      <c r="P2726" s="563"/>
      <c r="Q2726" s="563"/>
      <c r="R2726" s="597"/>
      <c r="S2726" s="595"/>
    </row>
    <row r="2727" spans="1:19" x14ac:dyDescent="0.25">
      <c r="A2727" t="s">
        <v>3317</v>
      </c>
      <c r="B2727" s="559" t="s">
        <v>1035</v>
      </c>
      <c r="C2727" s="225"/>
      <c r="D2727" s="598">
        <v>347638</v>
      </c>
      <c r="E2727" s="598">
        <f>VLOOKUP(D2727,'[1]Task list &amp; Maintenace plan'!$B:$G,6,FALSE)</f>
        <v>1217</v>
      </c>
      <c r="F2727" s="598" t="s">
        <v>3906</v>
      </c>
      <c r="G2727" s="599" t="s">
        <v>1036</v>
      </c>
      <c r="H2727" s="599" t="s">
        <v>3907</v>
      </c>
      <c r="I2727" s="600">
        <v>15</v>
      </c>
      <c r="J2727" s="752">
        <v>1</v>
      </c>
      <c r="K2727" s="752">
        <f>VLOOKUP(D2727,[2]PC50MZ!$C$6:$I$325,7,FALSE)</f>
        <v>30</v>
      </c>
      <c r="L2727" s="752">
        <v>1</v>
      </c>
      <c r="M2727" s="752">
        <f t="shared" si="14"/>
        <v>30</v>
      </c>
      <c r="N2727" s="752" t="s">
        <v>20</v>
      </c>
      <c r="O2727" s="563"/>
      <c r="P2727" s="563"/>
      <c r="Q2727" s="563"/>
      <c r="R2727" s="601"/>
      <c r="S2727" s="600"/>
    </row>
    <row r="2728" spans="1:19" x14ac:dyDescent="0.25">
      <c r="A2728" t="s">
        <v>3317</v>
      </c>
      <c r="B2728" s="559" t="s">
        <v>1035</v>
      </c>
      <c r="C2728" s="225"/>
      <c r="D2728" s="560">
        <v>347638</v>
      </c>
      <c r="E2728" s="560">
        <f>VLOOKUP(D2728,'[1]Task list &amp; Maintenace plan'!$B:$G,6,FALSE)</f>
        <v>1217</v>
      </c>
      <c r="F2728" s="560" t="s">
        <v>3906</v>
      </c>
      <c r="G2728" s="561" t="s">
        <v>1040</v>
      </c>
      <c r="H2728" s="561" t="s">
        <v>3908</v>
      </c>
      <c r="I2728" s="562">
        <v>15</v>
      </c>
      <c r="J2728" s="753">
        <v>1</v>
      </c>
      <c r="K2728" s="753">
        <f>VLOOKUP(D2728,[2]PC50MZ!$C$6:$I$325,7,FALSE)</f>
        <v>30</v>
      </c>
      <c r="L2728" s="753">
        <v>1</v>
      </c>
      <c r="M2728" s="753">
        <f t="shared" si="14"/>
        <v>30</v>
      </c>
      <c r="N2728" s="753"/>
      <c r="O2728" s="563"/>
      <c r="P2728" s="563"/>
      <c r="Q2728" s="563"/>
      <c r="R2728" s="564"/>
      <c r="S2728" s="562"/>
    </row>
    <row r="2729" spans="1:19" x14ac:dyDescent="0.25">
      <c r="A2729" t="s">
        <v>3317</v>
      </c>
      <c r="B2729" s="559" t="s">
        <v>1035</v>
      </c>
      <c r="C2729" s="225"/>
      <c r="D2729" s="560">
        <v>347638</v>
      </c>
      <c r="E2729" s="560">
        <f>VLOOKUP(D2729,'[1]Task list &amp; Maintenace plan'!$B:$G,6,FALSE)</f>
        <v>1217</v>
      </c>
      <c r="F2729" s="560" t="s">
        <v>3906</v>
      </c>
      <c r="G2729" s="561" t="s">
        <v>1036</v>
      </c>
      <c r="H2729" s="561" t="s">
        <v>3909</v>
      </c>
      <c r="I2729" s="562">
        <v>15</v>
      </c>
      <c r="J2729" s="753">
        <v>1</v>
      </c>
      <c r="K2729" s="753">
        <f>VLOOKUP(D2729,[2]PC50MZ!$C$6:$I$325,7,FALSE)</f>
        <v>30</v>
      </c>
      <c r="L2729" s="753">
        <v>1</v>
      </c>
      <c r="M2729" s="753">
        <f t="shared" si="14"/>
        <v>30</v>
      </c>
      <c r="N2729" s="753"/>
      <c r="O2729" s="563"/>
      <c r="P2729" s="563"/>
      <c r="Q2729" s="563"/>
      <c r="R2729" s="564"/>
      <c r="S2729" s="562"/>
    </row>
    <row r="2730" spans="1:19" x14ac:dyDescent="0.25">
      <c r="A2730" t="s">
        <v>3317</v>
      </c>
      <c r="B2730" s="559" t="s">
        <v>1035</v>
      </c>
      <c r="C2730" s="225"/>
      <c r="D2730" s="560">
        <v>347638</v>
      </c>
      <c r="E2730" s="560">
        <f>VLOOKUP(D2730,'[1]Task list &amp; Maintenace plan'!$B:$G,6,FALSE)</f>
        <v>1217</v>
      </c>
      <c r="F2730" s="560" t="s">
        <v>3906</v>
      </c>
      <c r="G2730" s="561" t="s">
        <v>1040</v>
      </c>
      <c r="H2730" s="561" t="s">
        <v>3910</v>
      </c>
      <c r="I2730" s="562">
        <v>15</v>
      </c>
      <c r="J2730" s="753">
        <v>1</v>
      </c>
      <c r="K2730" s="753">
        <f>VLOOKUP(D2730,[2]PC50MZ!$C$6:$I$325,7,FALSE)</f>
        <v>30</v>
      </c>
      <c r="L2730" s="753">
        <v>1</v>
      </c>
      <c r="M2730" s="753">
        <f t="shared" si="14"/>
        <v>30</v>
      </c>
      <c r="N2730" s="753"/>
      <c r="O2730" s="563"/>
      <c r="P2730" s="563"/>
      <c r="Q2730" s="563"/>
      <c r="R2730" s="564"/>
      <c r="S2730" s="562"/>
    </row>
    <row r="2731" spans="1:19" x14ac:dyDescent="0.25">
      <c r="A2731" t="s">
        <v>3317</v>
      </c>
      <c r="B2731" s="559" t="s">
        <v>1035</v>
      </c>
      <c r="C2731" s="225"/>
      <c r="D2731" s="560">
        <v>347638</v>
      </c>
      <c r="E2731" s="560">
        <f>VLOOKUP(D2731,'[1]Task list &amp; Maintenace plan'!$B:$G,6,FALSE)</f>
        <v>1217</v>
      </c>
      <c r="F2731" s="560" t="s">
        <v>3906</v>
      </c>
      <c r="G2731" s="561" t="s">
        <v>1043</v>
      </c>
      <c r="H2731" s="561" t="s">
        <v>3911</v>
      </c>
      <c r="I2731" s="562">
        <v>15</v>
      </c>
      <c r="J2731" s="753">
        <v>1</v>
      </c>
      <c r="K2731" s="753">
        <f>VLOOKUP(D2731,[2]PC50MZ!$C$6:$I$325,7,FALSE)</f>
        <v>30</v>
      </c>
      <c r="L2731" s="753">
        <v>1</v>
      </c>
      <c r="M2731" s="753">
        <f t="shared" si="14"/>
        <v>30</v>
      </c>
      <c r="N2731" s="753"/>
      <c r="O2731" s="563"/>
      <c r="P2731" s="563"/>
      <c r="Q2731" s="563"/>
      <c r="R2731" s="564"/>
      <c r="S2731" s="562"/>
    </row>
    <row r="2732" spans="1:19" x14ac:dyDescent="0.25">
      <c r="A2732" t="s">
        <v>3317</v>
      </c>
      <c r="B2732" s="559" t="s">
        <v>1035</v>
      </c>
      <c r="C2732" s="225"/>
      <c r="D2732" s="560">
        <v>347638</v>
      </c>
      <c r="E2732" s="560">
        <f>VLOOKUP(D2732,'[1]Task list &amp; Maintenace plan'!$B:$G,6,FALSE)</f>
        <v>1217</v>
      </c>
      <c r="F2732" s="560" t="s">
        <v>3906</v>
      </c>
      <c r="G2732" s="561" t="s">
        <v>1066</v>
      </c>
      <c r="H2732" s="561" t="s">
        <v>3912</v>
      </c>
      <c r="I2732" s="562">
        <v>15</v>
      </c>
      <c r="J2732" s="753">
        <v>1</v>
      </c>
      <c r="K2732" s="753">
        <f>VLOOKUP(D2732,[2]PC50MZ!$C$6:$I$325,7,FALSE)</f>
        <v>30</v>
      </c>
      <c r="L2732" s="753">
        <v>1</v>
      </c>
      <c r="M2732" s="753">
        <f t="shared" si="14"/>
        <v>30</v>
      </c>
      <c r="N2732" s="753"/>
      <c r="O2732" s="563"/>
      <c r="P2732" s="563"/>
      <c r="Q2732" s="563"/>
      <c r="R2732" s="564"/>
      <c r="S2732" s="562"/>
    </row>
    <row r="2733" spans="1:19" x14ac:dyDescent="0.25">
      <c r="A2733" t="s">
        <v>3317</v>
      </c>
      <c r="B2733" s="559" t="s">
        <v>1035</v>
      </c>
      <c r="C2733" s="225"/>
      <c r="D2733" s="560">
        <v>347638</v>
      </c>
      <c r="E2733" s="560">
        <f>VLOOKUP(D2733,'[1]Task list &amp; Maintenace plan'!$B:$G,6,FALSE)</f>
        <v>1217</v>
      </c>
      <c r="F2733" s="560" t="s">
        <v>3906</v>
      </c>
      <c r="G2733" s="561" t="s">
        <v>1043</v>
      </c>
      <c r="H2733" s="561" t="s">
        <v>3913</v>
      </c>
      <c r="I2733" s="562">
        <v>15</v>
      </c>
      <c r="J2733" s="753"/>
      <c r="K2733" s="753">
        <f>VLOOKUP(D2733,[2]PC50MZ!$C$6:$I$325,7,FALSE)</f>
        <v>30</v>
      </c>
      <c r="L2733" s="753">
        <v>1</v>
      </c>
      <c r="M2733" s="753">
        <f t="shared" si="14"/>
        <v>30</v>
      </c>
      <c r="N2733" s="753"/>
      <c r="O2733" s="563"/>
      <c r="P2733" s="563"/>
      <c r="Q2733" s="563"/>
      <c r="R2733" s="564"/>
      <c r="S2733" s="562"/>
    </row>
    <row r="2734" spans="1:19" x14ac:dyDescent="0.25">
      <c r="A2734" t="s">
        <v>3317</v>
      </c>
      <c r="B2734" s="559" t="s">
        <v>1035</v>
      </c>
      <c r="C2734" s="225"/>
      <c r="D2734" s="560">
        <v>347638</v>
      </c>
      <c r="E2734" s="560">
        <f>VLOOKUP(D2734,'[1]Task list &amp; Maintenace plan'!$B:$G,6,FALSE)</f>
        <v>1217</v>
      </c>
      <c r="F2734" s="560" t="s">
        <v>3906</v>
      </c>
      <c r="G2734" s="561" t="s">
        <v>1045</v>
      </c>
      <c r="H2734" s="561" t="s">
        <v>3914</v>
      </c>
      <c r="I2734" s="562">
        <v>15</v>
      </c>
      <c r="J2734" s="753"/>
      <c r="K2734" s="753">
        <f>VLOOKUP(D2734,[2]PC50MZ!$C$6:$I$325,7,FALSE)</f>
        <v>30</v>
      </c>
      <c r="L2734" s="753">
        <v>1</v>
      </c>
      <c r="M2734" s="753">
        <f t="shared" si="14"/>
        <v>30</v>
      </c>
      <c r="N2734" s="753"/>
      <c r="O2734" s="563"/>
      <c r="P2734" s="563"/>
      <c r="Q2734" s="563"/>
      <c r="R2734" s="564"/>
      <c r="S2734" s="562"/>
    </row>
    <row r="2735" spans="1:19" x14ac:dyDescent="0.25">
      <c r="A2735" t="s">
        <v>3317</v>
      </c>
      <c r="B2735" s="559" t="s">
        <v>1035</v>
      </c>
      <c r="C2735" s="225"/>
      <c r="D2735" s="560">
        <v>347638</v>
      </c>
      <c r="E2735" s="560">
        <f>VLOOKUP(D2735,'[1]Task list &amp; Maintenace plan'!$B:$G,6,FALSE)</f>
        <v>1217</v>
      </c>
      <c r="F2735" s="560" t="s">
        <v>3906</v>
      </c>
      <c r="G2735" s="561" t="s">
        <v>1045</v>
      </c>
      <c r="H2735" s="561" t="s">
        <v>3915</v>
      </c>
      <c r="I2735" s="562">
        <v>15</v>
      </c>
      <c r="J2735" s="753"/>
      <c r="K2735" s="753">
        <f>VLOOKUP(D2735,[2]PC50MZ!$C$6:$I$325,7,FALSE)</f>
        <v>30</v>
      </c>
      <c r="L2735" s="753">
        <v>1</v>
      </c>
      <c r="M2735" s="753">
        <f t="shared" si="14"/>
        <v>30</v>
      </c>
      <c r="N2735" s="753"/>
      <c r="O2735" s="563"/>
      <c r="P2735" s="563"/>
      <c r="Q2735" s="563"/>
      <c r="R2735" s="564"/>
      <c r="S2735" s="562"/>
    </row>
    <row r="2736" spans="1:19" x14ac:dyDescent="0.25">
      <c r="A2736" t="s">
        <v>3317</v>
      </c>
      <c r="B2736" s="559" t="s">
        <v>1035</v>
      </c>
      <c r="C2736" s="225"/>
      <c r="D2736" s="560">
        <v>347638</v>
      </c>
      <c r="E2736" s="560">
        <f>VLOOKUP(D2736,'[1]Task list &amp; Maintenace plan'!$B:$G,6,FALSE)</f>
        <v>1217</v>
      </c>
      <c r="F2736" s="560" t="s">
        <v>3906</v>
      </c>
      <c r="G2736" s="561" t="s">
        <v>1045</v>
      </c>
      <c r="H2736" s="561" t="s">
        <v>3916</v>
      </c>
      <c r="I2736" s="562">
        <v>15</v>
      </c>
      <c r="J2736" s="753"/>
      <c r="K2736" s="753">
        <f>VLOOKUP(D2736,[2]PC50MZ!$C$6:$I$325,7,FALSE)</f>
        <v>30</v>
      </c>
      <c r="L2736" s="753">
        <v>1</v>
      </c>
      <c r="M2736" s="753">
        <f t="shared" si="14"/>
        <v>30</v>
      </c>
      <c r="N2736" s="753"/>
      <c r="O2736" s="563"/>
      <c r="P2736" s="563"/>
      <c r="Q2736" s="563"/>
      <c r="R2736" s="564"/>
      <c r="S2736" s="562"/>
    </row>
    <row r="2737" spans="1:19" x14ac:dyDescent="0.25">
      <c r="A2737" t="s">
        <v>3317</v>
      </c>
      <c r="B2737" s="559" t="s">
        <v>1035</v>
      </c>
      <c r="C2737" s="225"/>
      <c r="D2737" s="560">
        <v>347638</v>
      </c>
      <c r="E2737" s="560">
        <f>VLOOKUP(D2737,'[1]Task list &amp; Maintenace plan'!$B:$G,6,FALSE)</f>
        <v>1217</v>
      </c>
      <c r="F2737" s="560" t="s">
        <v>3906</v>
      </c>
      <c r="G2737" s="561" t="s">
        <v>1045</v>
      </c>
      <c r="H2737" s="561" t="s">
        <v>3917</v>
      </c>
      <c r="I2737" s="562">
        <v>15</v>
      </c>
      <c r="J2737" s="753"/>
      <c r="K2737" s="753">
        <f>VLOOKUP(D2737,[2]PC50MZ!$C$6:$I$325,7,FALSE)</f>
        <v>30</v>
      </c>
      <c r="L2737" s="753">
        <v>1</v>
      </c>
      <c r="M2737" s="753">
        <f t="shared" si="14"/>
        <v>30</v>
      </c>
      <c r="N2737" s="753"/>
      <c r="O2737" s="563"/>
      <c r="P2737" s="563"/>
      <c r="Q2737" s="563"/>
      <c r="R2737" s="564"/>
      <c r="S2737" s="562"/>
    </row>
    <row r="2738" spans="1:19" x14ac:dyDescent="0.25">
      <c r="A2738" t="s">
        <v>3317</v>
      </c>
      <c r="B2738" s="559" t="s">
        <v>1035</v>
      </c>
      <c r="C2738" s="225"/>
      <c r="D2738" s="565">
        <v>347638</v>
      </c>
      <c r="E2738" s="565">
        <f>VLOOKUP(D2738,'[1]Task list &amp; Maintenace plan'!$B:$G,6,FALSE)</f>
        <v>1217</v>
      </c>
      <c r="F2738" s="565" t="s">
        <v>3906</v>
      </c>
      <c r="G2738" s="566" t="s">
        <v>3918</v>
      </c>
      <c r="H2738" s="566" t="s">
        <v>3919</v>
      </c>
      <c r="I2738" s="567">
        <v>15</v>
      </c>
      <c r="J2738" s="754"/>
      <c r="K2738" s="754">
        <f>VLOOKUP(D2738,[2]PC50MZ!$C$6:$I$325,7,FALSE)</f>
        <v>30</v>
      </c>
      <c r="L2738" s="754">
        <v>1</v>
      </c>
      <c r="M2738" s="754">
        <f t="shared" si="14"/>
        <v>30</v>
      </c>
      <c r="N2738" s="754"/>
      <c r="O2738" s="563"/>
      <c r="P2738" s="563"/>
      <c r="Q2738" s="563"/>
      <c r="R2738" s="568"/>
      <c r="S2738" s="567"/>
    </row>
    <row r="2739" spans="1:19" x14ac:dyDescent="0.25">
      <c r="A2739" t="s">
        <v>3317</v>
      </c>
      <c r="B2739" s="559" t="s">
        <v>1035</v>
      </c>
      <c r="C2739" s="225"/>
      <c r="D2739" s="569">
        <v>610000004031</v>
      </c>
      <c r="E2739" s="569">
        <f>VLOOKUP(D2739,'[1]Task list &amp; Maintenace plan'!$B:$G,6,FALSE)</f>
        <v>100465</v>
      </c>
      <c r="F2739" s="569" t="s">
        <v>3920</v>
      </c>
      <c r="G2739" s="570" t="s">
        <v>1071</v>
      </c>
      <c r="H2739" s="570" t="s">
        <v>3921</v>
      </c>
      <c r="I2739" s="571">
        <v>15</v>
      </c>
      <c r="J2739" s="752"/>
      <c r="K2739" s="752">
        <f>VLOOKUP(D2739,[2]PC50MZ!$C$6:$I$325,7,FALSE)</f>
        <v>30</v>
      </c>
      <c r="L2739" s="752">
        <v>1</v>
      </c>
      <c r="M2739" s="752">
        <f t="shared" si="14"/>
        <v>30</v>
      </c>
      <c r="N2739" s="752" t="s">
        <v>20</v>
      </c>
      <c r="O2739" s="563"/>
      <c r="P2739" s="563"/>
      <c r="Q2739" s="563"/>
      <c r="R2739" s="572"/>
      <c r="S2739" s="571"/>
    </row>
    <row r="2740" spans="1:19" x14ac:dyDescent="0.25">
      <c r="A2740" t="s">
        <v>3317</v>
      </c>
      <c r="B2740" s="559" t="s">
        <v>1035</v>
      </c>
      <c r="C2740" s="225"/>
      <c r="D2740" s="560">
        <v>610000004031</v>
      </c>
      <c r="E2740" s="560">
        <f>VLOOKUP(D2740,'[1]Task list &amp; Maintenace plan'!$B:$G,6,FALSE)</f>
        <v>100465</v>
      </c>
      <c r="F2740" s="560" t="s">
        <v>3920</v>
      </c>
      <c r="G2740" s="561" t="s">
        <v>1071</v>
      </c>
      <c r="H2740" s="561" t="s">
        <v>3922</v>
      </c>
      <c r="I2740" s="562">
        <v>15</v>
      </c>
      <c r="J2740" s="753"/>
      <c r="K2740" s="753">
        <f>VLOOKUP(D2740,[2]PC50MZ!$C$6:$I$325,7,FALSE)</f>
        <v>30</v>
      </c>
      <c r="L2740" s="753">
        <v>1</v>
      </c>
      <c r="M2740" s="753">
        <f t="shared" si="14"/>
        <v>30</v>
      </c>
      <c r="N2740" s="753"/>
      <c r="O2740" s="563"/>
      <c r="P2740" s="563"/>
      <c r="Q2740" s="563"/>
      <c r="R2740" s="564"/>
      <c r="S2740" s="562"/>
    </row>
    <row r="2741" spans="1:19" x14ac:dyDescent="0.25">
      <c r="A2741" t="s">
        <v>3317</v>
      </c>
      <c r="B2741" s="559" t="s">
        <v>1035</v>
      </c>
      <c r="C2741" s="225"/>
      <c r="D2741" s="560">
        <v>610000004031</v>
      </c>
      <c r="E2741" s="560">
        <f>VLOOKUP(D2741,'[1]Task list &amp; Maintenace plan'!$B:$G,6,FALSE)</f>
        <v>100465</v>
      </c>
      <c r="F2741" s="560" t="s">
        <v>3920</v>
      </c>
      <c r="G2741" s="561" t="s">
        <v>1071</v>
      </c>
      <c r="H2741" s="561" t="s">
        <v>3923</v>
      </c>
      <c r="I2741" s="562">
        <v>15</v>
      </c>
      <c r="J2741" s="753"/>
      <c r="K2741" s="753">
        <f>VLOOKUP(D2741,[2]PC50MZ!$C$6:$I$325,7,FALSE)</f>
        <v>30</v>
      </c>
      <c r="L2741" s="753">
        <v>1</v>
      </c>
      <c r="M2741" s="753">
        <f t="shared" si="14"/>
        <v>30</v>
      </c>
      <c r="N2741" s="753"/>
      <c r="O2741" s="563"/>
      <c r="P2741" s="563"/>
      <c r="Q2741" s="563"/>
      <c r="R2741" s="564" t="s">
        <v>3924</v>
      </c>
      <c r="S2741" s="562"/>
    </row>
    <row r="2742" spans="1:19" x14ac:dyDescent="0.25">
      <c r="A2742" t="s">
        <v>3317</v>
      </c>
      <c r="B2742" s="559" t="s">
        <v>1035</v>
      </c>
      <c r="C2742" s="225"/>
      <c r="D2742" s="560">
        <v>610000004031</v>
      </c>
      <c r="E2742" s="560">
        <f>VLOOKUP(D2742,'[1]Task list &amp; Maintenace plan'!$B:$G,6,FALSE)</f>
        <v>100465</v>
      </c>
      <c r="F2742" s="560" t="s">
        <v>3920</v>
      </c>
      <c r="G2742" s="561" t="s">
        <v>1071</v>
      </c>
      <c r="H2742" s="561" t="s">
        <v>3925</v>
      </c>
      <c r="I2742" s="562">
        <v>15</v>
      </c>
      <c r="J2742" s="753"/>
      <c r="K2742" s="753">
        <f>VLOOKUP(D2742,[2]PC50MZ!$C$6:$I$325,7,FALSE)</f>
        <v>30</v>
      </c>
      <c r="L2742" s="753">
        <v>1</v>
      </c>
      <c r="M2742" s="753">
        <f t="shared" si="14"/>
        <v>30</v>
      </c>
      <c r="N2742" s="753"/>
      <c r="O2742" s="563"/>
      <c r="P2742" s="563"/>
      <c r="Q2742" s="563"/>
      <c r="R2742" s="564"/>
      <c r="S2742" s="562"/>
    </row>
    <row r="2743" spans="1:19" x14ac:dyDescent="0.25">
      <c r="A2743" t="s">
        <v>3317</v>
      </c>
      <c r="B2743" s="559" t="s">
        <v>1035</v>
      </c>
      <c r="C2743" s="225"/>
      <c r="D2743" s="560">
        <v>610000004031</v>
      </c>
      <c r="E2743" s="560">
        <f>VLOOKUP(D2743,'[1]Task list &amp; Maintenace plan'!$B:$G,6,FALSE)</f>
        <v>100465</v>
      </c>
      <c r="F2743" s="560" t="s">
        <v>3920</v>
      </c>
      <c r="G2743" s="561" t="s">
        <v>1075</v>
      </c>
      <c r="H2743" s="561" t="s">
        <v>3926</v>
      </c>
      <c r="I2743" s="562">
        <v>15</v>
      </c>
      <c r="J2743" s="753"/>
      <c r="K2743" s="753">
        <f>VLOOKUP(D2743,[2]PC50MZ!$C$6:$I$325,7,FALSE)</f>
        <v>30</v>
      </c>
      <c r="L2743" s="753">
        <v>1</v>
      </c>
      <c r="M2743" s="753">
        <f t="shared" si="14"/>
        <v>30</v>
      </c>
      <c r="N2743" s="753"/>
      <c r="O2743" s="563"/>
      <c r="P2743" s="563"/>
      <c r="Q2743" s="563"/>
      <c r="R2743" s="564"/>
      <c r="S2743" s="562"/>
    </row>
    <row r="2744" spans="1:19" x14ac:dyDescent="0.25">
      <c r="A2744" t="s">
        <v>3317</v>
      </c>
      <c r="B2744" s="559" t="s">
        <v>1035</v>
      </c>
      <c r="C2744" s="225"/>
      <c r="D2744" s="560">
        <v>610000004031</v>
      </c>
      <c r="E2744" s="560">
        <f>VLOOKUP(D2744,'[1]Task list &amp; Maintenace plan'!$B:$G,6,FALSE)</f>
        <v>100465</v>
      </c>
      <c r="F2744" s="560" t="s">
        <v>3920</v>
      </c>
      <c r="G2744" s="561" t="s">
        <v>1075</v>
      </c>
      <c r="H2744" s="561" t="s">
        <v>3927</v>
      </c>
      <c r="I2744" s="562">
        <v>15</v>
      </c>
      <c r="J2744" s="753"/>
      <c r="K2744" s="753">
        <f>VLOOKUP(D2744,[2]PC50MZ!$C$6:$I$325,7,FALSE)</f>
        <v>30</v>
      </c>
      <c r="L2744" s="753">
        <v>1</v>
      </c>
      <c r="M2744" s="753">
        <f t="shared" si="14"/>
        <v>30</v>
      </c>
      <c r="N2744" s="753"/>
      <c r="O2744" s="563"/>
      <c r="P2744" s="563"/>
      <c r="Q2744" s="563"/>
      <c r="R2744" s="564"/>
      <c r="S2744" s="562"/>
    </row>
    <row r="2745" spans="1:19" x14ac:dyDescent="0.25">
      <c r="A2745" t="s">
        <v>3317</v>
      </c>
      <c r="B2745" s="559" t="s">
        <v>1035</v>
      </c>
      <c r="C2745" s="225"/>
      <c r="D2745" s="560">
        <v>610000004031</v>
      </c>
      <c r="E2745" s="560">
        <f>VLOOKUP(D2745,'[1]Task list &amp; Maintenace plan'!$B:$G,6,FALSE)</f>
        <v>100465</v>
      </c>
      <c r="F2745" s="560" t="s">
        <v>3920</v>
      </c>
      <c r="G2745" s="561" t="s">
        <v>1075</v>
      </c>
      <c r="H2745" s="561" t="s">
        <v>3928</v>
      </c>
      <c r="I2745" s="562">
        <v>15</v>
      </c>
      <c r="J2745" s="753"/>
      <c r="K2745" s="753">
        <f>VLOOKUP(D2745,[2]PC50MZ!$C$6:$I$325,7,FALSE)</f>
        <v>30</v>
      </c>
      <c r="L2745" s="753">
        <v>1</v>
      </c>
      <c r="M2745" s="753">
        <f t="shared" si="14"/>
        <v>30</v>
      </c>
      <c r="N2745" s="753"/>
      <c r="O2745" s="563"/>
      <c r="P2745" s="563"/>
      <c r="Q2745" s="563"/>
      <c r="R2745" s="564"/>
      <c r="S2745" s="562"/>
    </row>
    <row r="2746" spans="1:19" x14ac:dyDescent="0.25">
      <c r="A2746" t="s">
        <v>3317</v>
      </c>
      <c r="B2746" s="559" t="s">
        <v>1035</v>
      </c>
      <c r="C2746" s="225"/>
      <c r="D2746" s="560">
        <v>610000004031</v>
      </c>
      <c r="E2746" s="560">
        <f>VLOOKUP(D2746,'[1]Task list &amp; Maintenace plan'!$B:$G,6,FALSE)</f>
        <v>100465</v>
      </c>
      <c r="F2746" s="560" t="s">
        <v>3920</v>
      </c>
      <c r="G2746" s="561" t="s">
        <v>1076</v>
      </c>
      <c r="H2746" s="561" t="s">
        <v>3929</v>
      </c>
      <c r="I2746" s="562">
        <v>15</v>
      </c>
      <c r="J2746" s="753"/>
      <c r="K2746" s="753">
        <f>VLOOKUP(D2746,[2]PC50MZ!$C$6:$I$325,7,FALSE)</f>
        <v>30</v>
      </c>
      <c r="L2746" s="753">
        <v>1</v>
      </c>
      <c r="M2746" s="753">
        <f t="shared" si="14"/>
        <v>30</v>
      </c>
      <c r="N2746" s="753"/>
      <c r="O2746" s="563"/>
      <c r="P2746" s="563"/>
      <c r="Q2746" s="563"/>
      <c r="R2746" s="564"/>
      <c r="S2746" s="562"/>
    </row>
    <row r="2747" spans="1:19" x14ac:dyDescent="0.25">
      <c r="A2747" t="s">
        <v>3317</v>
      </c>
      <c r="B2747" s="559" t="s">
        <v>1035</v>
      </c>
      <c r="C2747" s="225"/>
      <c r="D2747" s="560">
        <v>610000004031</v>
      </c>
      <c r="E2747" s="560">
        <f>VLOOKUP(D2747,'[1]Task list &amp; Maintenace plan'!$B:$G,6,FALSE)</f>
        <v>100465</v>
      </c>
      <c r="F2747" s="560" t="s">
        <v>3920</v>
      </c>
      <c r="G2747" s="561" t="s">
        <v>1073</v>
      </c>
      <c r="H2747" s="561" t="s">
        <v>3930</v>
      </c>
      <c r="I2747" s="562">
        <v>15</v>
      </c>
      <c r="J2747" s="753"/>
      <c r="K2747" s="753">
        <f>VLOOKUP(D2747,[2]PC50MZ!$C$6:$I$325,7,FALSE)</f>
        <v>30</v>
      </c>
      <c r="L2747" s="753">
        <v>1</v>
      </c>
      <c r="M2747" s="753">
        <f t="shared" si="14"/>
        <v>30</v>
      </c>
      <c r="N2747" s="753"/>
      <c r="O2747" s="563"/>
      <c r="P2747" s="563"/>
      <c r="Q2747" s="563"/>
      <c r="R2747" s="564"/>
      <c r="S2747" s="562"/>
    </row>
    <row r="2748" spans="1:19" x14ac:dyDescent="0.25">
      <c r="A2748" t="s">
        <v>3317</v>
      </c>
      <c r="B2748" s="559" t="s">
        <v>1035</v>
      </c>
      <c r="C2748" s="225"/>
      <c r="D2748" s="560">
        <v>610000004031</v>
      </c>
      <c r="E2748" s="560">
        <f>VLOOKUP(D2748,'[1]Task list &amp; Maintenace plan'!$B:$G,6,FALSE)</f>
        <v>100465</v>
      </c>
      <c r="F2748" s="560" t="s">
        <v>3920</v>
      </c>
      <c r="G2748" s="561" t="s">
        <v>1073</v>
      </c>
      <c r="H2748" s="561" t="s">
        <v>3931</v>
      </c>
      <c r="I2748" s="562">
        <v>15</v>
      </c>
      <c r="J2748" s="753"/>
      <c r="K2748" s="753">
        <f>VLOOKUP(D2748,[2]PC50MZ!$C$6:$I$325,7,FALSE)</f>
        <v>30</v>
      </c>
      <c r="L2748" s="753">
        <v>1</v>
      </c>
      <c r="M2748" s="753">
        <f t="shared" si="14"/>
        <v>30</v>
      </c>
      <c r="N2748" s="753"/>
      <c r="O2748" s="563"/>
      <c r="P2748" s="563"/>
      <c r="Q2748" s="563"/>
      <c r="R2748" s="564" t="s">
        <v>3932</v>
      </c>
      <c r="S2748" s="562" t="s">
        <v>3342</v>
      </c>
    </row>
    <row r="2749" spans="1:19" x14ac:dyDescent="0.25">
      <c r="A2749" t="s">
        <v>3317</v>
      </c>
      <c r="B2749" s="559" t="s">
        <v>1035</v>
      </c>
      <c r="C2749" s="225"/>
      <c r="D2749" s="560">
        <v>610000004031</v>
      </c>
      <c r="E2749" s="560">
        <f>VLOOKUP(D2749,'[1]Task list &amp; Maintenace plan'!$B:$G,6,FALSE)</f>
        <v>100465</v>
      </c>
      <c r="F2749" s="560" t="s">
        <v>3920</v>
      </c>
      <c r="G2749" s="561" t="s">
        <v>1073</v>
      </c>
      <c r="H2749" s="561" t="s">
        <v>3933</v>
      </c>
      <c r="I2749" s="562">
        <v>15</v>
      </c>
      <c r="J2749" s="753"/>
      <c r="K2749" s="753">
        <f>VLOOKUP(D2749,[2]PC50MZ!$C$6:$I$325,7,FALSE)</f>
        <v>30</v>
      </c>
      <c r="L2749" s="753">
        <v>1</v>
      </c>
      <c r="M2749" s="753">
        <f t="shared" si="14"/>
        <v>30</v>
      </c>
      <c r="N2749" s="753"/>
      <c r="O2749" s="563"/>
      <c r="P2749" s="563"/>
      <c r="Q2749" s="563"/>
      <c r="R2749" s="564"/>
      <c r="S2749" s="562"/>
    </row>
    <row r="2750" spans="1:19" x14ac:dyDescent="0.25">
      <c r="A2750" t="s">
        <v>3317</v>
      </c>
      <c r="B2750" s="559" t="s">
        <v>1035</v>
      </c>
      <c r="C2750" s="225"/>
      <c r="D2750" s="560">
        <v>610000004031</v>
      </c>
      <c r="E2750" s="560">
        <f>VLOOKUP(D2750,'[1]Task list &amp; Maintenace plan'!$B:$G,6,FALSE)</f>
        <v>100465</v>
      </c>
      <c r="F2750" s="560" t="s">
        <v>3920</v>
      </c>
      <c r="G2750" s="561" t="s">
        <v>1073</v>
      </c>
      <c r="H2750" s="561" t="s">
        <v>3934</v>
      </c>
      <c r="I2750" s="562">
        <v>15</v>
      </c>
      <c r="J2750" s="753"/>
      <c r="K2750" s="753">
        <f>VLOOKUP(D2750,[2]PC50MZ!$C$6:$I$325,7,FALSE)</f>
        <v>30</v>
      </c>
      <c r="L2750" s="753">
        <v>1</v>
      </c>
      <c r="M2750" s="753">
        <f t="shared" si="14"/>
        <v>30</v>
      </c>
      <c r="N2750" s="753"/>
      <c r="O2750" s="563"/>
      <c r="P2750" s="563"/>
      <c r="Q2750" s="563"/>
      <c r="R2750" s="564"/>
      <c r="S2750" s="562"/>
    </row>
    <row r="2751" spans="1:19" x14ac:dyDescent="0.25">
      <c r="A2751" t="s">
        <v>3317</v>
      </c>
      <c r="B2751" s="559" t="s">
        <v>1035</v>
      </c>
      <c r="C2751" s="225"/>
      <c r="D2751" s="565">
        <v>610000004031</v>
      </c>
      <c r="E2751" s="565">
        <f>VLOOKUP(D2751,'[1]Task list &amp; Maintenace plan'!$B:$G,6,FALSE)</f>
        <v>100465</v>
      </c>
      <c r="F2751" s="565" t="s">
        <v>3920</v>
      </c>
      <c r="G2751" s="566" t="s">
        <v>1083</v>
      </c>
      <c r="H2751" s="566" t="s">
        <v>3935</v>
      </c>
      <c r="I2751" s="567">
        <v>15</v>
      </c>
      <c r="J2751" s="754"/>
      <c r="K2751" s="754">
        <f>VLOOKUP(D2751,[2]PC50MZ!$C$6:$I$325,7,FALSE)</f>
        <v>30</v>
      </c>
      <c r="L2751" s="754">
        <v>1</v>
      </c>
      <c r="M2751" s="754">
        <f t="shared" si="14"/>
        <v>30</v>
      </c>
      <c r="N2751" s="754"/>
      <c r="O2751" s="563"/>
      <c r="P2751" s="563"/>
      <c r="Q2751" s="563"/>
      <c r="R2751" s="568"/>
      <c r="S2751" s="567"/>
    </row>
    <row r="2752" spans="1:19" x14ac:dyDescent="0.25">
      <c r="A2752" t="s">
        <v>3317</v>
      </c>
      <c r="B2752" s="559" t="s">
        <v>1035</v>
      </c>
      <c r="C2752" s="225"/>
      <c r="D2752" s="602">
        <v>610000004032</v>
      </c>
      <c r="E2752" s="602">
        <f>VLOOKUP(D2752,'[1]Task list &amp; Maintenace plan'!$B:$G,6,FALSE)</f>
        <v>100466</v>
      </c>
      <c r="F2752" s="602" t="s">
        <v>3936</v>
      </c>
      <c r="G2752" s="603" t="s">
        <v>1036</v>
      </c>
      <c r="H2752" s="603" t="s">
        <v>3937</v>
      </c>
      <c r="I2752" s="604">
        <v>30</v>
      </c>
      <c r="J2752" s="752"/>
      <c r="K2752" s="752">
        <f>VLOOKUP(D2752,[2]PC50MZ!$C$6:$I$325,7,FALSE)</f>
        <v>30</v>
      </c>
      <c r="L2752" s="752">
        <v>1</v>
      </c>
      <c r="M2752" s="752">
        <f t="shared" si="14"/>
        <v>30</v>
      </c>
      <c r="N2752" s="752" t="s">
        <v>3174</v>
      </c>
      <c r="O2752" s="563"/>
      <c r="P2752" s="563"/>
      <c r="Q2752" s="563"/>
      <c r="R2752" s="605" t="s">
        <v>3159</v>
      </c>
      <c r="S2752" s="604"/>
    </row>
    <row r="2753" spans="1:19" x14ac:dyDescent="0.25">
      <c r="A2753" t="s">
        <v>3317</v>
      </c>
      <c r="B2753" s="559" t="s">
        <v>1035</v>
      </c>
      <c r="C2753" s="225"/>
      <c r="D2753" s="602">
        <v>610000004032</v>
      </c>
      <c r="E2753" s="602">
        <f>VLOOKUP(D2753,'[1]Task list &amp; Maintenace plan'!$B:$G,6,FALSE)</f>
        <v>100466</v>
      </c>
      <c r="F2753" s="602" t="s">
        <v>3936</v>
      </c>
      <c r="G2753" s="603" t="s">
        <v>1040</v>
      </c>
      <c r="H2753" s="603" t="s">
        <v>3938</v>
      </c>
      <c r="I2753" s="604">
        <v>30</v>
      </c>
      <c r="J2753" s="753"/>
      <c r="K2753" s="753">
        <f>VLOOKUP(D2753,[2]PC50MZ!$C$6:$I$325,7,FALSE)</f>
        <v>30</v>
      </c>
      <c r="L2753" s="753">
        <v>1</v>
      </c>
      <c r="M2753" s="753">
        <f t="shared" si="14"/>
        <v>30</v>
      </c>
      <c r="N2753" s="753"/>
      <c r="O2753" s="563"/>
      <c r="P2753" s="563"/>
      <c r="Q2753" s="563"/>
      <c r="R2753" s="605" t="s">
        <v>3159</v>
      </c>
      <c r="S2753" s="604"/>
    </row>
    <row r="2754" spans="1:19" x14ac:dyDescent="0.25">
      <c r="A2754" t="s">
        <v>3317</v>
      </c>
      <c r="B2754" s="559" t="s">
        <v>1035</v>
      </c>
      <c r="C2754" s="225"/>
      <c r="D2754" s="602">
        <v>610000004032</v>
      </c>
      <c r="E2754" s="602">
        <f>VLOOKUP(D2754,'[1]Task list &amp; Maintenace plan'!$B:$G,6,FALSE)</f>
        <v>100466</v>
      </c>
      <c r="F2754" s="602" t="s">
        <v>3936</v>
      </c>
      <c r="G2754" s="603" t="s">
        <v>3918</v>
      </c>
      <c r="H2754" s="561" t="s">
        <v>3939</v>
      </c>
      <c r="I2754" s="604">
        <v>30</v>
      </c>
      <c r="J2754" s="753"/>
      <c r="K2754" s="753">
        <f>VLOOKUP(D2754,[2]PC50MZ!$C$6:$I$325,7,FALSE)</f>
        <v>30</v>
      </c>
      <c r="L2754" s="753">
        <v>1</v>
      </c>
      <c r="M2754" s="753">
        <f t="shared" si="14"/>
        <v>30</v>
      </c>
      <c r="N2754" s="753"/>
      <c r="O2754" s="563"/>
      <c r="P2754" s="563"/>
      <c r="Q2754" s="563"/>
      <c r="R2754" s="605" t="s">
        <v>3159</v>
      </c>
      <c r="S2754" s="604"/>
    </row>
    <row r="2755" spans="1:19" x14ac:dyDescent="0.25">
      <c r="A2755" t="s">
        <v>3317</v>
      </c>
      <c r="B2755" s="559" t="s">
        <v>1035</v>
      </c>
      <c r="C2755" s="606"/>
      <c r="D2755" s="560">
        <v>610000004032</v>
      </c>
      <c r="E2755" s="560">
        <f>VLOOKUP(D2755,'[1]Task list &amp; Maintenace plan'!$B:$G,6,FALSE)</f>
        <v>100466</v>
      </c>
      <c r="F2755" s="560" t="s">
        <v>3936</v>
      </c>
      <c r="G2755" s="561" t="s">
        <v>1069</v>
      </c>
      <c r="H2755" s="561" t="s">
        <v>3940</v>
      </c>
      <c r="I2755" s="562">
        <v>30</v>
      </c>
      <c r="J2755" s="753"/>
      <c r="K2755" s="753">
        <f>VLOOKUP(D2755,[2]PC50MZ!$C$6:$I$325,7,FALSE)</f>
        <v>30</v>
      </c>
      <c r="L2755" s="753">
        <v>1</v>
      </c>
      <c r="M2755" s="753">
        <f t="shared" si="14"/>
        <v>30</v>
      </c>
      <c r="N2755" s="753"/>
      <c r="O2755" s="563"/>
      <c r="P2755" s="563"/>
      <c r="Q2755" s="563"/>
      <c r="R2755" s="564" t="s">
        <v>3159</v>
      </c>
      <c r="S2755" s="562"/>
    </row>
    <row r="2756" spans="1:19" x14ac:dyDescent="0.25">
      <c r="A2756" t="s">
        <v>3317</v>
      </c>
      <c r="B2756" s="559" t="s">
        <v>1035</v>
      </c>
      <c r="C2756" s="225"/>
      <c r="D2756" s="560">
        <v>610000004032</v>
      </c>
      <c r="E2756" s="560">
        <f>VLOOKUP(D2756,'[1]Task list &amp; Maintenace plan'!$B:$G,6,FALSE)</f>
        <v>100466</v>
      </c>
      <c r="F2756" s="560" t="s">
        <v>3936</v>
      </c>
      <c r="G2756" s="561" t="s">
        <v>1081</v>
      </c>
      <c r="H2756" s="561" t="s">
        <v>3941</v>
      </c>
      <c r="I2756" s="562">
        <v>30</v>
      </c>
      <c r="J2756" s="753"/>
      <c r="K2756" s="753">
        <f>VLOOKUP(D2756,[2]PC50MZ!$C$6:$I$325,7,FALSE)</f>
        <v>30</v>
      </c>
      <c r="L2756" s="753">
        <v>1</v>
      </c>
      <c r="M2756" s="753">
        <f t="shared" si="14"/>
        <v>30</v>
      </c>
      <c r="N2756" s="753"/>
      <c r="O2756" s="563"/>
      <c r="P2756" s="563"/>
      <c r="Q2756" s="563"/>
      <c r="R2756" s="564" t="s">
        <v>3159</v>
      </c>
      <c r="S2756" s="562"/>
    </row>
    <row r="2757" spans="1:19" x14ac:dyDescent="0.25">
      <c r="A2757" t="s">
        <v>3317</v>
      </c>
      <c r="B2757" s="559" t="s">
        <v>1035</v>
      </c>
      <c r="C2757" s="225"/>
      <c r="D2757" s="560">
        <v>610000004032</v>
      </c>
      <c r="E2757" s="560">
        <f>VLOOKUP(D2757,'[1]Task list &amp; Maintenace plan'!$B:$G,6,FALSE)</f>
        <v>100466</v>
      </c>
      <c r="F2757" s="560" t="s">
        <v>3936</v>
      </c>
      <c r="G2757" s="561" t="s">
        <v>1085</v>
      </c>
      <c r="H2757" s="561" t="s">
        <v>3942</v>
      </c>
      <c r="I2757" s="562">
        <v>30</v>
      </c>
      <c r="J2757" s="753"/>
      <c r="K2757" s="753">
        <f>VLOOKUP(D2757,[2]PC50MZ!$C$6:$I$325,7,FALSE)</f>
        <v>30</v>
      </c>
      <c r="L2757" s="753">
        <v>1</v>
      </c>
      <c r="M2757" s="753">
        <f t="shared" si="14"/>
        <v>30</v>
      </c>
      <c r="N2757" s="753"/>
      <c r="O2757" s="563"/>
      <c r="P2757" s="563"/>
      <c r="Q2757" s="563"/>
      <c r="R2757" s="564" t="s">
        <v>3159</v>
      </c>
      <c r="S2757" s="562"/>
    </row>
    <row r="2758" spans="1:19" x14ac:dyDescent="0.25">
      <c r="A2758" t="s">
        <v>3317</v>
      </c>
      <c r="B2758" s="559" t="s">
        <v>1035</v>
      </c>
      <c r="C2758" s="225"/>
      <c r="D2758" s="560">
        <v>610000004032</v>
      </c>
      <c r="E2758" s="560">
        <f>VLOOKUP(D2758,'[1]Task list &amp; Maintenace plan'!$B:$G,6,FALSE)</f>
        <v>100466</v>
      </c>
      <c r="F2758" s="560" t="s">
        <v>3936</v>
      </c>
      <c r="G2758" s="561" t="s">
        <v>1071</v>
      </c>
      <c r="H2758" s="561" t="s">
        <v>3943</v>
      </c>
      <c r="I2758" s="562">
        <v>30</v>
      </c>
      <c r="J2758" s="753"/>
      <c r="K2758" s="753">
        <f>VLOOKUP(D2758,[2]PC50MZ!$C$6:$I$325,7,FALSE)</f>
        <v>30</v>
      </c>
      <c r="L2758" s="753">
        <v>1</v>
      </c>
      <c r="M2758" s="753">
        <f t="shared" si="14"/>
        <v>30</v>
      </c>
      <c r="N2758" s="753"/>
      <c r="O2758" s="563"/>
      <c r="P2758" s="563"/>
      <c r="Q2758" s="563"/>
      <c r="R2758" s="564" t="s">
        <v>3159</v>
      </c>
      <c r="S2758" s="562"/>
    </row>
    <row r="2759" spans="1:19" x14ac:dyDescent="0.25">
      <c r="A2759" t="s">
        <v>3317</v>
      </c>
      <c r="B2759" s="559" t="s">
        <v>1035</v>
      </c>
      <c r="C2759" s="225"/>
      <c r="D2759" s="560">
        <v>610000004032</v>
      </c>
      <c r="E2759" s="560">
        <f>VLOOKUP(D2759,'[1]Task list &amp; Maintenace plan'!$B:$G,6,FALSE)</f>
        <v>100466</v>
      </c>
      <c r="F2759" s="560" t="s">
        <v>3936</v>
      </c>
      <c r="G2759" s="561" t="s">
        <v>1075</v>
      </c>
      <c r="H2759" s="561" t="s">
        <v>3944</v>
      </c>
      <c r="I2759" s="562">
        <v>30</v>
      </c>
      <c r="J2759" s="753"/>
      <c r="K2759" s="753">
        <f>VLOOKUP(D2759,[2]PC50MZ!$C$6:$I$325,7,FALSE)</f>
        <v>30</v>
      </c>
      <c r="L2759" s="753">
        <v>1</v>
      </c>
      <c r="M2759" s="753">
        <f t="shared" si="14"/>
        <v>30</v>
      </c>
      <c r="N2759" s="753"/>
      <c r="O2759" s="563"/>
      <c r="P2759" s="563"/>
      <c r="Q2759" s="563"/>
      <c r="R2759" s="564" t="s">
        <v>3159</v>
      </c>
      <c r="S2759" s="562"/>
    </row>
    <row r="2760" spans="1:19" x14ac:dyDescent="0.25">
      <c r="A2760" t="s">
        <v>3317</v>
      </c>
      <c r="B2760" s="559" t="s">
        <v>1035</v>
      </c>
      <c r="C2760" s="225"/>
      <c r="D2760" s="560">
        <v>610000004032</v>
      </c>
      <c r="E2760" s="560">
        <f>VLOOKUP(D2760,'[1]Task list &amp; Maintenace plan'!$B:$G,6,FALSE)</f>
        <v>100466</v>
      </c>
      <c r="F2760" s="560" t="s">
        <v>3936</v>
      </c>
      <c r="G2760" s="561" t="s">
        <v>1083</v>
      </c>
      <c r="H2760" s="561" t="s">
        <v>3945</v>
      </c>
      <c r="I2760" s="562">
        <v>30</v>
      </c>
      <c r="J2760" s="753"/>
      <c r="K2760" s="753">
        <f>VLOOKUP(D2760,[2]PC50MZ!$C$6:$I$325,7,FALSE)</f>
        <v>30</v>
      </c>
      <c r="L2760" s="753">
        <v>1</v>
      </c>
      <c r="M2760" s="753">
        <f t="shared" si="14"/>
        <v>30</v>
      </c>
      <c r="N2760" s="753"/>
      <c r="O2760" s="563"/>
      <c r="P2760" s="563"/>
      <c r="Q2760" s="563"/>
      <c r="R2760" s="564" t="s">
        <v>3159</v>
      </c>
      <c r="S2760" s="562"/>
    </row>
    <row r="2761" spans="1:19" x14ac:dyDescent="0.25">
      <c r="A2761" t="s">
        <v>3317</v>
      </c>
      <c r="B2761" s="559" t="s">
        <v>1035</v>
      </c>
      <c r="C2761" s="225"/>
      <c r="D2761" s="560">
        <v>610000004032</v>
      </c>
      <c r="E2761" s="560">
        <f>VLOOKUP(D2761,'[1]Task list &amp; Maintenace plan'!$B:$G,6,FALSE)</f>
        <v>100466</v>
      </c>
      <c r="F2761" s="560" t="s">
        <v>3936</v>
      </c>
      <c r="G2761" s="561" t="s">
        <v>1071</v>
      </c>
      <c r="H2761" s="561" t="s">
        <v>3946</v>
      </c>
      <c r="I2761" s="562">
        <v>30</v>
      </c>
      <c r="J2761" s="753"/>
      <c r="K2761" s="753">
        <f>VLOOKUP(D2761,[2]PC50MZ!$C$6:$I$325,7,FALSE)</f>
        <v>30</v>
      </c>
      <c r="L2761" s="753">
        <v>1</v>
      </c>
      <c r="M2761" s="753">
        <f t="shared" si="14"/>
        <v>30</v>
      </c>
      <c r="N2761" s="753"/>
      <c r="O2761" s="563"/>
      <c r="P2761" s="563"/>
      <c r="Q2761" s="563"/>
      <c r="R2761" s="564" t="s">
        <v>3947</v>
      </c>
      <c r="S2761" s="562"/>
    </row>
    <row r="2762" spans="1:19" x14ac:dyDescent="0.25">
      <c r="A2762" t="s">
        <v>3317</v>
      </c>
      <c r="B2762" s="559" t="s">
        <v>1035</v>
      </c>
      <c r="C2762" s="225"/>
      <c r="D2762" s="565">
        <v>610000004032</v>
      </c>
      <c r="E2762" s="565">
        <f>VLOOKUP(D2762,'[1]Task list &amp; Maintenace plan'!$B:$G,6,FALSE)</f>
        <v>100466</v>
      </c>
      <c r="F2762" s="565" t="s">
        <v>3936</v>
      </c>
      <c r="G2762" s="566" t="s">
        <v>3948</v>
      </c>
      <c r="H2762" s="566" t="s">
        <v>3949</v>
      </c>
      <c r="I2762" s="567">
        <v>30</v>
      </c>
      <c r="J2762" s="754"/>
      <c r="K2762" s="754">
        <f>VLOOKUP(D2762,[2]PC50MZ!$C$6:$I$325,7,FALSE)</f>
        <v>30</v>
      </c>
      <c r="L2762" s="754">
        <v>1</v>
      </c>
      <c r="M2762" s="754">
        <f t="shared" si="14"/>
        <v>30</v>
      </c>
      <c r="N2762" s="754"/>
      <c r="O2762" s="563"/>
      <c r="P2762" s="563"/>
      <c r="Q2762" s="563"/>
      <c r="R2762" s="568"/>
      <c r="S2762" s="567"/>
    </row>
    <row r="2763" spans="1:19" x14ac:dyDescent="0.25">
      <c r="A2763" t="s">
        <v>3317</v>
      </c>
      <c r="B2763" s="559" t="s">
        <v>1035</v>
      </c>
      <c r="C2763" s="225"/>
      <c r="D2763" s="598">
        <v>347639</v>
      </c>
      <c r="E2763" s="598">
        <f>VLOOKUP(D2763,'[1]Task list &amp; Maintenace plan'!$B:$G,6,FALSE)</f>
        <v>1218</v>
      </c>
      <c r="F2763" s="598" t="s">
        <v>3950</v>
      </c>
      <c r="G2763" s="599" t="s">
        <v>1036</v>
      </c>
      <c r="H2763" s="599" t="s">
        <v>3951</v>
      </c>
      <c r="I2763" s="600">
        <v>30</v>
      </c>
      <c r="J2763" s="752">
        <v>1</v>
      </c>
      <c r="K2763" s="752">
        <v>20</v>
      </c>
      <c r="L2763" s="752">
        <v>1</v>
      </c>
      <c r="M2763" s="752">
        <f t="shared" si="14"/>
        <v>20</v>
      </c>
      <c r="N2763" s="752" t="s">
        <v>20</v>
      </c>
      <c r="O2763" s="563"/>
      <c r="P2763" s="563"/>
      <c r="Q2763" s="563"/>
      <c r="R2763" s="601"/>
      <c r="S2763" s="600"/>
    </row>
    <row r="2764" spans="1:19" x14ac:dyDescent="0.25">
      <c r="A2764" t="s">
        <v>3317</v>
      </c>
      <c r="B2764" s="559" t="s">
        <v>1035</v>
      </c>
      <c r="C2764" s="225"/>
      <c r="D2764" s="560">
        <v>347639</v>
      </c>
      <c r="E2764" s="560">
        <f>VLOOKUP(D2764,'[1]Task list &amp; Maintenace plan'!$B:$G,6,FALSE)</f>
        <v>1218</v>
      </c>
      <c r="F2764" s="560" t="s">
        <v>3950</v>
      </c>
      <c r="G2764" s="561" t="s">
        <v>1040</v>
      </c>
      <c r="H2764" s="561" t="s">
        <v>3952</v>
      </c>
      <c r="I2764" s="562">
        <v>30</v>
      </c>
      <c r="J2764" s="753">
        <v>1</v>
      </c>
      <c r="K2764" s="753">
        <v>20</v>
      </c>
      <c r="L2764" s="753">
        <v>1</v>
      </c>
      <c r="M2764" s="753">
        <f t="shared" si="14"/>
        <v>20</v>
      </c>
      <c r="N2764" s="753"/>
      <c r="O2764" s="563"/>
      <c r="P2764" s="563"/>
      <c r="Q2764" s="563"/>
      <c r="R2764" s="564"/>
      <c r="S2764" s="562"/>
    </row>
    <row r="2765" spans="1:19" x14ac:dyDescent="0.25">
      <c r="A2765" t="s">
        <v>3317</v>
      </c>
      <c r="B2765" s="559" t="s">
        <v>1035</v>
      </c>
      <c r="C2765" s="225"/>
      <c r="D2765" s="560">
        <v>347639</v>
      </c>
      <c r="E2765" s="560">
        <f>VLOOKUP(D2765,'[1]Task list &amp; Maintenace plan'!$B:$G,6,FALSE)</f>
        <v>1218</v>
      </c>
      <c r="F2765" s="560" t="s">
        <v>3950</v>
      </c>
      <c r="G2765" s="561" t="s">
        <v>1043</v>
      </c>
      <c r="H2765" s="561" t="s">
        <v>3953</v>
      </c>
      <c r="I2765" s="562">
        <v>30</v>
      </c>
      <c r="J2765" s="753">
        <v>1</v>
      </c>
      <c r="K2765" s="753">
        <v>20</v>
      </c>
      <c r="L2765" s="753">
        <v>1</v>
      </c>
      <c r="M2765" s="753">
        <f t="shared" si="14"/>
        <v>20</v>
      </c>
      <c r="N2765" s="753"/>
      <c r="O2765" s="563"/>
      <c r="P2765" s="563"/>
      <c r="Q2765" s="563"/>
      <c r="R2765" s="564"/>
      <c r="S2765" s="562"/>
    </row>
    <row r="2766" spans="1:19" x14ac:dyDescent="0.25">
      <c r="A2766" t="s">
        <v>3317</v>
      </c>
      <c r="B2766" s="559" t="s">
        <v>1035</v>
      </c>
      <c r="C2766" s="225"/>
      <c r="D2766" s="560">
        <v>347639</v>
      </c>
      <c r="E2766" s="560">
        <f>VLOOKUP(D2766,'[1]Task list &amp; Maintenace plan'!$B:$G,6,FALSE)</f>
        <v>1218</v>
      </c>
      <c r="F2766" s="560" t="s">
        <v>3950</v>
      </c>
      <c r="G2766" s="561" t="s">
        <v>1066</v>
      </c>
      <c r="H2766" s="561" t="s">
        <v>3954</v>
      </c>
      <c r="I2766" s="562">
        <v>30</v>
      </c>
      <c r="J2766" s="753">
        <v>1</v>
      </c>
      <c r="K2766" s="753">
        <v>20</v>
      </c>
      <c r="L2766" s="753">
        <v>1</v>
      </c>
      <c r="M2766" s="753">
        <f t="shared" si="14"/>
        <v>20</v>
      </c>
      <c r="N2766" s="753"/>
      <c r="O2766" s="563"/>
      <c r="P2766" s="563"/>
      <c r="Q2766" s="563"/>
      <c r="R2766" s="564"/>
      <c r="S2766" s="562"/>
    </row>
    <row r="2767" spans="1:19" x14ac:dyDescent="0.25">
      <c r="A2767" t="s">
        <v>3317</v>
      </c>
      <c r="B2767" s="559" t="s">
        <v>1035</v>
      </c>
      <c r="C2767" s="225"/>
      <c r="D2767" s="560">
        <v>347639</v>
      </c>
      <c r="E2767" s="560">
        <f>VLOOKUP(D2767,'[1]Task list &amp; Maintenace plan'!$B:$G,6,FALSE)</f>
        <v>1218</v>
      </c>
      <c r="F2767" s="560" t="s">
        <v>3950</v>
      </c>
      <c r="G2767" s="561" t="s">
        <v>1045</v>
      </c>
      <c r="H2767" s="561" t="s">
        <v>3955</v>
      </c>
      <c r="I2767" s="562">
        <v>30</v>
      </c>
      <c r="J2767" s="753">
        <v>1</v>
      </c>
      <c r="K2767" s="753">
        <v>20</v>
      </c>
      <c r="L2767" s="753">
        <v>1</v>
      </c>
      <c r="M2767" s="753">
        <f t="shared" si="14"/>
        <v>20</v>
      </c>
      <c r="N2767" s="753"/>
      <c r="O2767" s="563"/>
      <c r="P2767" s="563"/>
      <c r="Q2767" s="563"/>
      <c r="R2767" s="564"/>
      <c r="S2767" s="562"/>
    </row>
    <row r="2768" spans="1:19" x14ac:dyDescent="0.25">
      <c r="A2768" t="s">
        <v>3317</v>
      </c>
      <c r="B2768" s="559" t="s">
        <v>1035</v>
      </c>
      <c r="C2768" s="225"/>
      <c r="D2768" s="565">
        <v>347639</v>
      </c>
      <c r="E2768" s="565">
        <f>VLOOKUP(D2768,'[1]Task list &amp; Maintenace plan'!$B:$G,6,FALSE)</f>
        <v>1218</v>
      </c>
      <c r="F2768" s="565" t="s">
        <v>3950</v>
      </c>
      <c r="G2768" s="566" t="s">
        <v>1045</v>
      </c>
      <c r="H2768" s="566" t="s">
        <v>3956</v>
      </c>
      <c r="I2768" s="567">
        <v>30</v>
      </c>
      <c r="J2768" s="754">
        <v>1</v>
      </c>
      <c r="K2768" s="754">
        <v>20</v>
      </c>
      <c r="L2768" s="754">
        <v>1</v>
      </c>
      <c r="M2768" s="754">
        <f t="shared" si="14"/>
        <v>20</v>
      </c>
      <c r="N2768" s="754"/>
      <c r="O2768" s="563"/>
      <c r="P2768" s="563"/>
      <c r="Q2768" s="563"/>
      <c r="R2768" s="568"/>
      <c r="S2768" s="567"/>
    </row>
    <row r="2769" spans="1:19" x14ac:dyDescent="0.25">
      <c r="A2769" t="s">
        <v>3317</v>
      </c>
      <c r="B2769" s="559" t="s">
        <v>1035</v>
      </c>
      <c r="C2769" s="225"/>
      <c r="D2769" s="598">
        <v>610000004033</v>
      </c>
      <c r="E2769" s="598">
        <f>VLOOKUP(D2769,'[1]Task list &amp; Maintenace plan'!$B:$G,6,FALSE)</f>
        <v>100467</v>
      </c>
      <c r="F2769" s="598" t="s">
        <v>3957</v>
      </c>
      <c r="G2769" s="599" t="s">
        <v>1043</v>
      </c>
      <c r="H2769" s="599" t="s">
        <v>3958</v>
      </c>
      <c r="I2769" s="600">
        <v>30</v>
      </c>
      <c r="J2769" s="752">
        <v>1</v>
      </c>
      <c r="K2769" s="752">
        <v>90</v>
      </c>
      <c r="L2769" s="752">
        <v>1</v>
      </c>
      <c r="M2769" s="752">
        <f t="shared" si="14"/>
        <v>90</v>
      </c>
      <c r="N2769" s="752" t="s">
        <v>20</v>
      </c>
      <c r="O2769" s="563"/>
      <c r="P2769" s="563"/>
      <c r="Q2769" s="563"/>
      <c r="R2769" s="601"/>
      <c r="S2769" s="600"/>
    </row>
    <row r="2770" spans="1:19" x14ac:dyDescent="0.25">
      <c r="A2770" t="s">
        <v>3317</v>
      </c>
      <c r="B2770" s="559" t="s">
        <v>1035</v>
      </c>
      <c r="C2770" s="225"/>
      <c r="D2770" s="560">
        <v>610000004033</v>
      </c>
      <c r="E2770" s="560">
        <f>VLOOKUP(D2770,'[1]Task list &amp; Maintenace plan'!$B:$G,6,FALSE)</f>
        <v>100467</v>
      </c>
      <c r="F2770" s="560" t="s">
        <v>3957</v>
      </c>
      <c r="G2770" s="561" t="s">
        <v>1066</v>
      </c>
      <c r="H2770" s="561" t="s">
        <v>3959</v>
      </c>
      <c r="I2770" s="562">
        <v>30</v>
      </c>
      <c r="J2770" s="753">
        <v>1</v>
      </c>
      <c r="K2770" s="753">
        <v>90</v>
      </c>
      <c r="L2770" s="753">
        <v>1</v>
      </c>
      <c r="M2770" s="753">
        <f t="shared" ref="M2770:M2833" si="15">K2770*L2770</f>
        <v>90</v>
      </c>
      <c r="N2770" s="753"/>
      <c r="O2770" s="563"/>
      <c r="P2770" s="563"/>
      <c r="Q2770" s="563"/>
      <c r="R2770" s="564"/>
      <c r="S2770" s="562"/>
    </row>
    <row r="2771" spans="1:19" x14ac:dyDescent="0.25">
      <c r="A2771" t="s">
        <v>3317</v>
      </c>
      <c r="B2771" s="559" t="s">
        <v>1035</v>
      </c>
      <c r="C2771" s="225"/>
      <c r="D2771" s="560">
        <v>610000004033</v>
      </c>
      <c r="E2771" s="560">
        <f>VLOOKUP(D2771,'[1]Task list &amp; Maintenace plan'!$B:$G,6,FALSE)</f>
        <v>100467</v>
      </c>
      <c r="F2771" s="560" t="s">
        <v>3957</v>
      </c>
      <c r="G2771" s="561" t="s">
        <v>1073</v>
      </c>
      <c r="H2771" s="561" t="s">
        <v>3960</v>
      </c>
      <c r="I2771" s="562">
        <v>30</v>
      </c>
      <c r="J2771" s="753">
        <v>1</v>
      </c>
      <c r="K2771" s="753">
        <v>90</v>
      </c>
      <c r="L2771" s="753">
        <v>1</v>
      </c>
      <c r="M2771" s="753">
        <f t="shared" si="15"/>
        <v>90</v>
      </c>
      <c r="N2771" s="753"/>
      <c r="O2771" s="563"/>
      <c r="P2771" s="563"/>
      <c r="Q2771" s="563"/>
      <c r="R2771" s="564"/>
      <c r="S2771" s="562"/>
    </row>
    <row r="2772" spans="1:19" x14ac:dyDescent="0.25">
      <c r="A2772" t="s">
        <v>3317</v>
      </c>
      <c r="B2772" s="559" t="s">
        <v>1035</v>
      </c>
      <c r="C2772" s="225"/>
      <c r="D2772" s="569">
        <v>610000004033</v>
      </c>
      <c r="E2772" s="569">
        <f>VLOOKUP(D2772,'[1]Task list &amp; Maintenace plan'!$B:$G,6,FALSE)</f>
        <v>100467</v>
      </c>
      <c r="F2772" s="569" t="s">
        <v>3957</v>
      </c>
      <c r="G2772" s="570" t="s">
        <v>1069</v>
      </c>
      <c r="H2772" s="570" t="s">
        <v>3961</v>
      </c>
      <c r="I2772" s="571">
        <v>30</v>
      </c>
      <c r="J2772" s="753">
        <v>1</v>
      </c>
      <c r="K2772" s="753">
        <v>90</v>
      </c>
      <c r="L2772" s="753">
        <v>1</v>
      </c>
      <c r="M2772" s="753">
        <f t="shared" si="15"/>
        <v>90</v>
      </c>
      <c r="N2772" s="753"/>
      <c r="O2772" s="563"/>
      <c r="P2772" s="563"/>
      <c r="Q2772" s="563"/>
      <c r="R2772" s="572"/>
      <c r="S2772" s="571"/>
    </row>
    <row r="2773" spans="1:19" x14ac:dyDescent="0.25">
      <c r="A2773" t="s">
        <v>3317</v>
      </c>
      <c r="B2773" s="559" t="s">
        <v>1035</v>
      </c>
      <c r="C2773" s="225"/>
      <c r="D2773" s="560">
        <v>610000004033</v>
      </c>
      <c r="E2773" s="560">
        <f>VLOOKUP(D2773,'[1]Task list &amp; Maintenace plan'!$B:$G,6,FALSE)</f>
        <v>100467</v>
      </c>
      <c r="F2773" s="560" t="s">
        <v>3957</v>
      </c>
      <c r="G2773" s="561" t="s">
        <v>1081</v>
      </c>
      <c r="H2773" s="561" t="s">
        <v>3962</v>
      </c>
      <c r="I2773" s="562">
        <v>30</v>
      </c>
      <c r="J2773" s="753">
        <v>1</v>
      </c>
      <c r="K2773" s="753">
        <v>90</v>
      </c>
      <c r="L2773" s="753">
        <v>1</v>
      </c>
      <c r="M2773" s="753">
        <f t="shared" si="15"/>
        <v>90</v>
      </c>
      <c r="N2773" s="753"/>
      <c r="O2773" s="563"/>
      <c r="P2773" s="563"/>
      <c r="Q2773" s="563"/>
      <c r="R2773" s="564"/>
      <c r="S2773" s="562"/>
    </row>
    <row r="2774" spans="1:19" x14ac:dyDescent="0.25">
      <c r="A2774" t="s">
        <v>3317</v>
      </c>
      <c r="B2774" s="559" t="s">
        <v>1035</v>
      </c>
      <c r="C2774" s="225"/>
      <c r="D2774" s="560">
        <v>610000004033</v>
      </c>
      <c r="E2774" s="560">
        <f>VLOOKUP(D2774,'[1]Task list &amp; Maintenace plan'!$B:$G,6,FALSE)</f>
        <v>100467</v>
      </c>
      <c r="F2774" s="560" t="s">
        <v>3957</v>
      </c>
      <c r="G2774" s="561" t="s">
        <v>3948</v>
      </c>
      <c r="H2774" s="561" t="s">
        <v>3963</v>
      </c>
      <c r="I2774" s="562">
        <v>30</v>
      </c>
      <c r="J2774" s="753">
        <v>1</v>
      </c>
      <c r="K2774" s="753">
        <v>90</v>
      </c>
      <c r="L2774" s="753">
        <v>1</v>
      </c>
      <c r="M2774" s="753">
        <f t="shared" si="15"/>
        <v>90</v>
      </c>
      <c r="N2774" s="753"/>
      <c r="O2774" s="563"/>
      <c r="P2774" s="563"/>
      <c r="Q2774" s="563"/>
      <c r="R2774" s="564" t="s">
        <v>3964</v>
      </c>
      <c r="S2774" s="562" t="s">
        <v>3965</v>
      </c>
    </row>
    <row r="2775" spans="1:19" x14ac:dyDescent="0.25">
      <c r="A2775" t="s">
        <v>3317</v>
      </c>
      <c r="B2775" s="559" t="s">
        <v>1035</v>
      </c>
      <c r="C2775" s="225"/>
      <c r="D2775" s="560">
        <v>610000004033</v>
      </c>
      <c r="E2775" s="560">
        <f>VLOOKUP(D2775,'[1]Task list &amp; Maintenace plan'!$B:$G,6,FALSE)</f>
        <v>100467</v>
      </c>
      <c r="F2775" s="560" t="s">
        <v>3957</v>
      </c>
      <c r="G2775" s="561" t="s">
        <v>1069</v>
      </c>
      <c r="H2775" s="561" t="s">
        <v>3966</v>
      </c>
      <c r="I2775" s="562">
        <v>30</v>
      </c>
      <c r="J2775" s="753">
        <v>1</v>
      </c>
      <c r="K2775" s="753">
        <v>90</v>
      </c>
      <c r="L2775" s="753">
        <v>1</v>
      </c>
      <c r="M2775" s="753">
        <f t="shared" si="15"/>
        <v>90</v>
      </c>
      <c r="N2775" s="753"/>
      <c r="O2775" s="563"/>
      <c r="P2775" s="563"/>
      <c r="Q2775" s="563"/>
      <c r="R2775" s="564"/>
      <c r="S2775" s="562"/>
    </row>
    <row r="2776" spans="1:19" x14ac:dyDescent="0.25">
      <c r="A2776" t="s">
        <v>3317</v>
      </c>
      <c r="B2776" s="559" t="s">
        <v>1035</v>
      </c>
      <c r="C2776" s="225"/>
      <c r="D2776" s="560">
        <v>610000004033</v>
      </c>
      <c r="E2776" s="560">
        <f>VLOOKUP(D2776,'[1]Task list &amp; Maintenace plan'!$B:$G,6,FALSE)</f>
        <v>100467</v>
      </c>
      <c r="F2776" s="560" t="s">
        <v>3957</v>
      </c>
      <c r="G2776" s="561" t="s">
        <v>1069</v>
      </c>
      <c r="H2776" s="561" t="s">
        <v>3967</v>
      </c>
      <c r="I2776" s="562">
        <v>30</v>
      </c>
      <c r="J2776" s="753"/>
      <c r="K2776" s="753">
        <v>90</v>
      </c>
      <c r="L2776" s="753">
        <v>1</v>
      </c>
      <c r="M2776" s="753">
        <f t="shared" si="15"/>
        <v>90</v>
      </c>
      <c r="N2776" s="753"/>
      <c r="O2776" s="563"/>
      <c r="P2776" s="563"/>
      <c r="Q2776" s="563"/>
      <c r="R2776" s="564"/>
      <c r="S2776" s="562"/>
    </row>
    <row r="2777" spans="1:19" x14ac:dyDescent="0.25">
      <c r="A2777" t="s">
        <v>3317</v>
      </c>
      <c r="B2777" s="559" t="s">
        <v>1035</v>
      </c>
      <c r="C2777" s="225"/>
      <c r="D2777" s="560">
        <v>610000004033</v>
      </c>
      <c r="E2777" s="560">
        <f>VLOOKUP(D2777,'[1]Task list &amp; Maintenace plan'!$B:$G,6,FALSE)</f>
        <v>100467</v>
      </c>
      <c r="F2777" s="560" t="s">
        <v>3957</v>
      </c>
      <c r="G2777" s="561" t="s">
        <v>1081</v>
      </c>
      <c r="H2777" s="561" t="s">
        <v>3968</v>
      </c>
      <c r="I2777" s="562">
        <v>30</v>
      </c>
      <c r="J2777" s="753">
        <v>1</v>
      </c>
      <c r="K2777" s="753">
        <v>90</v>
      </c>
      <c r="L2777" s="753">
        <v>1</v>
      </c>
      <c r="M2777" s="753">
        <f t="shared" si="15"/>
        <v>90</v>
      </c>
      <c r="N2777" s="753"/>
      <c r="O2777" s="563"/>
      <c r="P2777" s="563"/>
      <c r="Q2777" s="563"/>
      <c r="R2777" s="564"/>
      <c r="S2777" s="562"/>
    </row>
    <row r="2778" spans="1:19" x14ac:dyDescent="0.25">
      <c r="A2778" t="s">
        <v>3317</v>
      </c>
      <c r="B2778" s="559" t="s">
        <v>1035</v>
      </c>
      <c r="C2778" s="225"/>
      <c r="D2778" s="560">
        <v>610000004033</v>
      </c>
      <c r="E2778" s="560">
        <f>VLOOKUP(D2778,'[1]Task list &amp; Maintenace plan'!$B:$G,6,FALSE)</f>
        <v>100467</v>
      </c>
      <c r="F2778" s="560" t="s">
        <v>3957</v>
      </c>
      <c r="G2778" s="561" t="s">
        <v>1081</v>
      </c>
      <c r="H2778" s="561" t="s">
        <v>3969</v>
      </c>
      <c r="I2778" s="562">
        <v>30</v>
      </c>
      <c r="J2778" s="753"/>
      <c r="K2778" s="753">
        <v>90</v>
      </c>
      <c r="L2778" s="753">
        <v>1</v>
      </c>
      <c r="M2778" s="753">
        <f t="shared" si="15"/>
        <v>90</v>
      </c>
      <c r="N2778" s="753"/>
      <c r="O2778" s="563"/>
      <c r="P2778" s="563"/>
      <c r="Q2778" s="563"/>
      <c r="R2778" s="564"/>
      <c r="S2778" s="562"/>
    </row>
    <row r="2779" spans="1:19" x14ac:dyDescent="0.25">
      <c r="A2779" t="s">
        <v>3317</v>
      </c>
      <c r="B2779" s="559" t="s">
        <v>1035</v>
      </c>
      <c r="C2779" s="225"/>
      <c r="D2779" s="560">
        <v>610000004033</v>
      </c>
      <c r="E2779" s="560">
        <f>VLOOKUP(D2779,'[1]Task list &amp; Maintenace plan'!$B:$G,6,FALSE)</f>
        <v>100467</v>
      </c>
      <c r="F2779" s="560" t="s">
        <v>3957</v>
      </c>
      <c r="G2779" s="561" t="s">
        <v>1085</v>
      </c>
      <c r="H2779" s="561" t="s">
        <v>3970</v>
      </c>
      <c r="I2779" s="562">
        <v>30</v>
      </c>
      <c r="J2779" s="753">
        <v>1</v>
      </c>
      <c r="K2779" s="753">
        <v>90</v>
      </c>
      <c r="L2779" s="753">
        <v>1</v>
      </c>
      <c r="M2779" s="753">
        <f t="shared" si="15"/>
        <v>90</v>
      </c>
      <c r="N2779" s="753"/>
      <c r="O2779" s="563"/>
      <c r="P2779" s="563"/>
      <c r="Q2779" s="563"/>
      <c r="R2779" s="564"/>
      <c r="S2779" s="562"/>
    </row>
    <row r="2780" spans="1:19" x14ac:dyDescent="0.25">
      <c r="A2780" t="s">
        <v>3317</v>
      </c>
      <c r="B2780" s="559" t="s">
        <v>1035</v>
      </c>
      <c r="C2780" s="225"/>
      <c r="D2780" s="560">
        <v>610000004033</v>
      </c>
      <c r="E2780" s="560">
        <f>VLOOKUP(D2780,'[1]Task list &amp; Maintenace plan'!$B:$G,6,FALSE)</f>
        <v>100467</v>
      </c>
      <c r="F2780" s="560" t="s">
        <v>3957</v>
      </c>
      <c r="G2780" s="561" t="s">
        <v>1085</v>
      </c>
      <c r="H2780" s="561" t="s">
        <v>3971</v>
      </c>
      <c r="I2780" s="562">
        <v>30</v>
      </c>
      <c r="J2780" s="753"/>
      <c r="K2780" s="753">
        <v>90</v>
      </c>
      <c r="L2780" s="753">
        <v>1</v>
      </c>
      <c r="M2780" s="753">
        <f t="shared" si="15"/>
        <v>90</v>
      </c>
      <c r="N2780" s="753"/>
      <c r="O2780" s="563"/>
      <c r="P2780" s="563"/>
      <c r="Q2780" s="563"/>
      <c r="R2780" s="564"/>
      <c r="S2780" s="562"/>
    </row>
    <row r="2781" spans="1:19" x14ac:dyDescent="0.25">
      <c r="A2781" t="s">
        <v>3317</v>
      </c>
      <c r="B2781" s="559" t="s">
        <v>1035</v>
      </c>
      <c r="C2781" s="225"/>
      <c r="D2781" s="560">
        <v>610000004033</v>
      </c>
      <c r="E2781" s="560">
        <f>VLOOKUP(D2781,'[1]Task list &amp; Maintenace plan'!$B:$G,6,FALSE)</f>
        <v>100467</v>
      </c>
      <c r="F2781" s="560" t="s">
        <v>3957</v>
      </c>
      <c r="G2781" s="561" t="s">
        <v>1085</v>
      </c>
      <c r="H2781" s="561" t="s">
        <v>3972</v>
      </c>
      <c r="I2781" s="562">
        <v>30</v>
      </c>
      <c r="J2781" s="753">
        <v>1</v>
      </c>
      <c r="K2781" s="753">
        <v>90</v>
      </c>
      <c r="L2781" s="753">
        <v>1</v>
      </c>
      <c r="M2781" s="753">
        <f t="shared" si="15"/>
        <v>90</v>
      </c>
      <c r="N2781" s="753"/>
      <c r="O2781" s="563"/>
      <c r="P2781" s="563"/>
      <c r="Q2781" s="563"/>
      <c r="R2781" s="564"/>
      <c r="S2781" s="562"/>
    </row>
    <row r="2782" spans="1:19" x14ac:dyDescent="0.25">
      <c r="A2782" t="s">
        <v>3317</v>
      </c>
      <c r="B2782" s="559" t="s">
        <v>1035</v>
      </c>
      <c r="C2782" s="225"/>
      <c r="D2782" s="560">
        <v>610000004033</v>
      </c>
      <c r="E2782" s="560">
        <f>VLOOKUP(D2782,'[1]Task list &amp; Maintenace plan'!$B:$G,6,FALSE)</f>
        <v>100467</v>
      </c>
      <c r="F2782" s="560" t="s">
        <v>3957</v>
      </c>
      <c r="G2782" s="561" t="s">
        <v>1087</v>
      </c>
      <c r="H2782" s="561" t="s">
        <v>3973</v>
      </c>
      <c r="I2782" s="562">
        <v>30</v>
      </c>
      <c r="J2782" s="753"/>
      <c r="K2782" s="753">
        <v>90</v>
      </c>
      <c r="L2782" s="753">
        <v>1</v>
      </c>
      <c r="M2782" s="753">
        <f t="shared" si="15"/>
        <v>90</v>
      </c>
      <c r="N2782" s="753"/>
      <c r="O2782" s="563"/>
      <c r="P2782" s="563"/>
      <c r="Q2782" s="563"/>
      <c r="R2782" s="564"/>
      <c r="S2782" s="562"/>
    </row>
    <row r="2783" spans="1:19" x14ac:dyDescent="0.25">
      <c r="A2783" t="s">
        <v>3317</v>
      </c>
      <c r="B2783" s="559" t="s">
        <v>1035</v>
      </c>
      <c r="C2783" s="225"/>
      <c r="D2783" s="560">
        <v>610000004033</v>
      </c>
      <c r="E2783" s="560">
        <f>VLOOKUP(D2783,'[1]Task list &amp; Maintenace plan'!$B:$G,6,FALSE)</f>
        <v>100467</v>
      </c>
      <c r="F2783" s="560" t="s">
        <v>3957</v>
      </c>
      <c r="G2783" s="561" t="s">
        <v>1087</v>
      </c>
      <c r="H2783" s="561" t="s">
        <v>3974</v>
      </c>
      <c r="I2783" s="562">
        <v>30</v>
      </c>
      <c r="J2783" s="753">
        <v>1</v>
      </c>
      <c r="K2783" s="753">
        <v>90</v>
      </c>
      <c r="L2783" s="753">
        <v>1</v>
      </c>
      <c r="M2783" s="753">
        <f t="shared" si="15"/>
        <v>90</v>
      </c>
      <c r="N2783" s="753"/>
      <c r="O2783" s="563"/>
      <c r="P2783" s="563"/>
      <c r="Q2783" s="563"/>
      <c r="R2783" s="564" t="s">
        <v>3975</v>
      </c>
      <c r="S2783" s="562" t="s">
        <v>3186</v>
      </c>
    </row>
    <row r="2784" spans="1:19" x14ac:dyDescent="0.25">
      <c r="A2784" t="s">
        <v>3317</v>
      </c>
      <c r="B2784" s="559" t="s">
        <v>1035</v>
      </c>
      <c r="C2784" s="225"/>
      <c r="D2784" s="560">
        <v>610000004033</v>
      </c>
      <c r="E2784" s="560">
        <f>VLOOKUP(D2784,'[1]Task list &amp; Maintenace plan'!$B:$G,6,FALSE)</f>
        <v>100467</v>
      </c>
      <c r="F2784" s="560" t="s">
        <v>3957</v>
      </c>
      <c r="G2784" s="561" t="s">
        <v>1087</v>
      </c>
      <c r="H2784" s="561" t="s">
        <v>3976</v>
      </c>
      <c r="I2784" s="562">
        <v>30</v>
      </c>
      <c r="J2784" s="754"/>
      <c r="K2784" s="754">
        <v>90</v>
      </c>
      <c r="L2784" s="754">
        <v>1</v>
      </c>
      <c r="M2784" s="754">
        <f t="shared" si="15"/>
        <v>90</v>
      </c>
      <c r="N2784" s="754"/>
      <c r="O2784" s="563"/>
      <c r="P2784" s="563"/>
      <c r="Q2784" s="563"/>
      <c r="R2784" s="564"/>
      <c r="S2784" s="562"/>
    </row>
    <row r="2785" spans="1:19" x14ac:dyDescent="0.25">
      <c r="A2785" t="s">
        <v>3317</v>
      </c>
      <c r="B2785" s="559" t="s">
        <v>1035</v>
      </c>
      <c r="C2785" s="225"/>
      <c r="D2785" s="607">
        <v>342694</v>
      </c>
      <c r="E2785" s="607">
        <f>VLOOKUP(D2785,'[1]Task list &amp; Maintenace plan'!$B:$G,6,FALSE)</f>
        <v>618</v>
      </c>
      <c r="F2785" s="607" t="s">
        <v>3977</v>
      </c>
      <c r="G2785" s="608" t="s">
        <v>1076</v>
      </c>
      <c r="H2785" s="608" t="s">
        <v>3978</v>
      </c>
      <c r="I2785" s="609">
        <v>30</v>
      </c>
      <c r="J2785" s="610">
        <v>1</v>
      </c>
      <c r="K2785" s="610">
        <f>VLOOKUP(D2785,[2]PC50MZ!$C$6:$I$325,7,FALSE)</f>
        <v>20</v>
      </c>
      <c r="L2785" s="610">
        <v>1</v>
      </c>
      <c r="M2785" s="610">
        <f t="shared" si="15"/>
        <v>20</v>
      </c>
      <c r="N2785" s="610" t="s">
        <v>34</v>
      </c>
      <c r="O2785" s="563"/>
      <c r="P2785" s="563"/>
      <c r="Q2785" s="563"/>
      <c r="R2785" s="611"/>
      <c r="S2785" s="609"/>
    </row>
    <row r="2786" spans="1:19" x14ac:dyDescent="0.25">
      <c r="A2786" t="s">
        <v>3317</v>
      </c>
      <c r="B2786" s="559" t="s">
        <v>1035</v>
      </c>
      <c r="C2786" s="225"/>
      <c r="D2786" s="565">
        <v>610000004044</v>
      </c>
      <c r="E2786" s="565">
        <f>VLOOKUP(D2786,'[1]Task list &amp; Maintenace plan'!$B:$G,6,FALSE)</f>
        <v>100478</v>
      </c>
      <c r="F2786" s="565" t="s">
        <v>3979</v>
      </c>
      <c r="G2786" s="566" t="s">
        <v>3948</v>
      </c>
      <c r="H2786" s="566" t="s">
        <v>3980</v>
      </c>
      <c r="I2786" s="567">
        <v>180</v>
      </c>
      <c r="J2786" s="612">
        <v>1</v>
      </c>
      <c r="K2786" s="612">
        <f>VLOOKUP(D2786,[2]PC50MZ!$C$6:$I$325,7,FALSE)</f>
        <v>60</v>
      </c>
      <c r="L2786" s="612">
        <v>2</v>
      </c>
      <c r="M2786" s="612">
        <f t="shared" si="15"/>
        <v>120</v>
      </c>
      <c r="N2786" s="612" t="s">
        <v>34</v>
      </c>
      <c r="O2786" s="563"/>
      <c r="P2786" s="563"/>
      <c r="Q2786" s="563"/>
      <c r="R2786" s="568"/>
      <c r="S2786" s="567"/>
    </row>
    <row r="2787" spans="1:19" x14ac:dyDescent="0.25">
      <c r="A2787" t="s">
        <v>3317</v>
      </c>
      <c r="B2787" s="559" t="s">
        <v>1035</v>
      </c>
      <c r="C2787" s="225"/>
      <c r="D2787" s="598">
        <v>347640</v>
      </c>
      <c r="E2787" s="598">
        <f>VLOOKUP(D2787,'[1]Task list &amp; Maintenace plan'!$B:$G,6,FALSE)</f>
        <v>1219</v>
      </c>
      <c r="F2787" s="598" t="s">
        <v>3981</v>
      </c>
      <c r="G2787" s="599" t="s">
        <v>1036</v>
      </c>
      <c r="H2787" s="599" t="s">
        <v>3982</v>
      </c>
      <c r="I2787" s="600">
        <v>180</v>
      </c>
      <c r="J2787" s="752">
        <v>1</v>
      </c>
      <c r="K2787" s="752">
        <v>90</v>
      </c>
      <c r="L2787" s="752">
        <v>2</v>
      </c>
      <c r="M2787" s="752">
        <f t="shared" si="15"/>
        <v>180</v>
      </c>
      <c r="N2787" s="752" t="s">
        <v>3174</v>
      </c>
      <c r="O2787" s="563"/>
      <c r="P2787" s="563"/>
      <c r="Q2787" s="563"/>
      <c r="R2787" s="601" t="s">
        <v>3983</v>
      </c>
      <c r="S2787" s="600" t="s">
        <v>3984</v>
      </c>
    </row>
    <row r="2788" spans="1:19" x14ac:dyDescent="0.25">
      <c r="A2788" t="s">
        <v>3317</v>
      </c>
      <c r="B2788" s="559" t="s">
        <v>1035</v>
      </c>
      <c r="C2788" s="225"/>
      <c r="D2788" s="560">
        <v>347640</v>
      </c>
      <c r="E2788" s="560">
        <f>VLOOKUP(D2788,'[1]Task list &amp; Maintenace plan'!$B:$G,6,FALSE)</f>
        <v>1219</v>
      </c>
      <c r="F2788" s="560" t="s">
        <v>3981</v>
      </c>
      <c r="G2788" s="561" t="s">
        <v>1040</v>
      </c>
      <c r="H2788" s="561" t="s">
        <v>3985</v>
      </c>
      <c r="I2788" s="562">
        <v>180</v>
      </c>
      <c r="J2788" s="753">
        <v>1</v>
      </c>
      <c r="K2788" s="753">
        <v>90</v>
      </c>
      <c r="L2788" s="753">
        <v>2</v>
      </c>
      <c r="M2788" s="753">
        <f t="shared" si="15"/>
        <v>180</v>
      </c>
      <c r="N2788" s="753"/>
      <c r="O2788" s="563"/>
      <c r="P2788" s="563"/>
      <c r="Q2788" s="563"/>
      <c r="R2788" s="564" t="s">
        <v>3983</v>
      </c>
      <c r="S2788" s="562" t="s">
        <v>3986</v>
      </c>
    </row>
    <row r="2789" spans="1:19" x14ac:dyDescent="0.25">
      <c r="A2789" t="s">
        <v>3317</v>
      </c>
      <c r="B2789" s="559" t="s">
        <v>1035</v>
      </c>
      <c r="C2789" s="225"/>
      <c r="D2789" s="560">
        <v>347640</v>
      </c>
      <c r="E2789" s="560">
        <f>VLOOKUP(D2789,'[1]Task list &amp; Maintenace plan'!$B:$G,6,FALSE)</f>
        <v>1219</v>
      </c>
      <c r="F2789" s="560" t="s">
        <v>3981</v>
      </c>
      <c r="G2789" s="561" t="s">
        <v>1043</v>
      </c>
      <c r="H2789" s="561" t="s">
        <v>3987</v>
      </c>
      <c r="I2789" s="562">
        <v>180</v>
      </c>
      <c r="J2789" s="753">
        <v>1</v>
      </c>
      <c r="K2789" s="753">
        <v>90</v>
      </c>
      <c r="L2789" s="753">
        <v>2</v>
      </c>
      <c r="M2789" s="753">
        <f t="shared" si="15"/>
        <v>180</v>
      </c>
      <c r="N2789" s="753"/>
      <c r="O2789" s="563"/>
      <c r="P2789" s="563"/>
      <c r="Q2789" s="563"/>
      <c r="R2789" s="564" t="s">
        <v>3988</v>
      </c>
      <c r="S2789" s="562"/>
    </row>
    <row r="2790" spans="1:19" x14ac:dyDescent="0.25">
      <c r="A2790" t="s">
        <v>3317</v>
      </c>
      <c r="B2790" s="559" t="s">
        <v>1035</v>
      </c>
      <c r="C2790" s="225"/>
      <c r="D2790" s="560">
        <v>347640</v>
      </c>
      <c r="E2790" s="560">
        <f>VLOOKUP(D2790,'[1]Task list &amp; Maintenace plan'!$B:$G,6,FALSE)</f>
        <v>1219</v>
      </c>
      <c r="F2790" s="560" t="s">
        <v>3981</v>
      </c>
      <c r="G2790" s="561" t="s">
        <v>1045</v>
      </c>
      <c r="H2790" s="561" t="s">
        <v>3989</v>
      </c>
      <c r="I2790" s="562">
        <v>180</v>
      </c>
      <c r="J2790" s="753">
        <v>1</v>
      </c>
      <c r="K2790" s="753">
        <v>90</v>
      </c>
      <c r="L2790" s="753">
        <v>2</v>
      </c>
      <c r="M2790" s="753">
        <f t="shared" si="15"/>
        <v>180</v>
      </c>
      <c r="N2790" s="753"/>
      <c r="O2790" s="563"/>
      <c r="P2790" s="563"/>
      <c r="Q2790" s="563"/>
      <c r="R2790" s="564" t="s">
        <v>3990</v>
      </c>
      <c r="S2790" s="562" t="s">
        <v>3991</v>
      </c>
    </row>
    <row r="2791" spans="1:19" x14ac:dyDescent="0.25">
      <c r="A2791" t="s">
        <v>3317</v>
      </c>
      <c r="B2791" s="559" t="s">
        <v>1035</v>
      </c>
      <c r="C2791" s="225"/>
      <c r="D2791" s="565">
        <v>347640</v>
      </c>
      <c r="E2791" s="565">
        <f>VLOOKUP(D2791,'[1]Task list &amp; Maintenace plan'!$B:$G,6,FALSE)</f>
        <v>1219</v>
      </c>
      <c r="F2791" s="565" t="s">
        <v>3981</v>
      </c>
      <c r="G2791" s="566" t="s">
        <v>1066</v>
      </c>
      <c r="H2791" s="566" t="s">
        <v>3992</v>
      </c>
      <c r="I2791" s="567">
        <v>180</v>
      </c>
      <c r="J2791" s="754">
        <v>1</v>
      </c>
      <c r="K2791" s="754">
        <v>90</v>
      </c>
      <c r="L2791" s="754">
        <v>2</v>
      </c>
      <c r="M2791" s="754">
        <f t="shared" si="15"/>
        <v>180</v>
      </c>
      <c r="N2791" s="754"/>
      <c r="O2791" s="563"/>
      <c r="P2791" s="563"/>
      <c r="Q2791" s="563"/>
      <c r="R2791" s="568" t="s">
        <v>3988</v>
      </c>
      <c r="S2791" s="567"/>
    </row>
    <row r="2792" spans="1:19" x14ac:dyDescent="0.25">
      <c r="A2792" t="s">
        <v>3317</v>
      </c>
      <c r="B2792" s="559" t="s">
        <v>1035</v>
      </c>
      <c r="C2792" s="225"/>
      <c r="D2792" s="569">
        <v>610000004045</v>
      </c>
      <c r="E2792" s="569">
        <f>VLOOKUP(D2792,'[1]Task list &amp; Maintenace plan'!$B:$G,6,FALSE)</f>
        <v>100479</v>
      </c>
      <c r="F2792" s="569" t="s">
        <v>3993</v>
      </c>
      <c r="G2792" s="570" t="s">
        <v>1069</v>
      </c>
      <c r="H2792" s="570" t="s">
        <v>3994</v>
      </c>
      <c r="I2792" s="571">
        <v>180</v>
      </c>
      <c r="J2792" s="752">
        <v>1</v>
      </c>
      <c r="K2792" s="752">
        <v>180</v>
      </c>
      <c r="L2792" s="752">
        <v>3</v>
      </c>
      <c r="M2792" s="752">
        <f t="shared" si="15"/>
        <v>540</v>
      </c>
      <c r="N2792" s="752" t="s">
        <v>3174</v>
      </c>
      <c r="O2792" s="563"/>
      <c r="P2792" s="563"/>
      <c r="Q2792" s="563"/>
      <c r="R2792" s="572" t="s">
        <v>3254</v>
      </c>
      <c r="S2792" s="571" t="s">
        <v>3995</v>
      </c>
    </row>
    <row r="2793" spans="1:19" x14ac:dyDescent="0.25">
      <c r="A2793" t="s">
        <v>3317</v>
      </c>
      <c r="B2793" s="559" t="s">
        <v>1035</v>
      </c>
      <c r="C2793" s="225"/>
      <c r="D2793" s="560">
        <v>610000004045</v>
      </c>
      <c r="E2793" s="560">
        <f>VLOOKUP(D2793,'[1]Task list &amp; Maintenace plan'!$B:$G,6,FALSE)</f>
        <v>100479</v>
      </c>
      <c r="F2793" s="560" t="s">
        <v>3993</v>
      </c>
      <c r="G2793" s="561" t="s">
        <v>1081</v>
      </c>
      <c r="H2793" s="561" t="s">
        <v>3996</v>
      </c>
      <c r="I2793" s="562">
        <v>180</v>
      </c>
      <c r="J2793" s="753">
        <v>1</v>
      </c>
      <c r="K2793" s="753">
        <v>180</v>
      </c>
      <c r="L2793" s="753">
        <v>3</v>
      </c>
      <c r="M2793" s="753">
        <f t="shared" si="15"/>
        <v>540</v>
      </c>
      <c r="N2793" s="753"/>
      <c r="O2793" s="563"/>
      <c r="P2793" s="563"/>
      <c r="Q2793" s="563"/>
      <c r="R2793" s="564" t="s">
        <v>3254</v>
      </c>
      <c r="S2793" s="562" t="s">
        <v>3995</v>
      </c>
    </row>
    <row r="2794" spans="1:19" x14ac:dyDescent="0.25">
      <c r="A2794" t="s">
        <v>3317</v>
      </c>
      <c r="B2794" s="559" t="s">
        <v>1035</v>
      </c>
      <c r="C2794" s="225"/>
      <c r="D2794" s="560">
        <v>610000004045</v>
      </c>
      <c r="E2794" s="560">
        <f>VLOOKUP(D2794,'[1]Task list &amp; Maintenace plan'!$B:$G,6,FALSE)</f>
        <v>100479</v>
      </c>
      <c r="F2794" s="560" t="s">
        <v>3993</v>
      </c>
      <c r="G2794" s="561" t="s">
        <v>1085</v>
      </c>
      <c r="H2794" s="561" t="s">
        <v>3997</v>
      </c>
      <c r="I2794" s="562">
        <v>180</v>
      </c>
      <c r="J2794" s="753">
        <v>1</v>
      </c>
      <c r="K2794" s="753">
        <v>180</v>
      </c>
      <c r="L2794" s="753">
        <v>3</v>
      </c>
      <c r="M2794" s="753">
        <f t="shared" si="15"/>
        <v>540</v>
      </c>
      <c r="N2794" s="753"/>
      <c r="O2794" s="563"/>
      <c r="P2794" s="563"/>
      <c r="Q2794" s="563"/>
      <c r="R2794" s="564" t="s">
        <v>3642</v>
      </c>
      <c r="S2794" s="562" t="s">
        <v>3998</v>
      </c>
    </row>
    <row r="2795" spans="1:19" x14ac:dyDescent="0.25">
      <c r="A2795" t="s">
        <v>3317</v>
      </c>
      <c r="B2795" s="559" t="s">
        <v>1035</v>
      </c>
      <c r="C2795" s="225"/>
      <c r="D2795" s="560">
        <v>610000004045</v>
      </c>
      <c r="E2795" s="560">
        <f>VLOOKUP(D2795,'[1]Task list &amp; Maintenace plan'!$B:$G,6,FALSE)</f>
        <v>100479</v>
      </c>
      <c r="F2795" s="560" t="s">
        <v>3993</v>
      </c>
      <c r="G2795" s="561" t="s">
        <v>3948</v>
      </c>
      <c r="H2795" s="561" t="s">
        <v>3999</v>
      </c>
      <c r="I2795" s="562">
        <v>180</v>
      </c>
      <c r="J2795" s="753">
        <v>1</v>
      </c>
      <c r="K2795" s="753">
        <v>180</v>
      </c>
      <c r="L2795" s="753">
        <v>3</v>
      </c>
      <c r="M2795" s="753">
        <f t="shared" si="15"/>
        <v>540</v>
      </c>
      <c r="N2795" s="753"/>
      <c r="O2795" s="563"/>
      <c r="P2795" s="563"/>
      <c r="Q2795" s="563"/>
      <c r="R2795" s="564" t="s">
        <v>3376</v>
      </c>
      <c r="S2795" s="562"/>
    </row>
    <row r="2796" spans="1:19" x14ac:dyDescent="0.25">
      <c r="A2796" t="s">
        <v>3317</v>
      </c>
      <c r="B2796" s="559" t="s">
        <v>1035</v>
      </c>
      <c r="C2796" s="225"/>
      <c r="D2796" s="560">
        <v>610000004045</v>
      </c>
      <c r="E2796" s="560">
        <f>VLOOKUP(D2796,'[1]Task list &amp; Maintenace plan'!$B:$G,6,FALSE)</f>
        <v>100479</v>
      </c>
      <c r="F2796" s="560" t="s">
        <v>3993</v>
      </c>
      <c r="G2796" s="561" t="s">
        <v>1071</v>
      </c>
      <c r="H2796" s="561" t="s">
        <v>4000</v>
      </c>
      <c r="I2796" s="562">
        <v>180</v>
      </c>
      <c r="J2796" s="753">
        <v>1</v>
      </c>
      <c r="K2796" s="753">
        <v>180</v>
      </c>
      <c r="L2796" s="753">
        <v>3</v>
      </c>
      <c r="M2796" s="753">
        <f t="shared" si="15"/>
        <v>540</v>
      </c>
      <c r="N2796" s="753"/>
      <c r="O2796" s="563"/>
      <c r="P2796" s="563"/>
      <c r="Q2796" s="563"/>
      <c r="R2796" s="564" t="s">
        <v>3254</v>
      </c>
      <c r="S2796" s="562"/>
    </row>
    <row r="2797" spans="1:19" x14ac:dyDescent="0.25">
      <c r="A2797" t="s">
        <v>3317</v>
      </c>
      <c r="B2797" s="559" t="s">
        <v>1035</v>
      </c>
      <c r="C2797" s="225"/>
      <c r="D2797" s="560">
        <v>610000004045</v>
      </c>
      <c r="E2797" s="560">
        <f>VLOOKUP(D2797,'[1]Task list &amp; Maintenace plan'!$B:$G,6,FALSE)</f>
        <v>100479</v>
      </c>
      <c r="F2797" s="560" t="s">
        <v>3993</v>
      </c>
      <c r="G2797" s="561" t="s">
        <v>1071</v>
      </c>
      <c r="H2797" s="561" t="s">
        <v>4001</v>
      </c>
      <c r="I2797" s="562">
        <v>180</v>
      </c>
      <c r="J2797" s="753">
        <v>1</v>
      </c>
      <c r="K2797" s="753">
        <v>180</v>
      </c>
      <c r="L2797" s="753">
        <v>3</v>
      </c>
      <c r="M2797" s="753">
        <f t="shared" si="15"/>
        <v>540</v>
      </c>
      <c r="N2797" s="753"/>
      <c r="O2797" s="563"/>
      <c r="P2797" s="563"/>
      <c r="Q2797" s="563"/>
      <c r="R2797" s="564" t="s">
        <v>3642</v>
      </c>
      <c r="S2797" s="562" t="s">
        <v>3995</v>
      </c>
    </row>
    <row r="2798" spans="1:19" x14ac:dyDescent="0.25">
      <c r="A2798" t="s">
        <v>3317</v>
      </c>
      <c r="B2798" s="559" t="s">
        <v>1035</v>
      </c>
      <c r="C2798" s="225"/>
      <c r="D2798" s="560">
        <v>610000004045</v>
      </c>
      <c r="E2798" s="560">
        <f>VLOOKUP(D2798,'[1]Task list &amp; Maintenace plan'!$B:$G,6,FALSE)</f>
        <v>100479</v>
      </c>
      <c r="F2798" s="560" t="s">
        <v>3993</v>
      </c>
      <c r="G2798" s="561" t="s">
        <v>1073</v>
      </c>
      <c r="H2798" s="561" t="s">
        <v>4002</v>
      </c>
      <c r="I2798" s="562">
        <v>180</v>
      </c>
      <c r="J2798" s="753">
        <v>1</v>
      </c>
      <c r="K2798" s="753">
        <v>180</v>
      </c>
      <c r="L2798" s="753">
        <v>3</v>
      </c>
      <c r="M2798" s="753">
        <f t="shared" si="15"/>
        <v>540</v>
      </c>
      <c r="N2798" s="753"/>
      <c r="O2798" s="563"/>
      <c r="P2798" s="563"/>
      <c r="Q2798" s="563"/>
      <c r="R2798" s="564" t="s">
        <v>4003</v>
      </c>
      <c r="S2798" s="562" t="s">
        <v>3984</v>
      </c>
    </row>
    <row r="2799" spans="1:19" x14ac:dyDescent="0.25">
      <c r="A2799" t="s">
        <v>3317</v>
      </c>
      <c r="B2799" s="559" t="s">
        <v>1035</v>
      </c>
      <c r="C2799" s="225"/>
      <c r="D2799" s="560">
        <v>610000004045</v>
      </c>
      <c r="E2799" s="560">
        <f>VLOOKUP(D2799,'[1]Task list &amp; Maintenace plan'!$B:$G,6,FALSE)</f>
        <v>100479</v>
      </c>
      <c r="F2799" s="560" t="s">
        <v>3993</v>
      </c>
      <c r="G2799" s="561" t="s">
        <v>1083</v>
      </c>
      <c r="H2799" s="561" t="s">
        <v>4004</v>
      </c>
      <c r="I2799" s="562">
        <v>180</v>
      </c>
      <c r="J2799" s="753">
        <v>1</v>
      </c>
      <c r="K2799" s="753">
        <v>180</v>
      </c>
      <c r="L2799" s="753">
        <v>3</v>
      </c>
      <c r="M2799" s="753">
        <f t="shared" si="15"/>
        <v>540</v>
      </c>
      <c r="N2799" s="753"/>
      <c r="O2799" s="563"/>
      <c r="P2799" s="563"/>
      <c r="Q2799" s="563"/>
      <c r="R2799" s="564" t="s">
        <v>3254</v>
      </c>
      <c r="S2799" s="562" t="s">
        <v>4005</v>
      </c>
    </row>
    <row r="2800" spans="1:19" x14ac:dyDescent="0.25">
      <c r="A2800" t="s">
        <v>3317</v>
      </c>
      <c r="B2800" s="559" t="s">
        <v>1035</v>
      </c>
      <c r="C2800" s="225"/>
      <c r="D2800" s="560">
        <v>610000004045</v>
      </c>
      <c r="E2800" s="560">
        <f>VLOOKUP(D2800,'[1]Task list &amp; Maintenace plan'!$B:$G,6,FALSE)</f>
        <v>100479</v>
      </c>
      <c r="F2800" s="560" t="s">
        <v>3993</v>
      </c>
      <c r="G2800" s="561" t="s">
        <v>4006</v>
      </c>
      <c r="H2800" s="561" t="s">
        <v>4007</v>
      </c>
      <c r="I2800" s="562">
        <v>180</v>
      </c>
      <c r="J2800" s="753">
        <v>1</v>
      </c>
      <c r="K2800" s="753">
        <v>180</v>
      </c>
      <c r="L2800" s="753">
        <v>3</v>
      </c>
      <c r="M2800" s="753">
        <f t="shared" si="15"/>
        <v>540</v>
      </c>
      <c r="N2800" s="753"/>
      <c r="O2800" s="563"/>
      <c r="P2800" s="563"/>
      <c r="Q2800" s="563"/>
      <c r="R2800" s="564" t="s">
        <v>4003</v>
      </c>
      <c r="S2800" s="562" t="s">
        <v>3986</v>
      </c>
    </row>
    <row r="2801" spans="1:19" x14ac:dyDescent="0.25">
      <c r="A2801" t="s">
        <v>3317</v>
      </c>
      <c r="B2801" s="559" t="s">
        <v>1035</v>
      </c>
      <c r="C2801" s="225"/>
      <c r="D2801" s="560">
        <v>610000004045</v>
      </c>
      <c r="E2801" s="560">
        <f>VLOOKUP(D2801,'[1]Task list &amp; Maintenace plan'!$B:$G,6,FALSE)</f>
        <v>100479</v>
      </c>
      <c r="F2801" s="560" t="s">
        <v>3993</v>
      </c>
      <c r="G2801" s="561" t="s">
        <v>1087</v>
      </c>
      <c r="H2801" s="561" t="s">
        <v>4008</v>
      </c>
      <c r="I2801" s="562">
        <v>180</v>
      </c>
      <c r="J2801" s="753">
        <v>1</v>
      </c>
      <c r="K2801" s="753">
        <v>180</v>
      </c>
      <c r="L2801" s="753">
        <v>3</v>
      </c>
      <c r="M2801" s="753">
        <f t="shared" si="15"/>
        <v>540</v>
      </c>
      <c r="N2801" s="753"/>
      <c r="O2801" s="563"/>
      <c r="P2801" s="563"/>
      <c r="Q2801" s="563"/>
      <c r="R2801" s="564" t="s">
        <v>4003</v>
      </c>
      <c r="S2801" s="562" t="s">
        <v>3986</v>
      </c>
    </row>
    <row r="2802" spans="1:19" x14ac:dyDescent="0.25">
      <c r="A2802" t="s">
        <v>3317</v>
      </c>
      <c r="B2802" s="559" t="s">
        <v>1035</v>
      </c>
      <c r="C2802" s="225"/>
      <c r="D2802" s="560">
        <v>610000004045</v>
      </c>
      <c r="E2802" s="560">
        <f>VLOOKUP(D2802,'[1]Task list &amp; Maintenace plan'!$B:$G,6,FALSE)</f>
        <v>100479</v>
      </c>
      <c r="F2802" s="560" t="s">
        <v>3993</v>
      </c>
      <c r="G2802" s="561" t="s">
        <v>1075</v>
      </c>
      <c r="H2802" s="561" t="s">
        <v>4009</v>
      </c>
      <c r="I2802" s="562">
        <v>180</v>
      </c>
      <c r="J2802" s="753">
        <v>1</v>
      </c>
      <c r="K2802" s="753">
        <v>180</v>
      </c>
      <c r="L2802" s="753">
        <v>3</v>
      </c>
      <c r="M2802" s="753">
        <f t="shared" si="15"/>
        <v>540</v>
      </c>
      <c r="N2802" s="753"/>
      <c r="O2802" s="563"/>
      <c r="P2802" s="563"/>
      <c r="Q2802" s="563"/>
      <c r="R2802" s="564" t="s">
        <v>3254</v>
      </c>
      <c r="S2802" s="562" t="s">
        <v>3872</v>
      </c>
    </row>
    <row r="2803" spans="1:19" x14ac:dyDescent="0.25">
      <c r="A2803" t="s">
        <v>3317</v>
      </c>
      <c r="B2803" s="559" t="s">
        <v>1035</v>
      </c>
      <c r="C2803" s="225"/>
      <c r="D2803" s="565">
        <v>610000004045</v>
      </c>
      <c r="E2803" s="565">
        <f>VLOOKUP(D2803,'[1]Task list &amp; Maintenace plan'!$B:$G,6,FALSE)</f>
        <v>100479</v>
      </c>
      <c r="F2803" s="565" t="s">
        <v>3993</v>
      </c>
      <c r="G2803" s="566" t="s">
        <v>1076</v>
      </c>
      <c r="H2803" s="566" t="s">
        <v>4010</v>
      </c>
      <c r="I2803" s="567">
        <v>180</v>
      </c>
      <c r="J2803" s="754">
        <v>1</v>
      </c>
      <c r="K2803" s="754">
        <v>180</v>
      </c>
      <c r="L2803" s="754">
        <v>3</v>
      </c>
      <c r="M2803" s="754">
        <f t="shared" si="15"/>
        <v>540</v>
      </c>
      <c r="N2803" s="754"/>
      <c r="O2803" s="563"/>
      <c r="P2803" s="563"/>
      <c r="Q2803" s="563"/>
      <c r="R2803" s="568" t="s">
        <v>3254</v>
      </c>
      <c r="S2803" s="567" t="s">
        <v>3872</v>
      </c>
    </row>
    <row r="2804" spans="1:19" x14ac:dyDescent="0.25">
      <c r="A2804" t="s">
        <v>3317</v>
      </c>
      <c r="B2804" s="559" t="s">
        <v>1035</v>
      </c>
      <c r="C2804" s="225"/>
      <c r="D2804" s="573">
        <v>610000004047</v>
      </c>
      <c r="E2804" s="573">
        <f>VLOOKUP(D2804,'[1]Task list &amp; Maintenace plan'!$B:$G,6,FALSE)</f>
        <v>100481</v>
      </c>
      <c r="F2804" s="573" t="s">
        <v>4011</v>
      </c>
      <c r="G2804" s="574" t="s">
        <v>1085</v>
      </c>
      <c r="H2804" s="574" t="s">
        <v>4012</v>
      </c>
      <c r="I2804" s="575">
        <v>365</v>
      </c>
      <c r="J2804" s="576">
        <v>1</v>
      </c>
      <c r="K2804" s="576">
        <f>VLOOKUP(D2804,[2]PC50MZ!$C$6:$I$325,7,FALSE)</f>
        <v>480</v>
      </c>
      <c r="L2804" s="576">
        <v>6</v>
      </c>
      <c r="M2804" s="576">
        <f t="shared" si="15"/>
        <v>2880</v>
      </c>
      <c r="N2804" s="576" t="s">
        <v>468</v>
      </c>
      <c r="O2804" s="563"/>
      <c r="P2804" s="563"/>
      <c r="Q2804" s="563"/>
      <c r="R2804" s="577" t="s">
        <v>4013</v>
      </c>
      <c r="S2804" s="575" t="s">
        <v>3186</v>
      </c>
    </row>
    <row r="2805" spans="1:19" x14ac:dyDescent="0.25">
      <c r="A2805" t="s">
        <v>3317</v>
      </c>
      <c r="B2805" s="559" t="s">
        <v>1035</v>
      </c>
      <c r="C2805" s="225"/>
      <c r="D2805" s="607">
        <v>610000004048</v>
      </c>
      <c r="E2805" s="607">
        <f>VLOOKUP(D2805,'[1]Task list &amp; Maintenace plan'!$B:$G,6,FALSE)</f>
        <v>100482</v>
      </c>
      <c r="F2805" s="607" t="s">
        <v>4014</v>
      </c>
      <c r="G2805" s="608" t="s">
        <v>1069</v>
      </c>
      <c r="H2805" s="608" t="s">
        <v>4015</v>
      </c>
      <c r="I2805" s="609">
        <v>365</v>
      </c>
      <c r="J2805" s="610">
        <v>1</v>
      </c>
      <c r="K2805" s="610">
        <v>480</v>
      </c>
      <c r="L2805" s="610">
        <v>6</v>
      </c>
      <c r="M2805" s="610">
        <f t="shared" si="15"/>
        <v>2880</v>
      </c>
      <c r="N2805" s="610" t="s">
        <v>468</v>
      </c>
      <c r="O2805" s="563"/>
      <c r="P2805" s="563"/>
      <c r="Q2805" s="563"/>
      <c r="R2805" s="611" t="s">
        <v>4016</v>
      </c>
      <c r="S2805" s="609" t="s">
        <v>3186</v>
      </c>
    </row>
    <row r="2806" spans="1:19" x14ac:dyDescent="0.25">
      <c r="A2806" t="s">
        <v>3317</v>
      </c>
      <c r="B2806" s="559" t="s">
        <v>1035</v>
      </c>
      <c r="C2806" s="225"/>
      <c r="D2806" s="598">
        <v>610000004049</v>
      </c>
      <c r="E2806" s="598">
        <f>VLOOKUP(D2806,'[1]Task list &amp; Maintenace plan'!$B:$G,6,FALSE)</f>
        <v>100483</v>
      </c>
      <c r="F2806" s="598" t="s">
        <v>4017</v>
      </c>
      <c r="G2806" s="599" t="s">
        <v>1043</v>
      </c>
      <c r="H2806" s="599" t="s">
        <v>4018</v>
      </c>
      <c r="I2806" s="600">
        <v>180</v>
      </c>
      <c r="J2806" s="752">
        <v>1</v>
      </c>
      <c r="K2806" s="752">
        <v>120</v>
      </c>
      <c r="L2806" s="752">
        <v>2</v>
      </c>
      <c r="M2806" s="752">
        <f t="shared" si="15"/>
        <v>240</v>
      </c>
      <c r="N2806" s="752" t="s">
        <v>468</v>
      </c>
      <c r="O2806" s="563"/>
      <c r="P2806" s="563"/>
      <c r="Q2806" s="563"/>
      <c r="R2806" s="601"/>
      <c r="S2806" s="600"/>
    </row>
    <row r="2807" spans="1:19" x14ac:dyDescent="0.25">
      <c r="A2807" t="s">
        <v>3317</v>
      </c>
      <c r="B2807" s="559" t="s">
        <v>1035</v>
      </c>
      <c r="C2807" s="225"/>
      <c r="D2807" s="560">
        <v>610000004049</v>
      </c>
      <c r="E2807" s="560">
        <f>VLOOKUP(D2807,'[1]Task list &amp; Maintenace plan'!$B:$G,6,FALSE)</f>
        <v>100483</v>
      </c>
      <c r="F2807" s="560" t="s">
        <v>4017</v>
      </c>
      <c r="G2807" s="561" t="s">
        <v>1066</v>
      </c>
      <c r="H2807" s="561" t="s">
        <v>4019</v>
      </c>
      <c r="I2807" s="562">
        <v>180</v>
      </c>
      <c r="J2807" s="753">
        <v>1</v>
      </c>
      <c r="K2807" s="753">
        <v>120</v>
      </c>
      <c r="L2807" s="753">
        <v>2</v>
      </c>
      <c r="M2807" s="753">
        <f t="shared" si="15"/>
        <v>240</v>
      </c>
      <c r="N2807" s="753"/>
      <c r="O2807" s="563"/>
      <c r="P2807" s="563"/>
      <c r="Q2807" s="563"/>
      <c r="R2807" s="564"/>
      <c r="S2807" s="562"/>
    </row>
    <row r="2808" spans="1:19" x14ac:dyDescent="0.25">
      <c r="A2808" t="s">
        <v>3317</v>
      </c>
      <c r="B2808" s="559" t="s">
        <v>1035</v>
      </c>
      <c r="C2808" s="225"/>
      <c r="D2808" s="560">
        <v>610000004049</v>
      </c>
      <c r="E2808" s="560">
        <f>VLOOKUP(D2808,'[1]Task list &amp; Maintenace plan'!$B:$G,6,FALSE)</f>
        <v>100483</v>
      </c>
      <c r="F2808" s="560" t="s">
        <v>4017</v>
      </c>
      <c r="G2808" s="561" t="s">
        <v>1073</v>
      </c>
      <c r="H2808" s="561" t="s">
        <v>4020</v>
      </c>
      <c r="I2808" s="562">
        <v>180</v>
      </c>
      <c r="J2808" s="753">
        <v>1</v>
      </c>
      <c r="K2808" s="753">
        <v>120</v>
      </c>
      <c r="L2808" s="753">
        <v>2</v>
      </c>
      <c r="M2808" s="753">
        <f t="shared" si="15"/>
        <v>240</v>
      </c>
      <c r="N2808" s="753"/>
      <c r="O2808" s="563"/>
      <c r="P2808" s="563"/>
      <c r="Q2808" s="563"/>
      <c r="R2808" s="564" t="s">
        <v>4021</v>
      </c>
      <c r="S2808" s="562"/>
    </row>
    <row r="2809" spans="1:19" x14ac:dyDescent="0.25">
      <c r="A2809" t="s">
        <v>3317</v>
      </c>
      <c r="B2809" s="559" t="s">
        <v>1035</v>
      </c>
      <c r="C2809" s="225"/>
      <c r="D2809" s="565">
        <v>610000004049</v>
      </c>
      <c r="E2809" s="565">
        <f>VLOOKUP(D2809,'[1]Task list &amp; Maintenace plan'!$B:$G,6,FALSE)</f>
        <v>100483</v>
      </c>
      <c r="F2809" s="565" t="s">
        <v>4017</v>
      </c>
      <c r="G2809" s="566" t="s">
        <v>1087</v>
      </c>
      <c r="H2809" s="566" t="s">
        <v>4022</v>
      </c>
      <c r="I2809" s="567">
        <v>180</v>
      </c>
      <c r="J2809" s="754">
        <v>1</v>
      </c>
      <c r="K2809" s="754">
        <v>120</v>
      </c>
      <c r="L2809" s="754">
        <v>2</v>
      </c>
      <c r="M2809" s="754">
        <f t="shared" si="15"/>
        <v>240</v>
      </c>
      <c r="N2809" s="754"/>
      <c r="O2809" s="563"/>
      <c r="P2809" s="563"/>
      <c r="Q2809" s="563"/>
      <c r="R2809" s="568" t="s">
        <v>4023</v>
      </c>
      <c r="S2809" s="567"/>
    </row>
    <row r="2810" spans="1:19" x14ac:dyDescent="0.25">
      <c r="A2810" t="s">
        <v>3317</v>
      </c>
      <c r="B2810" s="559" t="s">
        <v>1035</v>
      </c>
      <c r="C2810" s="225"/>
      <c r="D2810" s="607">
        <v>342336</v>
      </c>
      <c r="E2810" s="573">
        <f>VLOOKUP(D2810,'[1]Task list &amp; Maintenace plan'!$B:$G,6,FALSE)</f>
        <v>499</v>
      </c>
      <c r="F2810" s="607" t="s">
        <v>4024</v>
      </c>
      <c r="G2810" s="574" t="s">
        <v>1085</v>
      </c>
      <c r="H2810" s="608" t="s">
        <v>4025</v>
      </c>
      <c r="I2810" s="609">
        <v>365</v>
      </c>
      <c r="J2810" s="610">
        <v>1</v>
      </c>
      <c r="K2810" s="610">
        <f>VLOOKUP(D2810,[2]PC50MZ!$C$6:$I$325,7,FALSE)</f>
        <v>360</v>
      </c>
      <c r="L2810" s="610">
        <v>6</v>
      </c>
      <c r="M2810" s="610">
        <f t="shared" si="15"/>
        <v>2160</v>
      </c>
      <c r="N2810" s="610" t="s">
        <v>468</v>
      </c>
      <c r="O2810" s="563"/>
      <c r="P2810" s="563"/>
      <c r="Q2810" s="563"/>
      <c r="R2810" s="611"/>
      <c r="S2810" s="609"/>
    </row>
    <row r="2811" spans="1:19" ht="15.75" thickBot="1" x14ac:dyDescent="0.3">
      <c r="A2811" t="s">
        <v>3317</v>
      </c>
      <c r="B2811" s="559" t="s">
        <v>1035</v>
      </c>
      <c r="C2811" s="225"/>
      <c r="D2811" s="583">
        <v>342337</v>
      </c>
      <c r="E2811" s="583">
        <f>VLOOKUP(D2811,'[1]Task list &amp; Maintenace plan'!$B:$G,6,FALSE)</f>
        <v>500</v>
      </c>
      <c r="F2811" s="583" t="s">
        <v>4026</v>
      </c>
      <c r="G2811" s="584" t="s">
        <v>1069</v>
      </c>
      <c r="H2811" s="584" t="s">
        <v>4027</v>
      </c>
      <c r="I2811" s="585">
        <v>365</v>
      </c>
      <c r="J2811" s="586">
        <v>1</v>
      </c>
      <c r="K2811" s="586">
        <f>VLOOKUP(D2811,[2]PC50MZ!$C$6:$I$325,7,FALSE)</f>
        <v>360</v>
      </c>
      <c r="L2811" s="586">
        <v>6</v>
      </c>
      <c r="M2811" s="586">
        <f t="shared" si="15"/>
        <v>2160</v>
      </c>
      <c r="N2811" s="586" t="s">
        <v>468</v>
      </c>
      <c r="O2811" s="563"/>
      <c r="P2811" s="563"/>
      <c r="Q2811" s="563"/>
      <c r="R2811" s="587"/>
      <c r="S2811" s="585"/>
    </row>
    <row r="2812" spans="1:19" ht="15.75" thickBot="1" x14ac:dyDescent="0.3">
      <c r="A2812" t="s">
        <v>3317</v>
      </c>
      <c r="B2812" s="613" t="s">
        <v>1160</v>
      </c>
      <c r="C2812" s="614"/>
      <c r="D2812" s="593">
        <v>610000004050</v>
      </c>
      <c r="E2812" s="593">
        <f>VLOOKUP(D2812,'[1]Task list &amp; Maintenace plan'!$B:$G,6,FALSE)</f>
        <v>100484</v>
      </c>
      <c r="F2812" s="593" t="s">
        <v>4028</v>
      </c>
      <c r="G2812" s="594" t="s">
        <v>1161</v>
      </c>
      <c r="H2812" s="594" t="s">
        <v>4029</v>
      </c>
      <c r="I2812" s="595">
        <v>15</v>
      </c>
      <c r="J2812" s="596">
        <v>1</v>
      </c>
      <c r="K2812" s="596">
        <f>VLOOKUP(D2812,[2]PC50MZ!$C$6:$I$325,7,FALSE)</f>
        <v>30</v>
      </c>
      <c r="L2812" s="596">
        <v>1</v>
      </c>
      <c r="M2812" s="596">
        <f t="shared" si="15"/>
        <v>30</v>
      </c>
      <c r="N2812" s="596" t="s">
        <v>34</v>
      </c>
      <c r="O2812" s="563"/>
      <c r="P2812" s="563"/>
      <c r="Q2812" s="563"/>
      <c r="R2812" s="597"/>
      <c r="S2812" s="595"/>
    </row>
    <row r="2813" spans="1:19" ht="15.75" thickBot="1" x14ac:dyDescent="0.3">
      <c r="A2813" t="s">
        <v>3317</v>
      </c>
      <c r="B2813" s="613" t="s">
        <v>1160</v>
      </c>
      <c r="C2813" s="225"/>
      <c r="D2813" s="569">
        <v>610000004051</v>
      </c>
      <c r="E2813" s="569">
        <f>VLOOKUP(D2813,'[1]Task list &amp; Maintenace plan'!$B:$G,6,FALSE)</f>
        <v>100485</v>
      </c>
      <c r="F2813" s="569" t="s">
        <v>4030</v>
      </c>
      <c r="G2813" s="570" t="s">
        <v>1169</v>
      </c>
      <c r="H2813" s="570" t="s">
        <v>4031</v>
      </c>
      <c r="I2813" s="571">
        <v>15</v>
      </c>
      <c r="J2813" s="752"/>
      <c r="K2813" s="752">
        <f>VLOOKUP(D2813,[2]PC50MZ!$C$6:$I$325,7,FALSE)</f>
        <v>15</v>
      </c>
      <c r="L2813" s="752">
        <v>1</v>
      </c>
      <c r="M2813" s="752">
        <f t="shared" si="15"/>
        <v>15</v>
      </c>
      <c r="N2813" s="752" t="s">
        <v>3174</v>
      </c>
      <c r="O2813" s="563"/>
      <c r="P2813" s="563"/>
      <c r="Q2813" s="563"/>
      <c r="R2813" s="572" t="s">
        <v>3159</v>
      </c>
      <c r="S2813" s="571"/>
    </row>
    <row r="2814" spans="1:19" ht="15.75" thickBot="1" x14ac:dyDescent="0.3">
      <c r="A2814" t="s">
        <v>3317</v>
      </c>
      <c r="B2814" s="613" t="s">
        <v>1160</v>
      </c>
      <c r="C2814" s="225"/>
      <c r="D2814" s="560">
        <v>610000004051</v>
      </c>
      <c r="E2814" s="560">
        <f>VLOOKUP(D2814,'[1]Task list &amp; Maintenace plan'!$B:$G,6,FALSE)</f>
        <v>100485</v>
      </c>
      <c r="F2814" s="560" t="s">
        <v>4030</v>
      </c>
      <c r="G2814" s="561" t="s">
        <v>1166</v>
      </c>
      <c r="H2814" s="561" t="s">
        <v>4032</v>
      </c>
      <c r="I2814" s="562">
        <v>15</v>
      </c>
      <c r="J2814" s="753"/>
      <c r="K2814" s="753">
        <f>VLOOKUP(D2814,[2]PC50MZ!$C$6:$I$325,7,FALSE)</f>
        <v>15</v>
      </c>
      <c r="L2814" s="753">
        <v>1</v>
      </c>
      <c r="M2814" s="753">
        <f t="shared" si="15"/>
        <v>15</v>
      </c>
      <c r="N2814" s="753"/>
      <c r="O2814" s="563"/>
      <c r="P2814" s="563"/>
      <c r="Q2814" s="563"/>
      <c r="R2814" s="564" t="s">
        <v>3159</v>
      </c>
      <c r="S2814" s="562"/>
    </row>
    <row r="2815" spans="1:19" ht="15.75" thickBot="1" x14ac:dyDescent="0.3">
      <c r="A2815" t="s">
        <v>3317</v>
      </c>
      <c r="B2815" s="613" t="s">
        <v>1160</v>
      </c>
      <c r="C2815" s="225"/>
      <c r="D2815" s="560">
        <v>610000004051</v>
      </c>
      <c r="E2815" s="560">
        <f>VLOOKUP(D2815,'[1]Task list &amp; Maintenace plan'!$B:$G,6,FALSE)</f>
        <v>100485</v>
      </c>
      <c r="F2815" s="560" t="s">
        <v>4030</v>
      </c>
      <c r="G2815" s="561" t="s">
        <v>1175</v>
      </c>
      <c r="H2815" s="561" t="s">
        <v>4033</v>
      </c>
      <c r="I2815" s="562">
        <v>15</v>
      </c>
      <c r="J2815" s="753"/>
      <c r="K2815" s="753">
        <f>VLOOKUP(D2815,[2]PC50MZ!$C$6:$I$325,7,FALSE)</f>
        <v>15</v>
      </c>
      <c r="L2815" s="753">
        <v>1</v>
      </c>
      <c r="M2815" s="753">
        <f t="shared" si="15"/>
        <v>15</v>
      </c>
      <c r="N2815" s="753"/>
      <c r="O2815" s="563"/>
      <c r="P2815" s="563"/>
      <c r="Q2815" s="563"/>
      <c r="R2815" s="564" t="s">
        <v>3159</v>
      </c>
      <c r="S2815" s="562"/>
    </row>
    <row r="2816" spans="1:19" ht="15.75" thickBot="1" x14ac:dyDescent="0.3">
      <c r="A2816" t="s">
        <v>3317</v>
      </c>
      <c r="B2816" s="613" t="s">
        <v>1160</v>
      </c>
      <c r="C2816" s="225"/>
      <c r="D2816" s="565">
        <v>610000004051</v>
      </c>
      <c r="E2816" s="565">
        <f>VLOOKUP(D2816,'[1]Task list &amp; Maintenace plan'!$B:$G,6,FALSE)</f>
        <v>100485</v>
      </c>
      <c r="F2816" s="565" t="s">
        <v>4030</v>
      </c>
      <c r="G2816" s="566" t="s">
        <v>1177</v>
      </c>
      <c r="H2816" s="566" t="s">
        <v>4034</v>
      </c>
      <c r="I2816" s="567">
        <v>15</v>
      </c>
      <c r="J2816" s="754"/>
      <c r="K2816" s="754">
        <f>VLOOKUP(D2816,[2]PC50MZ!$C$6:$J$325,7,FALSE)</f>
        <v>15</v>
      </c>
      <c r="L2816" s="754">
        <v>1</v>
      </c>
      <c r="M2816" s="754">
        <f t="shared" si="15"/>
        <v>15</v>
      </c>
      <c r="N2816" s="754"/>
      <c r="O2816" s="563"/>
      <c r="P2816" s="563"/>
      <c r="Q2816" s="563"/>
      <c r="R2816" s="568" t="s">
        <v>3159</v>
      </c>
      <c r="S2816" s="567"/>
    </row>
    <row r="2817" spans="1:19" ht="15.75" thickBot="1" x14ac:dyDescent="0.3">
      <c r="A2817" t="s">
        <v>3317</v>
      </c>
      <c r="B2817" s="613" t="s">
        <v>1160</v>
      </c>
      <c r="C2817" s="225"/>
      <c r="D2817" s="569">
        <v>610000004052</v>
      </c>
      <c r="E2817" s="569">
        <f>VLOOKUP(D2817,'[1]Task list &amp; Maintenace plan'!$B:$G,6,FALSE)</f>
        <v>100486</v>
      </c>
      <c r="F2817" s="569" t="s">
        <v>4035</v>
      </c>
      <c r="G2817" s="570" t="s">
        <v>1172</v>
      </c>
      <c r="H2817" s="570" t="s">
        <v>4036</v>
      </c>
      <c r="I2817" s="571">
        <v>30</v>
      </c>
      <c r="J2817" s="752"/>
      <c r="K2817" s="752">
        <f>VLOOKUP(D2817,[2]PC50MZ!$C$6:$J$325,7,FALSE)</f>
        <v>30</v>
      </c>
      <c r="L2817" s="752">
        <v>1</v>
      </c>
      <c r="M2817" s="752">
        <f t="shared" si="15"/>
        <v>30</v>
      </c>
      <c r="N2817" s="752" t="s">
        <v>34</v>
      </c>
      <c r="O2817" s="563"/>
      <c r="P2817" s="563"/>
      <c r="Q2817" s="563"/>
      <c r="R2817" s="572"/>
      <c r="S2817" s="571"/>
    </row>
    <row r="2818" spans="1:19" ht="15.75" thickBot="1" x14ac:dyDescent="0.3">
      <c r="A2818" t="s">
        <v>3317</v>
      </c>
      <c r="B2818" s="613" t="s">
        <v>1160</v>
      </c>
      <c r="C2818" s="225"/>
      <c r="D2818" s="565">
        <v>610000004052</v>
      </c>
      <c r="E2818" s="565">
        <f>VLOOKUP(D2818,'[1]Task list &amp; Maintenace plan'!$B:$G,6,FALSE)</f>
        <v>100486</v>
      </c>
      <c r="F2818" s="565" t="s">
        <v>4035</v>
      </c>
      <c r="G2818" s="566" t="s">
        <v>1178</v>
      </c>
      <c r="H2818" s="566" t="s">
        <v>4037</v>
      </c>
      <c r="I2818" s="567">
        <v>30</v>
      </c>
      <c r="J2818" s="754"/>
      <c r="K2818" s="754">
        <f>VLOOKUP(D2818,[2]PC50MZ!$C$6:$J$325,7,FALSE)</f>
        <v>30</v>
      </c>
      <c r="L2818" s="754">
        <v>1</v>
      </c>
      <c r="M2818" s="754">
        <f t="shared" si="15"/>
        <v>30</v>
      </c>
      <c r="N2818" s="754"/>
      <c r="O2818" s="563"/>
      <c r="P2818" s="563"/>
      <c r="Q2818" s="563"/>
      <c r="R2818" s="568"/>
      <c r="S2818" s="567"/>
    </row>
    <row r="2819" spans="1:19" ht="15.75" thickBot="1" x14ac:dyDescent="0.3">
      <c r="A2819" t="s">
        <v>3317</v>
      </c>
      <c r="B2819" s="613" t="s">
        <v>1160</v>
      </c>
      <c r="C2819" s="225"/>
      <c r="D2819" s="598">
        <v>610000004053</v>
      </c>
      <c r="E2819" s="598">
        <f>VLOOKUP(D2819,'[1]Task list &amp; Maintenace plan'!$B:$G,6,FALSE)</f>
        <v>100487</v>
      </c>
      <c r="F2819" s="598" t="s">
        <v>4038</v>
      </c>
      <c r="G2819" s="599" t="s">
        <v>1175</v>
      </c>
      <c r="H2819" s="599" t="s">
        <v>4039</v>
      </c>
      <c r="I2819" s="600">
        <v>30</v>
      </c>
      <c r="J2819" s="752">
        <v>1</v>
      </c>
      <c r="K2819" s="752">
        <f>VLOOKUP(D2819,[2]PC50MZ!$C$6:$J$325,7,FALSE)</f>
        <v>30</v>
      </c>
      <c r="L2819" s="752">
        <v>1</v>
      </c>
      <c r="M2819" s="752">
        <f t="shared" si="15"/>
        <v>30</v>
      </c>
      <c r="N2819" s="752" t="s">
        <v>20</v>
      </c>
      <c r="O2819" s="563"/>
      <c r="P2819" s="563"/>
      <c r="Q2819" s="563"/>
      <c r="R2819" s="601" t="s">
        <v>3924</v>
      </c>
      <c r="S2819" s="600"/>
    </row>
    <row r="2820" spans="1:19" ht="15.75" thickBot="1" x14ac:dyDescent="0.3">
      <c r="A2820" t="s">
        <v>3317</v>
      </c>
      <c r="B2820" s="613" t="s">
        <v>1160</v>
      </c>
      <c r="C2820" s="225"/>
      <c r="D2820" s="560">
        <v>610000004053</v>
      </c>
      <c r="E2820" s="560">
        <f>VLOOKUP(D2820,'[1]Task list &amp; Maintenace plan'!$B:$G,6,FALSE)</f>
        <v>100487</v>
      </c>
      <c r="F2820" s="560" t="s">
        <v>4038</v>
      </c>
      <c r="G2820" s="561" t="s">
        <v>1169</v>
      </c>
      <c r="H2820" s="561" t="s">
        <v>4040</v>
      </c>
      <c r="I2820" s="562">
        <v>30</v>
      </c>
      <c r="J2820" s="753">
        <v>1</v>
      </c>
      <c r="K2820" s="753">
        <f>VLOOKUP(D2820,[2]PC50MZ!$C$6:$J$325,7,FALSE)</f>
        <v>30</v>
      </c>
      <c r="L2820" s="753">
        <v>1</v>
      </c>
      <c r="M2820" s="753">
        <f t="shared" si="15"/>
        <v>30</v>
      </c>
      <c r="N2820" s="753"/>
      <c r="O2820" s="563"/>
      <c r="P2820" s="563"/>
      <c r="Q2820" s="563"/>
      <c r="R2820" s="564"/>
      <c r="S2820" s="562"/>
    </row>
    <row r="2821" spans="1:19" ht="15.75" thickBot="1" x14ac:dyDescent="0.3">
      <c r="A2821" t="s">
        <v>3317</v>
      </c>
      <c r="B2821" s="613" t="s">
        <v>1160</v>
      </c>
      <c r="C2821" s="225"/>
      <c r="D2821" s="560">
        <v>610000004053</v>
      </c>
      <c r="E2821" s="560">
        <f>VLOOKUP(D2821,'[1]Task list &amp; Maintenace plan'!$B:$G,6,FALSE)</f>
        <v>100487</v>
      </c>
      <c r="F2821" s="560" t="s">
        <v>4038</v>
      </c>
      <c r="G2821" s="561" t="s">
        <v>1173</v>
      </c>
      <c r="H2821" s="561" t="s">
        <v>4041</v>
      </c>
      <c r="I2821" s="562">
        <v>30</v>
      </c>
      <c r="J2821" s="753"/>
      <c r="K2821" s="753">
        <f>VLOOKUP(D2821,[2]PC50MZ!$C$6:$J$325,7,FALSE)</f>
        <v>30</v>
      </c>
      <c r="L2821" s="753">
        <v>1</v>
      </c>
      <c r="M2821" s="753">
        <f t="shared" si="15"/>
        <v>30</v>
      </c>
      <c r="N2821" s="753"/>
      <c r="O2821" s="563"/>
      <c r="P2821" s="563"/>
      <c r="Q2821" s="563"/>
      <c r="R2821" s="564"/>
      <c r="S2821" s="562"/>
    </row>
    <row r="2822" spans="1:19" ht="15.75" thickBot="1" x14ac:dyDescent="0.3">
      <c r="A2822" t="s">
        <v>3317</v>
      </c>
      <c r="B2822" s="613" t="s">
        <v>1160</v>
      </c>
      <c r="C2822" s="225"/>
      <c r="D2822" s="560">
        <v>610000004053</v>
      </c>
      <c r="E2822" s="560">
        <f>VLOOKUP(D2822,'[1]Task list &amp; Maintenace plan'!$B:$G,6,FALSE)</f>
        <v>100487</v>
      </c>
      <c r="F2822" s="560" t="s">
        <v>4038</v>
      </c>
      <c r="G2822" s="561" t="s">
        <v>1172</v>
      </c>
      <c r="H2822" s="561" t="s">
        <v>4042</v>
      </c>
      <c r="I2822" s="562">
        <v>30</v>
      </c>
      <c r="J2822" s="753"/>
      <c r="K2822" s="753">
        <f>VLOOKUP(D2822,[2]PC50MZ!$C$6:$J$325,7,FALSE)</f>
        <v>30</v>
      </c>
      <c r="L2822" s="753">
        <v>1</v>
      </c>
      <c r="M2822" s="753">
        <f t="shared" si="15"/>
        <v>30</v>
      </c>
      <c r="N2822" s="753"/>
      <c r="O2822" s="563"/>
      <c r="P2822" s="563"/>
      <c r="Q2822" s="563"/>
      <c r="R2822" s="564"/>
      <c r="S2822" s="562"/>
    </row>
    <row r="2823" spans="1:19" ht="15.75" thickBot="1" x14ac:dyDescent="0.3">
      <c r="A2823" t="s">
        <v>3317</v>
      </c>
      <c r="B2823" s="613" t="s">
        <v>1160</v>
      </c>
      <c r="C2823" s="225"/>
      <c r="D2823" s="560">
        <v>610000004053</v>
      </c>
      <c r="E2823" s="560">
        <f>VLOOKUP(D2823,'[1]Task list &amp; Maintenace plan'!$B:$G,6,FALSE)</f>
        <v>100487</v>
      </c>
      <c r="F2823" s="560" t="s">
        <v>4038</v>
      </c>
      <c r="G2823" s="561" t="s">
        <v>1167</v>
      </c>
      <c r="H2823" s="561" t="s">
        <v>4043</v>
      </c>
      <c r="I2823" s="562">
        <v>30</v>
      </c>
      <c r="J2823" s="753"/>
      <c r="K2823" s="753">
        <f>VLOOKUP(D2823,[2]PC50MZ!$C$6:$J$325,7,FALSE)</f>
        <v>30</v>
      </c>
      <c r="L2823" s="753">
        <v>1</v>
      </c>
      <c r="M2823" s="753">
        <f t="shared" si="15"/>
        <v>30</v>
      </c>
      <c r="N2823" s="753"/>
      <c r="O2823" s="563"/>
      <c r="P2823" s="563"/>
      <c r="Q2823" s="563"/>
      <c r="R2823" s="564"/>
      <c r="S2823" s="562"/>
    </row>
    <row r="2824" spans="1:19" ht="15.75" thickBot="1" x14ac:dyDescent="0.3">
      <c r="A2824" t="s">
        <v>3317</v>
      </c>
      <c r="B2824" s="613" t="s">
        <v>1160</v>
      </c>
      <c r="C2824" s="225"/>
      <c r="D2824" s="560">
        <v>610000004053</v>
      </c>
      <c r="E2824" s="560">
        <f>VLOOKUP(D2824,'[1]Task list &amp; Maintenace plan'!$B:$G,6,FALSE)</f>
        <v>100487</v>
      </c>
      <c r="F2824" s="560" t="s">
        <v>4038</v>
      </c>
      <c r="G2824" s="561" t="s">
        <v>1169</v>
      </c>
      <c r="H2824" s="561" t="s">
        <v>4044</v>
      </c>
      <c r="I2824" s="562">
        <v>30</v>
      </c>
      <c r="J2824" s="753">
        <v>1</v>
      </c>
      <c r="K2824" s="753">
        <f>VLOOKUP(D2824,[2]PC50MZ!$C$6:$J$325,7,FALSE)</f>
        <v>30</v>
      </c>
      <c r="L2824" s="753">
        <v>1</v>
      </c>
      <c r="M2824" s="753">
        <f t="shared" si="15"/>
        <v>30</v>
      </c>
      <c r="N2824" s="753"/>
      <c r="O2824" s="563"/>
      <c r="P2824" s="563"/>
      <c r="Q2824" s="563"/>
      <c r="R2824" s="564"/>
      <c r="S2824" s="562"/>
    </row>
    <row r="2825" spans="1:19" ht="15.75" thickBot="1" x14ac:dyDescent="0.3">
      <c r="A2825" t="s">
        <v>3317</v>
      </c>
      <c r="B2825" s="613" t="s">
        <v>1160</v>
      </c>
      <c r="C2825" s="225"/>
      <c r="D2825" s="565">
        <v>610000004053</v>
      </c>
      <c r="E2825" s="565">
        <f>VLOOKUP(D2825,'[1]Task list &amp; Maintenace plan'!$B:$G,6,FALSE)</f>
        <v>100487</v>
      </c>
      <c r="F2825" s="565" t="s">
        <v>4038</v>
      </c>
      <c r="G2825" s="566" t="s">
        <v>4045</v>
      </c>
      <c r="H2825" s="566" t="s">
        <v>4046</v>
      </c>
      <c r="I2825" s="567">
        <v>30</v>
      </c>
      <c r="J2825" s="754">
        <v>1</v>
      </c>
      <c r="K2825" s="754">
        <f>VLOOKUP(D2825,[2]PC50MZ!$C$6:$J$325,7,FALSE)</f>
        <v>30</v>
      </c>
      <c r="L2825" s="754">
        <v>1</v>
      </c>
      <c r="M2825" s="754">
        <f t="shared" si="15"/>
        <v>30</v>
      </c>
      <c r="N2825" s="754"/>
      <c r="O2825" s="563"/>
      <c r="P2825" s="563"/>
      <c r="Q2825" s="563"/>
      <c r="R2825" s="568"/>
      <c r="S2825" s="567"/>
    </row>
    <row r="2826" spans="1:19" ht="15.75" thickBot="1" x14ac:dyDescent="0.3">
      <c r="A2826" t="s">
        <v>3317</v>
      </c>
      <c r="B2826" s="613" t="s">
        <v>1160</v>
      </c>
      <c r="C2826" s="225"/>
      <c r="D2826" s="569">
        <v>610000004054</v>
      </c>
      <c r="E2826" s="569">
        <f>VLOOKUP(D2826,'[1]Task list &amp; Maintenace plan'!$B:$G,6,FALSE)</f>
        <v>100488</v>
      </c>
      <c r="F2826" s="569" t="s">
        <v>4047</v>
      </c>
      <c r="G2826" s="570" t="s">
        <v>1161</v>
      </c>
      <c r="H2826" s="570" t="s">
        <v>4048</v>
      </c>
      <c r="I2826" s="571">
        <v>30</v>
      </c>
      <c r="J2826" s="752"/>
      <c r="K2826" s="752">
        <f>VLOOKUP(D2826,[2]PC50MZ!$C$6:$J$325,7,FALSE)</f>
        <v>30</v>
      </c>
      <c r="L2826" s="752">
        <v>1</v>
      </c>
      <c r="M2826" s="752">
        <f t="shared" si="15"/>
        <v>30</v>
      </c>
      <c r="N2826" s="752" t="s">
        <v>20</v>
      </c>
      <c r="O2826" s="563"/>
      <c r="P2826" s="563"/>
      <c r="Q2826" s="563"/>
      <c r="R2826" s="572"/>
      <c r="S2826" s="571"/>
    </row>
    <row r="2827" spans="1:19" ht="15.75" thickBot="1" x14ac:dyDescent="0.3">
      <c r="A2827" t="s">
        <v>3317</v>
      </c>
      <c r="B2827" s="613" t="s">
        <v>1160</v>
      </c>
      <c r="C2827" s="225"/>
      <c r="D2827" s="560">
        <v>610000004054</v>
      </c>
      <c r="E2827" s="560">
        <f>VLOOKUP(D2827,'[1]Task list &amp; Maintenace plan'!$B:$G,6,FALSE)</f>
        <v>100488</v>
      </c>
      <c r="F2827" s="560" t="s">
        <v>4047</v>
      </c>
      <c r="G2827" s="561" t="s">
        <v>1164</v>
      </c>
      <c r="H2827" s="561" t="s">
        <v>4049</v>
      </c>
      <c r="I2827" s="562">
        <v>30</v>
      </c>
      <c r="J2827" s="753"/>
      <c r="K2827" s="753">
        <f>VLOOKUP(D2827,[2]PC50MZ!$C$6:$J$325,7,FALSE)</f>
        <v>30</v>
      </c>
      <c r="L2827" s="753">
        <v>1</v>
      </c>
      <c r="M2827" s="753">
        <f t="shared" si="15"/>
        <v>30</v>
      </c>
      <c r="N2827" s="753"/>
      <c r="O2827" s="563"/>
      <c r="P2827" s="563"/>
      <c r="Q2827" s="563"/>
      <c r="R2827" s="564"/>
      <c r="S2827" s="562"/>
    </row>
    <row r="2828" spans="1:19" ht="15.75" thickBot="1" x14ac:dyDescent="0.3">
      <c r="A2828" t="s">
        <v>3317</v>
      </c>
      <c r="B2828" s="613" t="s">
        <v>1160</v>
      </c>
      <c r="C2828" s="225"/>
      <c r="D2828" s="560">
        <v>610000004054</v>
      </c>
      <c r="E2828" s="560">
        <f>VLOOKUP(D2828,'[1]Task list &amp; Maintenace plan'!$B:$G,6,FALSE)</f>
        <v>100488</v>
      </c>
      <c r="F2828" s="560" t="s">
        <v>4047</v>
      </c>
      <c r="G2828" s="561" t="s">
        <v>1173</v>
      </c>
      <c r="H2828" s="561" t="s">
        <v>4050</v>
      </c>
      <c r="I2828" s="562">
        <v>30</v>
      </c>
      <c r="J2828" s="753"/>
      <c r="K2828" s="753">
        <f>VLOOKUP(D2828,[2]PC50MZ!$C$6:$J$325,7,FALSE)</f>
        <v>30</v>
      </c>
      <c r="L2828" s="753">
        <v>1</v>
      </c>
      <c r="M2828" s="753">
        <f t="shared" si="15"/>
        <v>30</v>
      </c>
      <c r="N2828" s="753"/>
      <c r="O2828" s="563"/>
      <c r="P2828" s="563"/>
      <c r="Q2828" s="563"/>
      <c r="R2828" s="564"/>
      <c r="S2828" s="562"/>
    </row>
    <row r="2829" spans="1:19" ht="15.75" thickBot="1" x14ac:dyDescent="0.3">
      <c r="A2829" t="s">
        <v>3317</v>
      </c>
      <c r="B2829" s="613" t="s">
        <v>1160</v>
      </c>
      <c r="C2829" s="225"/>
      <c r="D2829" s="565">
        <v>610000004054</v>
      </c>
      <c r="E2829" s="565">
        <f>VLOOKUP(D2829,'[1]Task list &amp; Maintenace plan'!$B:$G,6,FALSE)</f>
        <v>100488</v>
      </c>
      <c r="F2829" s="565" t="s">
        <v>4047</v>
      </c>
      <c r="G2829" s="566" t="s">
        <v>1167</v>
      </c>
      <c r="H2829" s="566" t="s">
        <v>4051</v>
      </c>
      <c r="I2829" s="567">
        <v>30</v>
      </c>
      <c r="J2829" s="754"/>
      <c r="K2829" s="754">
        <f>VLOOKUP(D2829,[2]PC50MZ!$C$6:$J$325,7,FALSE)</f>
        <v>30</v>
      </c>
      <c r="L2829" s="754">
        <v>1</v>
      </c>
      <c r="M2829" s="754">
        <f t="shared" si="15"/>
        <v>30</v>
      </c>
      <c r="N2829" s="754"/>
      <c r="O2829" s="563"/>
      <c r="P2829" s="563"/>
      <c r="Q2829" s="563"/>
      <c r="R2829" s="568"/>
      <c r="S2829" s="567"/>
    </row>
    <row r="2830" spans="1:19" ht="15.75" thickBot="1" x14ac:dyDescent="0.3">
      <c r="A2830" t="s">
        <v>3317</v>
      </c>
      <c r="B2830" s="613" t="s">
        <v>1160</v>
      </c>
      <c r="C2830" s="225"/>
      <c r="D2830" s="573">
        <v>610000004055</v>
      </c>
      <c r="E2830" s="573">
        <f>VLOOKUP(D2830,'[1]Task list &amp; Maintenace plan'!$B:$G,6,FALSE)</f>
        <v>100489</v>
      </c>
      <c r="F2830" s="573" t="s">
        <v>4052</v>
      </c>
      <c r="G2830" s="574" t="s">
        <v>1164</v>
      </c>
      <c r="H2830" s="574" t="s">
        <v>4053</v>
      </c>
      <c r="I2830" s="575">
        <v>90</v>
      </c>
      <c r="J2830" s="576"/>
      <c r="K2830" s="576">
        <f>VLOOKUP(D2830,[2]PC50MZ!$C$6:$J$325,7,FALSE)</f>
        <v>10</v>
      </c>
      <c r="L2830" s="576">
        <v>1</v>
      </c>
      <c r="M2830" s="576">
        <f t="shared" si="15"/>
        <v>10</v>
      </c>
      <c r="N2830" s="576" t="s">
        <v>3174</v>
      </c>
      <c r="O2830" s="563"/>
      <c r="P2830" s="563"/>
      <c r="Q2830" s="563"/>
      <c r="R2830" s="577" t="s">
        <v>3159</v>
      </c>
      <c r="S2830" s="575"/>
    </row>
    <row r="2831" spans="1:19" ht="15.75" thickBot="1" x14ac:dyDescent="0.3">
      <c r="A2831" t="s">
        <v>3317</v>
      </c>
      <c r="B2831" s="613" t="s">
        <v>1160</v>
      </c>
      <c r="C2831" s="225"/>
      <c r="D2831" s="565">
        <v>610000004056</v>
      </c>
      <c r="E2831" s="565">
        <f>VLOOKUP(D2831,'[1]Task list &amp; Maintenace plan'!$B:$G,6,FALSE)</f>
        <v>100490</v>
      </c>
      <c r="F2831" s="565" t="s">
        <v>4054</v>
      </c>
      <c r="G2831" s="566" t="s">
        <v>1161</v>
      </c>
      <c r="H2831" s="566" t="s">
        <v>4055</v>
      </c>
      <c r="I2831" s="567">
        <v>90</v>
      </c>
      <c r="J2831" s="612">
        <v>1</v>
      </c>
      <c r="K2831" s="612">
        <f>VLOOKUP(D2831,[2]PC50MZ!$C$6:$J$325,7,FALSE)</f>
        <v>30</v>
      </c>
      <c r="L2831" s="612">
        <v>1</v>
      </c>
      <c r="M2831" s="612">
        <f t="shared" si="15"/>
        <v>30</v>
      </c>
      <c r="N2831" s="612" t="s">
        <v>468</v>
      </c>
      <c r="O2831" s="563"/>
      <c r="P2831" s="563"/>
      <c r="Q2831" s="563"/>
      <c r="R2831" s="568"/>
      <c r="S2831" s="567"/>
    </row>
    <row r="2832" spans="1:19" ht="15.75" thickBot="1" x14ac:dyDescent="0.3">
      <c r="A2832" t="s">
        <v>3317</v>
      </c>
      <c r="B2832" s="613" t="s">
        <v>1160</v>
      </c>
      <c r="C2832" s="225"/>
      <c r="D2832" s="607">
        <v>610000004057</v>
      </c>
      <c r="E2832" s="607">
        <f>VLOOKUP(D2832,'[1]Task list &amp; Maintenace plan'!$B:$G,6,FALSE)</f>
        <v>100491</v>
      </c>
      <c r="F2832" s="607" t="s">
        <v>4056</v>
      </c>
      <c r="G2832" s="608" t="s">
        <v>1166</v>
      </c>
      <c r="H2832" s="608" t="s">
        <v>4057</v>
      </c>
      <c r="I2832" s="609">
        <v>180</v>
      </c>
      <c r="J2832" s="610">
        <v>1</v>
      </c>
      <c r="K2832" s="610">
        <f>VLOOKUP(D2832,[2]PC50MZ!$C$6:$J$325,7,FALSE)</f>
        <v>240</v>
      </c>
      <c r="L2832" s="610">
        <v>4</v>
      </c>
      <c r="M2832" s="610">
        <f t="shared" si="15"/>
        <v>960</v>
      </c>
      <c r="N2832" s="610" t="s">
        <v>468</v>
      </c>
      <c r="O2832" s="563"/>
      <c r="P2832" s="563"/>
      <c r="Q2832" s="563"/>
      <c r="R2832" s="611"/>
      <c r="S2832" s="609"/>
    </row>
    <row r="2833" spans="1:19" ht="15.75" thickBot="1" x14ac:dyDescent="0.3">
      <c r="A2833" t="s">
        <v>3317</v>
      </c>
      <c r="B2833" s="613" t="s">
        <v>1160</v>
      </c>
      <c r="C2833" s="225"/>
      <c r="D2833" s="573">
        <v>610000004058</v>
      </c>
      <c r="E2833" s="573">
        <f>VLOOKUP(D2833,'[1]Task list &amp; Maintenace plan'!$B:$G,6,FALSE)</f>
        <v>100492</v>
      </c>
      <c r="F2833" s="573" t="s">
        <v>4058</v>
      </c>
      <c r="G2833" s="574" t="s">
        <v>1177</v>
      </c>
      <c r="H2833" s="574" t="s">
        <v>4059</v>
      </c>
      <c r="I2833" s="575">
        <v>180</v>
      </c>
      <c r="J2833" s="576">
        <v>1</v>
      </c>
      <c r="K2833" s="576">
        <f>VLOOKUP(D2833,[2]PC50MZ!$C$6:$J$325,7,FALSE)</f>
        <v>240</v>
      </c>
      <c r="L2833" s="576">
        <v>4</v>
      </c>
      <c r="M2833" s="576">
        <f t="shared" si="15"/>
        <v>960</v>
      </c>
      <c r="N2833" s="576" t="s">
        <v>468</v>
      </c>
      <c r="O2833" s="563"/>
      <c r="P2833" s="563"/>
      <c r="Q2833" s="563"/>
      <c r="R2833" s="577"/>
      <c r="S2833" s="575"/>
    </row>
    <row r="2834" spans="1:19" ht="15.75" thickBot="1" x14ac:dyDescent="0.3">
      <c r="A2834" t="s">
        <v>3317</v>
      </c>
      <c r="B2834" s="613" t="s">
        <v>1160</v>
      </c>
      <c r="C2834" s="225"/>
      <c r="D2834" s="598">
        <v>351960</v>
      </c>
      <c r="E2834" s="598">
        <f>VLOOKUP(D2834,'[1]Task list &amp; Maintenace plan'!$B:$G,6,FALSE)</f>
        <v>1433</v>
      </c>
      <c r="F2834" s="598" t="s">
        <v>4060</v>
      </c>
      <c r="G2834" s="599" t="s">
        <v>1169</v>
      </c>
      <c r="H2834" s="599" t="s">
        <v>4061</v>
      </c>
      <c r="I2834" s="600">
        <v>180</v>
      </c>
      <c r="J2834" s="752">
        <v>1</v>
      </c>
      <c r="K2834" s="752">
        <f>VLOOKUP(D2834,[2]PC50MZ!$C$6:$J$325,7,FALSE)</f>
        <v>480</v>
      </c>
      <c r="L2834" s="752">
        <v>6</v>
      </c>
      <c r="M2834" s="752">
        <f>K2834*L2834</f>
        <v>2880</v>
      </c>
      <c r="N2834" s="752" t="s">
        <v>468</v>
      </c>
      <c r="O2834" s="563"/>
      <c r="P2834" s="563"/>
      <c r="Q2834" s="563"/>
      <c r="R2834" s="601" t="s">
        <v>4062</v>
      </c>
      <c r="S2834" s="600"/>
    </row>
    <row r="2835" spans="1:19" ht="15.75" thickBot="1" x14ac:dyDescent="0.3">
      <c r="A2835" t="s">
        <v>3317</v>
      </c>
      <c r="B2835" s="613" t="s">
        <v>1160</v>
      </c>
      <c r="C2835" s="225"/>
      <c r="D2835" s="565">
        <v>351960</v>
      </c>
      <c r="E2835" s="565">
        <f>VLOOKUP(D2835,'[1]Task list &amp; Maintenace plan'!$B:$G,6,FALSE)</f>
        <v>1433</v>
      </c>
      <c r="F2835" s="565" t="s">
        <v>4060</v>
      </c>
      <c r="G2835" s="566" t="s">
        <v>1175</v>
      </c>
      <c r="H2835" s="566" t="s">
        <v>4063</v>
      </c>
      <c r="I2835" s="567">
        <v>180</v>
      </c>
      <c r="J2835" s="754">
        <v>1</v>
      </c>
      <c r="K2835" s="754">
        <f>VLOOKUP(D2835,[2]PC50MZ!$C$6:$J$325,7,FALSE)</f>
        <v>480</v>
      </c>
      <c r="L2835" s="754">
        <v>6</v>
      </c>
      <c r="M2835" s="754"/>
      <c r="N2835" s="754"/>
      <c r="O2835" s="563"/>
      <c r="P2835" s="563"/>
      <c r="Q2835" s="563"/>
      <c r="R2835" s="568"/>
      <c r="S2835" s="567"/>
    </row>
    <row r="2836" spans="1:19" ht="15.75" thickBot="1" x14ac:dyDescent="0.3">
      <c r="A2836" t="s">
        <v>3317</v>
      </c>
      <c r="B2836" s="613" t="s">
        <v>1160</v>
      </c>
      <c r="C2836" s="225"/>
      <c r="D2836" s="569">
        <v>610000004059</v>
      </c>
      <c r="E2836" s="569">
        <f>VLOOKUP(D2836,'[1]Task list &amp; Maintenace plan'!$B:$G,6,FALSE)</f>
        <v>100493</v>
      </c>
      <c r="F2836" s="569" t="s">
        <v>4064</v>
      </c>
      <c r="G2836" s="570" t="s">
        <v>1169</v>
      </c>
      <c r="H2836" s="570" t="s">
        <v>4065</v>
      </c>
      <c r="I2836" s="571">
        <v>180</v>
      </c>
      <c r="J2836" s="752">
        <v>1</v>
      </c>
      <c r="K2836" s="752">
        <f>VLOOKUP(D2836,[2]PC50MZ!$C$6:$J$325,7,FALSE)</f>
        <v>120</v>
      </c>
      <c r="L2836" s="752">
        <v>2</v>
      </c>
      <c r="M2836" s="752">
        <f t="shared" ref="M2836:M2899" si="16">K2836*L2836</f>
        <v>240</v>
      </c>
      <c r="N2836" s="752" t="s">
        <v>3174</v>
      </c>
      <c r="O2836" s="563"/>
      <c r="P2836" s="563"/>
      <c r="Q2836" s="563"/>
      <c r="R2836" s="572" t="s">
        <v>3254</v>
      </c>
      <c r="S2836" s="571" t="s">
        <v>3867</v>
      </c>
    </row>
    <row r="2837" spans="1:19" ht="15.75" thickBot="1" x14ac:dyDescent="0.3">
      <c r="A2837" t="s">
        <v>3317</v>
      </c>
      <c r="B2837" s="613" t="s">
        <v>1160</v>
      </c>
      <c r="C2837" s="225"/>
      <c r="D2837" s="560">
        <v>610000004059</v>
      </c>
      <c r="E2837" s="560">
        <f>VLOOKUP(D2837,'[1]Task list &amp; Maintenace plan'!$B:$G,6,FALSE)</f>
        <v>100493</v>
      </c>
      <c r="F2837" s="560" t="s">
        <v>4064</v>
      </c>
      <c r="G2837" s="561" t="s">
        <v>1166</v>
      </c>
      <c r="H2837" s="561" t="s">
        <v>4066</v>
      </c>
      <c r="I2837" s="562">
        <v>180</v>
      </c>
      <c r="J2837" s="753">
        <v>1</v>
      </c>
      <c r="K2837" s="753">
        <f>VLOOKUP(D2837,[2]PC50MZ!$C$6:$J$325,7,FALSE)</f>
        <v>120</v>
      </c>
      <c r="L2837" s="753">
        <v>2</v>
      </c>
      <c r="M2837" s="753">
        <f t="shared" si="16"/>
        <v>240</v>
      </c>
      <c r="N2837" s="753"/>
      <c r="O2837" s="563"/>
      <c r="P2837" s="563"/>
      <c r="Q2837" s="563"/>
      <c r="R2837" s="564" t="s">
        <v>3254</v>
      </c>
      <c r="S2837" s="562" t="s">
        <v>3872</v>
      </c>
    </row>
    <row r="2838" spans="1:19" ht="15.75" thickBot="1" x14ac:dyDescent="0.3">
      <c r="A2838" t="s">
        <v>3317</v>
      </c>
      <c r="B2838" s="613" t="s">
        <v>1160</v>
      </c>
      <c r="C2838" s="225"/>
      <c r="D2838" s="560">
        <v>610000004059</v>
      </c>
      <c r="E2838" s="560">
        <f>VLOOKUP(D2838,'[1]Task list &amp; Maintenace plan'!$B:$G,6,FALSE)</f>
        <v>100493</v>
      </c>
      <c r="F2838" s="560" t="s">
        <v>4064</v>
      </c>
      <c r="G2838" s="561" t="s">
        <v>1175</v>
      </c>
      <c r="H2838" s="561" t="s">
        <v>4067</v>
      </c>
      <c r="I2838" s="562">
        <v>180</v>
      </c>
      <c r="J2838" s="753">
        <v>1</v>
      </c>
      <c r="K2838" s="753">
        <f>VLOOKUP(D2838,[2]PC50MZ!$C$6:$J$325,7,FALSE)</f>
        <v>120</v>
      </c>
      <c r="L2838" s="753">
        <v>2</v>
      </c>
      <c r="M2838" s="753">
        <f t="shared" si="16"/>
        <v>240</v>
      </c>
      <c r="N2838" s="753"/>
      <c r="O2838" s="563"/>
      <c r="P2838" s="563"/>
      <c r="Q2838" s="563"/>
      <c r="R2838" s="564" t="s">
        <v>3642</v>
      </c>
      <c r="S2838" s="562" t="s">
        <v>4068</v>
      </c>
    </row>
    <row r="2839" spans="1:19" ht="15.75" thickBot="1" x14ac:dyDescent="0.3">
      <c r="A2839" t="s">
        <v>3317</v>
      </c>
      <c r="B2839" s="613" t="s">
        <v>1160</v>
      </c>
      <c r="C2839" s="578"/>
      <c r="D2839" s="579">
        <v>610000004059</v>
      </c>
      <c r="E2839" s="579">
        <f>VLOOKUP(D2839,'[1]Task list &amp; Maintenace plan'!$B:$G,6,FALSE)</f>
        <v>100493</v>
      </c>
      <c r="F2839" s="579" t="s">
        <v>4064</v>
      </c>
      <c r="G2839" s="580" t="s">
        <v>1177</v>
      </c>
      <c r="H2839" s="580" t="s">
        <v>4069</v>
      </c>
      <c r="I2839" s="581">
        <v>180</v>
      </c>
      <c r="J2839" s="756">
        <v>1</v>
      </c>
      <c r="K2839" s="756">
        <f>VLOOKUP(D2839,[2]PC50MZ!$C$6:$J$325,7,FALSE)</f>
        <v>120</v>
      </c>
      <c r="L2839" s="756">
        <v>2</v>
      </c>
      <c r="M2839" s="756">
        <f t="shared" si="16"/>
        <v>240</v>
      </c>
      <c r="N2839" s="756"/>
      <c r="O2839" s="563"/>
      <c r="P2839" s="563"/>
      <c r="Q2839" s="563"/>
      <c r="R2839" s="582" t="s">
        <v>3254</v>
      </c>
      <c r="S2839" s="581" t="s">
        <v>3872</v>
      </c>
    </row>
    <row r="2840" spans="1:19" x14ac:dyDescent="0.25">
      <c r="A2840" t="s">
        <v>3317</v>
      </c>
      <c r="B2840" s="559" t="s">
        <v>1212</v>
      </c>
      <c r="C2840" s="225"/>
      <c r="D2840" s="569">
        <v>610000004061</v>
      </c>
      <c r="E2840" s="569">
        <f>VLOOKUP(D2840,'[1]Task list &amp; Maintenace plan'!$B:$G,6,FALSE)</f>
        <v>100495</v>
      </c>
      <c r="F2840" s="569" t="s">
        <v>4070</v>
      </c>
      <c r="G2840" s="570" t="s">
        <v>426</v>
      </c>
      <c r="H2840" s="570" t="s">
        <v>3753</v>
      </c>
      <c r="I2840" s="571">
        <v>30</v>
      </c>
      <c r="J2840" s="755"/>
      <c r="K2840" s="755">
        <f>VLOOKUP(D2840,[2]PC50MZ!$C$6:$J$325,7,FALSE)</f>
        <v>30</v>
      </c>
      <c r="L2840" s="755">
        <v>1</v>
      </c>
      <c r="M2840" s="755">
        <f t="shared" si="16"/>
        <v>30</v>
      </c>
      <c r="N2840" s="755" t="s">
        <v>20</v>
      </c>
      <c r="O2840" s="563"/>
      <c r="P2840" s="563"/>
      <c r="Q2840" s="563"/>
      <c r="R2840" s="572"/>
      <c r="S2840" s="571"/>
    </row>
    <row r="2841" spans="1:19" x14ac:dyDescent="0.25">
      <c r="A2841" t="s">
        <v>3317</v>
      </c>
      <c r="B2841" s="559" t="s">
        <v>1212</v>
      </c>
      <c r="C2841" s="225"/>
      <c r="D2841" s="560">
        <v>610000004061</v>
      </c>
      <c r="E2841" s="560">
        <f>VLOOKUP(D2841,'[1]Task list &amp; Maintenace plan'!$B:$G,6,FALSE)</f>
        <v>100495</v>
      </c>
      <c r="F2841" s="560" t="s">
        <v>4070</v>
      </c>
      <c r="G2841" s="561" t="s">
        <v>419</v>
      </c>
      <c r="H2841" s="561" t="s">
        <v>3755</v>
      </c>
      <c r="I2841" s="562">
        <v>30</v>
      </c>
      <c r="J2841" s="753"/>
      <c r="K2841" s="753">
        <f>VLOOKUP(D2841,[2]PC50MZ!$C$6:$J$325,7,FALSE)</f>
        <v>30</v>
      </c>
      <c r="L2841" s="753">
        <v>1</v>
      </c>
      <c r="M2841" s="753">
        <f t="shared" si="16"/>
        <v>30</v>
      </c>
      <c r="N2841" s="753"/>
      <c r="O2841" s="563"/>
      <c r="P2841" s="563"/>
      <c r="Q2841" s="563"/>
      <c r="R2841" s="564"/>
      <c r="S2841" s="562"/>
    </row>
    <row r="2842" spans="1:19" x14ac:dyDescent="0.25">
      <c r="A2842" t="s">
        <v>3317</v>
      </c>
      <c r="B2842" s="559" t="s">
        <v>1212</v>
      </c>
      <c r="C2842" s="225"/>
      <c r="D2842" s="560">
        <v>610000004061</v>
      </c>
      <c r="E2842" s="560">
        <f>VLOOKUP(D2842,'[1]Task list &amp; Maintenace plan'!$B:$G,6,FALSE)</f>
        <v>100495</v>
      </c>
      <c r="F2842" s="560" t="s">
        <v>4070</v>
      </c>
      <c r="G2842" s="561" t="s">
        <v>1214</v>
      </c>
      <c r="H2842" s="561" t="s">
        <v>3756</v>
      </c>
      <c r="I2842" s="562">
        <v>30</v>
      </c>
      <c r="J2842" s="753"/>
      <c r="K2842" s="753">
        <f>VLOOKUP(D2842,[2]PC50MZ!$C$6:$J$325,7,FALSE)</f>
        <v>30</v>
      </c>
      <c r="L2842" s="753">
        <v>1</v>
      </c>
      <c r="M2842" s="753">
        <f t="shared" si="16"/>
        <v>30</v>
      </c>
      <c r="N2842" s="753"/>
      <c r="O2842" s="563"/>
      <c r="P2842" s="563"/>
      <c r="Q2842" s="563"/>
      <c r="R2842" s="564"/>
      <c r="S2842" s="562"/>
    </row>
    <row r="2843" spans="1:19" x14ac:dyDescent="0.25">
      <c r="A2843" t="s">
        <v>3317</v>
      </c>
      <c r="B2843" s="559" t="s">
        <v>1212</v>
      </c>
      <c r="C2843" s="225"/>
      <c r="D2843" s="560">
        <v>610000004061</v>
      </c>
      <c r="E2843" s="560">
        <f>VLOOKUP(D2843,'[1]Task list &amp; Maintenace plan'!$B:$G,6,FALSE)</f>
        <v>100495</v>
      </c>
      <c r="F2843" s="560" t="s">
        <v>4070</v>
      </c>
      <c r="G2843" s="561" t="s">
        <v>4071</v>
      </c>
      <c r="H2843" s="561" t="s">
        <v>4072</v>
      </c>
      <c r="I2843" s="562">
        <v>30</v>
      </c>
      <c r="J2843" s="753"/>
      <c r="K2843" s="753">
        <f>VLOOKUP(D2843,[2]PC50MZ!$C$6:$J$325,7,FALSE)</f>
        <v>30</v>
      </c>
      <c r="L2843" s="753">
        <v>1</v>
      </c>
      <c r="M2843" s="753">
        <f t="shared" si="16"/>
        <v>30</v>
      </c>
      <c r="N2843" s="753"/>
      <c r="O2843" s="563"/>
      <c r="P2843" s="563"/>
      <c r="Q2843" s="563"/>
      <c r="R2843" s="564"/>
      <c r="S2843" s="562"/>
    </row>
    <row r="2844" spans="1:19" x14ac:dyDescent="0.25">
      <c r="A2844" t="s">
        <v>3317</v>
      </c>
      <c r="B2844" s="559" t="s">
        <v>1212</v>
      </c>
      <c r="C2844" s="225"/>
      <c r="D2844" s="560">
        <v>610000004061</v>
      </c>
      <c r="E2844" s="560">
        <f>VLOOKUP(D2844,'[1]Task list &amp; Maintenace plan'!$B:$G,6,FALSE)</f>
        <v>100495</v>
      </c>
      <c r="F2844" s="560" t="s">
        <v>4070</v>
      </c>
      <c r="G2844" s="561" t="s">
        <v>1218</v>
      </c>
      <c r="H2844" s="561" t="s">
        <v>4073</v>
      </c>
      <c r="I2844" s="562">
        <v>30</v>
      </c>
      <c r="J2844" s="753"/>
      <c r="K2844" s="753">
        <f>VLOOKUP(D2844,[2]PC50MZ!$C$6:$J$325,7,FALSE)</f>
        <v>30</v>
      </c>
      <c r="L2844" s="753">
        <v>1</v>
      </c>
      <c r="M2844" s="753">
        <f t="shared" si="16"/>
        <v>30</v>
      </c>
      <c r="N2844" s="753"/>
      <c r="O2844" s="563"/>
      <c r="P2844" s="563"/>
      <c r="Q2844" s="563"/>
      <c r="R2844" s="564"/>
      <c r="S2844" s="562"/>
    </row>
    <row r="2845" spans="1:19" x14ac:dyDescent="0.25">
      <c r="A2845" t="s">
        <v>3317</v>
      </c>
      <c r="B2845" s="559" t="s">
        <v>1212</v>
      </c>
      <c r="C2845" s="225"/>
      <c r="D2845" s="560">
        <v>610000004061</v>
      </c>
      <c r="E2845" s="560">
        <f>VLOOKUP(D2845,'[1]Task list &amp; Maintenace plan'!$B:$G,6,FALSE)</f>
        <v>100495</v>
      </c>
      <c r="F2845" s="560" t="s">
        <v>4070</v>
      </c>
      <c r="G2845" s="561" t="s">
        <v>1218</v>
      </c>
      <c r="H2845" s="561" t="s">
        <v>4074</v>
      </c>
      <c r="I2845" s="562">
        <v>30</v>
      </c>
      <c r="J2845" s="753"/>
      <c r="K2845" s="753">
        <f>VLOOKUP(D2845,[2]PC50MZ!$C$6:$J$325,7,FALSE)</f>
        <v>30</v>
      </c>
      <c r="L2845" s="753">
        <v>1</v>
      </c>
      <c r="M2845" s="753">
        <f t="shared" si="16"/>
        <v>30</v>
      </c>
      <c r="N2845" s="753"/>
      <c r="O2845" s="563"/>
      <c r="P2845" s="563"/>
      <c r="Q2845" s="563"/>
      <c r="R2845" s="564"/>
      <c r="S2845" s="562"/>
    </row>
    <row r="2846" spans="1:19" x14ac:dyDescent="0.25">
      <c r="A2846" t="s">
        <v>3317</v>
      </c>
      <c r="B2846" s="559" t="s">
        <v>1212</v>
      </c>
      <c r="C2846" s="225"/>
      <c r="D2846" s="560">
        <v>610000004061</v>
      </c>
      <c r="E2846" s="560">
        <f>VLOOKUP(D2846,'[1]Task list &amp; Maintenace plan'!$B:$G,6,FALSE)</f>
        <v>100495</v>
      </c>
      <c r="F2846" s="560" t="s">
        <v>4070</v>
      </c>
      <c r="G2846" s="561" t="s">
        <v>1215</v>
      </c>
      <c r="H2846" s="561" t="s">
        <v>4075</v>
      </c>
      <c r="I2846" s="562">
        <v>30</v>
      </c>
      <c r="J2846" s="753"/>
      <c r="K2846" s="753">
        <f>VLOOKUP(D2846,[2]PC50MZ!$C$6:$J$325,7,FALSE)</f>
        <v>30</v>
      </c>
      <c r="L2846" s="753">
        <v>1</v>
      </c>
      <c r="M2846" s="753">
        <f t="shared" si="16"/>
        <v>30</v>
      </c>
      <c r="N2846" s="753"/>
      <c r="O2846" s="563"/>
      <c r="P2846" s="563"/>
      <c r="Q2846" s="563"/>
      <c r="R2846" s="564"/>
      <c r="S2846" s="562"/>
    </row>
    <row r="2847" spans="1:19" x14ac:dyDescent="0.25">
      <c r="A2847" t="s">
        <v>3317</v>
      </c>
      <c r="B2847" s="559" t="s">
        <v>1212</v>
      </c>
      <c r="C2847" s="225"/>
      <c r="D2847" s="560">
        <v>610000004061</v>
      </c>
      <c r="E2847" s="560">
        <f>VLOOKUP(D2847,'[1]Task list &amp; Maintenace plan'!$B:$G,6,FALSE)</f>
        <v>100495</v>
      </c>
      <c r="F2847" s="560" t="s">
        <v>4070</v>
      </c>
      <c r="G2847" s="561" t="s">
        <v>1231</v>
      </c>
      <c r="H2847" s="561" t="s">
        <v>4076</v>
      </c>
      <c r="I2847" s="562">
        <v>30</v>
      </c>
      <c r="J2847" s="753"/>
      <c r="K2847" s="753">
        <f>VLOOKUP(D2847,[2]PC50MZ!$C$6:$J$325,7,FALSE)</f>
        <v>30</v>
      </c>
      <c r="L2847" s="753">
        <v>1</v>
      </c>
      <c r="M2847" s="753">
        <f t="shared" si="16"/>
        <v>30</v>
      </c>
      <c r="N2847" s="753"/>
      <c r="O2847" s="563"/>
      <c r="P2847" s="563"/>
      <c r="Q2847" s="563"/>
      <c r="R2847" s="564"/>
      <c r="S2847" s="562"/>
    </row>
    <row r="2848" spans="1:19" x14ac:dyDescent="0.25">
      <c r="A2848" t="s">
        <v>3317</v>
      </c>
      <c r="B2848" s="559" t="s">
        <v>1212</v>
      </c>
      <c r="C2848" s="225"/>
      <c r="D2848" s="560">
        <v>610000004061</v>
      </c>
      <c r="E2848" s="560">
        <f>VLOOKUP(D2848,'[1]Task list &amp; Maintenace plan'!$B:$G,6,FALSE)</f>
        <v>100495</v>
      </c>
      <c r="F2848" s="560" t="s">
        <v>4070</v>
      </c>
      <c r="G2848" s="561" t="s">
        <v>1231</v>
      </c>
      <c r="H2848" s="561" t="s">
        <v>4077</v>
      </c>
      <c r="I2848" s="562">
        <v>30</v>
      </c>
      <c r="J2848" s="753"/>
      <c r="K2848" s="753">
        <f>VLOOKUP(D2848,[2]PC50MZ!$C$6:$J$325,7,FALSE)</f>
        <v>30</v>
      </c>
      <c r="L2848" s="753">
        <v>1</v>
      </c>
      <c r="M2848" s="753">
        <f t="shared" si="16"/>
        <v>30</v>
      </c>
      <c r="N2848" s="753"/>
      <c r="O2848" s="563"/>
      <c r="P2848" s="563"/>
      <c r="Q2848" s="563"/>
      <c r="R2848" s="564"/>
      <c r="S2848" s="562"/>
    </row>
    <row r="2849" spans="1:19" x14ac:dyDescent="0.25">
      <c r="A2849" t="s">
        <v>3317</v>
      </c>
      <c r="B2849" s="559" t="s">
        <v>1212</v>
      </c>
      <c r="C2849" s="225"/>
      <c r="D2849" s="560">
        <v>610000004061</v>
      </c>
      <c r="E2849" s="560">
        <f>VLOOKUP(D2849,'[1]Task list &amp; Maintenace plan'!$B:$G,6,FALSE)</f>
        <v>100495</v>
      </c>
      <c r="F2849" s="560" t="s">
        <v>4070</v>
      </c>
      <c r="G2849" s="561" t="s">
        <v>1231</v>
      </c>
      <c r="H2849" s="561" t="s">
        <v>4078</v>
      </c>
      <c r="I2849" s="562">
        <v>30</v>
      </c>
      <c r="J2849" s="753"/>
      <c r="K2849" s="753">
        <f>VLOOKUP(D2849,[2]PC50MZ!$C$6:$J$325,7,FALSE)</f>
        <v>30</v>
      </c>
      <c r="L2849" s="753">
        <v>1</v>
      </c>
      <c r="M2849" s="753">
        <f t="shared" si="16"/>
        <v>30</v>
      </c>
      <c r="N2849" s="753"/>
      <c r="O2849" s="563"/>
      <c r="P2849" s="563"/>
      <c r="Q2849" s="563"/>
      <c r="R2849" s="564"/>
      <c r="S2849" s="562"/>
    </row>
    <row r="2850" spans="1:19" x14ac:dyDescent="0.25">
      <c r="A2850" t="s">
        <v>3317</v>
      </c>
      <c r="B2850" s="559" t="s">
        <v>1212</v>
      </c>
      <c r="C2850" s="225"/>
      <c r="D2850" s="560">
        <v>610000004061</v>
      </c>
      <c r="E2850" s="560">
        <f>VLOOKUP(D2850,'[1]Task list &amp; Maintenace plan'!$B:$G,6,FALSE)</f>
        <v>100495</v>
      </c>
      <c r="F2850" s="560" t="s">
        <v>4070</v>
      </c>
      <c r="G2850" s="561" t="s">
        <v>1234</v>
      </c>
      <c r="H2850" s="561" t="s">
        <v>4079</v>
      </c>
      <c r="I2850" s="562">
        <v>30</v>
      </c>
      <c r="J2850" s="753"/>
      <c r="K2850" s="753">
        <f>VLOOKUP(D2850,[2]PC50MZ!$C$6:$J$325,7,FALSE)</f>
        <v>30</v>
      </c>
      <c r="L2850" s="753">
        <v>1</v>
      </c>
      <c r="M2850" s="753">
        <f t="shared" si="16"/>
        <v>30</v>
      </c>
      <c r="N2850" s="753"/>
      <c r="O2850" s="563"/>
      <c r="P2850" s="563"/>
      <c r="Q2850" s="563"/>
      <c r="R2850" s="564"/>
      <c r="S2850" s="562"/>
    </row>
    <row r="2851" spans="1:19" x14ac:dyDescent="0.25">
      <c r="A2851" t="s">
        <v>3317</v>
      </c>
      <c r="B2851" s="559" t="s">
        <v>1212</v>
      </c>
      <c r="C2851" s="225"/>
      <c r="D2851" s="560">
        <v>610000004061</v>
      </c>
      <c r="E2851" s="560">
        <f>VLOOKUP(D2851,'[1]Task list &amp; Maintenace plan'!$B:$G,6,FALSE)</f>
        <v>100495</v>
      </c>
      <c r="F2851" s="560" t="s">
        <v>4070</v>
      </c>
      <c r="G2851" s="561" t="s">
        <v>1234</v>
      </c>
      <c r="H2851" s="561" t="s">
        <v>4080</v>
      </c>
      <c r="I2851" s="562">
        <v>30</v>
      </c>
      <c r="J2851" s="753"/>
      <c r="K2851" s="753">
        <f>VLOOKUP(D2851,[2]PC50MZ!$C$6:$J$325,7,FALSE)</f>
        <v>30</v>
      </c>
      <c r="L2851" s="753">
        <v>1</v>
      </c>
      <c r="M2851" s="753">
        <f t="shared" si="16"/>
        <v>30</v>
      </c>
      <c r="N2851" s="753"/>
      <c r="O2851" s="563"/>
      <c r="P2851" s="563"/>
      <c r="Q2851" s="563"/>
      <c r="R2851" s="564"/>
      <c r="S2851" s="562"/>
    </row>
    <row r="2852" spans="1:19" x14ac:dyDescent="0.25">
      <c r="A2852" t="s">
        <v>3317</v>
      </c>
      <c r="B2852" s="559" t="s">
        <v>1212</v>
      </c>
      <c r="C2852" s="225"/>
      <c r="D2852" s="560">
        <v>610000004061</v>
      </c>
      <c r="E2852" s="560">
        <f>VLOOKUP(D2852,'[1]Task list &amp; Maintenace plan'!$B:$G,6,FALSE)</f>
        <v>100495</v>
      </c>
      <c r="F2852" s="560" t="s">
        <v>4070</v>
      </c>
      <c r="G2852" s="561" t="s">
        <v>1234</v>
      </c>
      <c r="H2852" s="561" t="s">
        <v>4081</v>
      </c>
      <c r="I2852" s="562">
        <v>30</v>
      </c>
      <c r="J2852" s="753"/>
      <c r="K2852" s="753">
        <f>VLOOKUP(D2852,[2]PC50MZ!$C$6:$J$325,7,FALSE)</f>
        <v>30</v>
      </c>
      <c r="L2852" s="753">
        <v>1</v>
      </c>
      <c r="M2852" s="753">
        <f t="shared" si="16"/>
        <v>30</v>
      </c>
      <c r="N2852" s="753"/>
      <c r="O2852" s="563"/>
      <c r="P2852" s="563"/>
      <c r="Q2852" s="563"/>
      <c r="R2852" s="564"/>
      <c r="S2852" s="562"/>
    </row>
    <row r="2853" spans="1:19" x14ac:dyDescent="0.25">
      <c r="A2853" t="s">
        <v>3317</v>
      </c>
      <c r="B2853" s="559" t="s">
        <v>1212</v>
      </c>
      <c r="C2853" s="225"/>
      <c r="D2853" s="560">
        <v>610000004061</v>
      </c>
      <c r="E2853" s="560">
        <f>VLOOKUP(D2853,'[1]Task list &amp; Maintenace plan'!$B:$G,6,FALSE)</f>
        <v>100495</v>
      </c>
      <c r="F2853" s="560" t="s">
        <v>4070</v>
      </c>
      <c r="G2853" s="561" t="s">
        <v>426</v>
      </c>
      <c r="H2853" s="561" t="s">
        <v>3754</v>
      </c>
      <c r="I2853" s="562">
        <v>30</v>
      </c>
      <c r="J2853" s="753"/>
      <c r="K2853" s="753">
        <f>VLOOKUP(D2853,[2]PC50MZ!$C$6:$J$325,7,FALSE)</f>
        <v>30</v>
      </c>
      <c r="L2853" s="753">
        <v>1</v>
      </c>
      <c r="M2853" s="753">
        <f t="shared" si="16"/>
        <v>30</v>
      </c>
      <c r="N2853" s="753"/>
      <c r="O2853" s="563"/>
      <c r="P2853" s="563"/>
      <c r="Q2853" s="563"/>
      <c r="R2853" s="564"/>
      <c r="S2853" s="562"/>
    </row>
    <row r="2854" spans="1:19" x14ac:dyDescent="0.25">
      <c r="A2854" t="s">
        <v>3317</v>
      </c>
      <c r="B2854" s="559" t="s">
        <v>1212</v>
      </c>
      <c r="C2854" s="225"/>
      <c r="D2854" s="583">
        <v>610000004061</v>
      </c>
      <c r="E2854" s="583">
        <f>VLOOKUP(D2854,'[1]Task list &amp; Maintenace plan'!$B:$G,6,FALSE)</f>
        <v>100495</v>
      </c>
      <c r="F2854" s="583" t="s">
        <v>4070</v>
      </c>
      <c r="G2854" s="584" t="s">
        <v>4082</v>
      </c>
      <c r="H2854" s="584" t="s">
        <v>4083</v>
      </c>
      <c r="I2854" s="585">
        <v>30</v>
      </c>
      <c r="J2854" s="754"/>
      <c r="K2854" s="754">
        <f>VLOOKUP(D2854,[2]PC50MZ!$C$6:$J$325,7,FALSE)</f>
        <v>30</v>
      </c>
      <c r="L2854" s="754">
        <v>1</v>
      </c>
      <c r="M2854" s="754">
        <f t="shared" si="16"/>
        <v>30</v>
      </c>
      <c r="N2854" s="754"/>
      <c r="O2854" s="563"/>
      <c r="P2854" s="563"/>
      <c r="Q2854" s="563"/>
      <c r="R2854" s="587"/>
      <c r="S2854" s="585"/>
    </row>
    <row r="2855" spans="1:19" x14ac:dyDescent="0.25">
      <c r="A2855" t="s">
        <v>3317</v>
      </c>
      <c r="B2855" s="559" t="s">
        <v>1212</v>
      </c>
      <c r="C2855" s="225"/>
      <c r="D2855" s="598">
        <v>610000004062</v>
      </c>
      <c r="E2855" s="598">
        <f>VLOOKUP(D2855,'[1]Task list &amp; Maintenace plan'!$B:$G,6,FALSE)</f>
        <v>100496</v>
      </c>
      <c r="F2855" s="598" t="s">
        <v>4084</v>
      </c>
      <c r="G2855" s="599" t="s">
        <v>419</v>
      </c>
      <c r="H2855" s="599" t="s">
        <v>4085</v>
      </c>
      <c r="I2855" s="600">
        <v>30</v>
      </c>
      <c r="J2855" s="752"/>
      <c r="K2855" s="752">
        <f>VLOOKUP(D2855,[2]PC50MZ!$C$6:$J$325,7,FALSE)</f>
        <v>20</v>
      </c>
      <c r="L2855" s="752">
        <v>1</v>
      </c>
      <c r="M2855" s="752">
        <f t="shared" si="16"/>
        <v>20</v>
      </c>
      <c r="N2855" s="752" t="s">
        <v>3174</v>
      </c>
      <c r="O2855" s="563"/>
      <c r="P2855" s="563"/>
      <c r="Q2855" s="563"/>
      <c r="R2855" s="601" t="s">
        <v>3159</v>
      </c>
      <c r="S2855" s="600"/>
    </row>
    <row r="2856" spans="1:19" x14ac:dyDescent="0.25">
      <c r="A2856" t="s">
        <v>3317</v>
      </c>
      <c r="B2856" s="559" t="s">
        <v>1212</v>
      </c>
      <c r="C2856" s="225"/>
      <c r="D2856" s="560">
        <v>610000004062</v>
      </c>
      <c r="E2856" s="560">
        <f>VLOOKUP(D2856,'[1]Task list &amp; Maintenace plan'!$B:$G,6,FALSE)</f>
        <v>100496</v>
      </c>
      <c r="F2856" s="560" t="s">
        <v>4084</v>
      </c>
      <c r="G2856" s="561" t="s">
        <v>1218</v>
      </c>
      <c r="H2856" s="561" t="s">
        <v>4086</v>
      </c>
      <c r="I2856" s="562">
        <v>30</v>
      </c>
      <c r="J2856" s="753"/>
      <c r="K2856" s="753">
        <f>VLOOKUP(D2856,[2]PC50MZ!$C$6:$J$325,7,FALSE)</f>
        <v>20</v>
      </c>
      <c r="L2856" s="753">
        <v>1</v>
      </c>
      <c r="M2856" s="753">
        <f t="shared" si="16"/>
        <v>20</v>
      </c>
      <c r="N2856" s="753"/>
      <c r="O2856" s="563"/>
      <c r="P2856" s="563"/>
      <c r="Q2856" s="563"/>
      <c r="R2856" s="564" t="s">
        <v>3159</v>
      </c>
      <c r="S2856" s="562"/>
    </row>
    <row r="2857" spans="1:19" x14ac:dyDescent="0.25">
      <c r="A2857" t="s">
        <v>3317</v>
      </c>
      <c r="B2857" s="559" t="s">
        <v>1212</v>
      </c>
      <c r="C2857" s="225"/>
      <c r="D2857" s="560">
        <v>610000004062</v>
      </c>
      <c r="E2857" s="560">
        <f>VLOOKUP(D2857,'[1]Task list &amp; Maintenace plan'!$B:$G,6,FALSE)</f>
        <v>100496</v>
      </c>
      <c r="F2857" s="560" t="s">
        <v>4084</v>
      </c>
      <c r="G2857" s="561" t="s">
        <v>1215</v>
      </c>
      <c r="H2857" s="561" t="s">
        <v>4087</v>
      </c>
      <c r="I2857" s="562">
        <v>30</v>
      </c>
      <c r="J2857" s="753"/>
      <c r="K2857" s="753">
        <f>VLOOKUP(D2857,[2]PC50MZ!$C$6:$J$325,7,FALSE)</f>
        <v>20</v>
      </c>
      <c r="L2857" s="753">
        <v>1</v>
      </c>
      <c r="M2857" s="753">
        <f t="shared" si="16"/>
        <v>20</v>
      </c>
      <c r="N2857" s="753"/>
      <c r="O2857" s="563"/>
      <c r="P2857" s="563"/>
      <c r="Q2857" s="563"/>
      <c r="R2857" s="564" t="s">
        <v>3159</v>
      </c>
      <c r="S2857" s="562"/>
    </row>
    <row r="2858" spans="1:19" x14ac:dyDescent="0.25">
      <c r="A2858" t="s">
        <v>3317</v>
      </c>
      <c r="B2858" s="559" t="s">
        <v>1212</v>
      </c>
      <c r="C2858" s="225"/>
      <c r="D2858" s="560">
        <v>610000004062</v>
      </c>
      <c r="E2858" s="560">
        <f>VLOOKUP(D2858,'[1]Task list &amp; Maintenace plan'!$B:$G,6,FALSE)</f>
        <v>100496</v>
      </c>
      <c r="F2858" s="560" t="s">
        <v>4084</v>
      </c>
      <c r="G2858" s="561" t="s">
        <v>419</v>
      </c>
      <c r="H2858" s="561" t="s">
        <v>4088</v>
      </c>
      <c r="I2858" s="562">
        <v>30</v>
      </c>
      <c r="J2858" s="753"/>
      <c r="K2858" s="753">
        <f>VLOOKUP(D2858,[2]PC50MZ!$C$6:$J$325,7,FALSE)</f>
        <v>20</v>
      </c>
      <c r="L2858" s="753">
        <v>1</v>
      </c>
      <c r="M2858" s="753">
        <f t="shared" si="16"/>
        <v>20</v>
      </c>
      <c r="N2858" s="753"/>
      <c r="O2858" s="563"/>
      <c r="P2858" s="563"/>
      <c r="Q2858" s="563"/>
      <c r="R2858" s="564" t="s">
        <v>3281</v>
      </c>
      <c r="S2858" s="562"/>
    </row>
    <row r="2859" spans="1:19" x14ac:dyDescent="0.25">
      <c r="A2859" t="s">
        <v>3317</v>
      </c>
      <c r="B2859" s="559" t="s">
        <v>1212</v>
      </c>
      <c r="C2859" s="225"/>
      <c r="D2859" s="565">
        <v>610000004062</v>
      </c>
      <c r="E2859" s="565">
        <f>VLOOKUP(D2859,'[1]Task list &amp; Maintenace plan'!$B:$G,6,FALSE)</f>
        <v>100496</v>
      </c>
      <c r="F2859" s="565" t="s">
        <v>4084</v>
      </c>
      <c r="G2859" s="566" t="s">
        <v>426</v>
      </c>
      <c r="H2859" s="566" t="s">
        <v>3749</v>
      </c>
      <c r="I2859" s="567">
        <v>30</v>
      </c>
      <c r="J2859" s="754"/>
      <c r="K2859" s="754">
        <f>VLOOKUP(D2859,[2]PC50MZ!$C$6:$J$325,7,FALSE)</f>
        <v>20</v>
      </c>
      <c r="L2859" s="754">
        <v>1</v>
      </c>
      <c r="M2859" s="754">
        <f t="shared" si="16"/>
        <v>20</v>
      </c>
      <c r="N2859" s="754"/>
      <c r="O2859" s="563"/>
      <c r="P2859" s="563"/>
      <c r="Q2859" s="563"/>
      <c r="R2859" s="568" t="s">
        <v>3159</v>
      </c>
      <c r="S2859" s="567"/>
    </row>
    <row r="2860" spans="1:19" x14ac:dyDescent="0.25">
      <c r="A2860" t="s">
        <v>3317</v>
      </c>
      <c r="B2860" s="559" t="s">
        <v>1212</v>
      </c>
      <c r="C2860" s="225"/>
      <c r="D2860" s="607">
        <v>342279</v>
      </c>
      <c r="E2860" s="607">
        <f>VLOOKUP(D2860,'[1]Task list &amp; Maintenace plan'!$B:$G,6,FALSE)</f>
        <v>465</v>
      </c>
      <c r="F2860" s="607" t="s">
        <v>4089</v>
      </c>
      <c r="G2860" s="608" t="s">
        <v>1214</v>
      </c>
      <c r="H2860" s="608" t="s">
        <v>4090</v>
      </c>
      <c r="I2860" s="609">
        <v>30</v>
      </c>
      <c r="J2860" s="610"/>
      <c r="K2860" s="610">
        <f>VLOOKUP(D2860,[2]PC50MZ!$C$6:$J$325,7,FALSE)</f>
        <v>5</v>
      </c>
      <c r="L2860" s="610">
        <v>1</v>
      </c>
      <c r="M2860" s="610">
        <f t="shared" si="16"/>
        <v>5</v>
      </c>
      <c r="N2860" s="610" t="s">
        <v>3174</v>
      </c>
      <c r="O2860" s="563"/>
      <c r="P2860" s="563"/>
      <c r="Q2860" s="563"/>
      <c r="R2860" s="611"/>
      <c r="S2860" s="609"/>
    </row>
    <row r="2861" spans="1:19" x14ac:dyDescent="0.25">
      <c r="A2861" t="s">
        <v>3317</v>
      </c>
      <c r="B2861" s="559" t="s">
        <v>1212</v>
      </c>
      <c r="C2861" s="225"/>
      <c r="D2861" s="569">
        <v>610000004063</v>
      </c>
      <c r="E2861" s="569">
        <f>VLOOKUP(D2861,'[1]Task list &amp; Maintenace plan'!$B:$G,6,FALSE)</f>
        <v>100497</v>
      </c>
      <c r="F2861" s="569" t="s">
        <v>4091</v>
      </c>
      <c r="G2861" s="570" t="s">
        <v>419</v>
      </c>
      <c r="H2861" s="570" t="s">
        <v>3396</v>
      </c>
      <c r="I2861" s="571">
        <v>30</v>
      </c>
      <c r="J2861" s="752"/>
      <c r="K2861" s="752">
        <f>VLOOKUP(D2861,[2]PC50MZ!$C$6:$J$325,7,FALSE)</f>
        <v>30</v>
      </c>
      <c r="L2861" s="752">
        <v>1</v>
      </c>
      <c r="M2861" s="752">
        <f t="shared" si="16"/>
        <v>30</v>
      </c>
      <c r="N2861" s="752" t="s">
        <v>20</v>
      </c>
      <c r="O2861" s="563"/>
      <c r="P2861" s="563"/>
      <c r="Q2861" s="563"/>
      <c r="R2861" s="572"/>
      <c r="S2861" s="571"/>
    </row>
    <row r="2862" spans="1:19" x14ac:dyDescent="0.25">
      <c r="A2862" t="s">
        <v>3317</v>
      </c>
      <c r="B2862" s="559" t="s">
        <v>1212</v>
      </c>
      <c r="C2862" s="225"/>
      <c r="D2862" s="560">
        <v>610000004063</v>
      </c>
      <c r="E2862" s="560">
        <f>VLOOKUP(D2862,'[1]Task list &amp; Maintenace plan'!$B:$G,6,FALSE)</f>
        <v>100497</v>
      </c>
      <c r="F2862" s="560" t="s">
        <v>4091</v>
      </c>
      <c r="G2862" s="561" t="s">
        <v>1218</v>
      </c>
      <c r="H2862" s="561" t="s">
        <v>4092</v>
      </c>
      <c r="I2862" s="562">
        <v>30</v>
      </c>
      <c r="J2862" s="753"/>
      <c r="K2862" s="753">
        <f>VLOOKUP(D2862,[2]PC50MZ!$C$6:$J$325,7,FALSE)</f>
        <v>30</v>
      </c>
      <c r="L2862" s="753">
        <v>1</v>
      </c>
      <c r="M2862" s="753">
        <f t="shared" si="16"/>
        <v>30</v>
      </c>
      <c r="N2862" s="753"/>
      <c r="O2862" s="563"/>
      <c r="P2862" s="563"/>
      <c r="Q2862" s="563"/>
      <c r="R2862" s="564"/>
      <c r="S2862" s="562"/>
    </row>
    <row r="2863" spans="1:19" x14ac:dyDescent="0.25">
      <c r="A2863" t="s">
        <v>3317</v>
      </c>
      <c r="B2863" s="559" t="s">
        <v>1212</v>
      </c>
      <c r="C2863" s="225"/>
      <c r="D2863" s="560">
        <v>610000004063</v>
      </c>
      <c r="E2863" s="560">
        <f>VLOOKUP(D2863,'[1]Task list &amp; Maintenace plan'!$B:$G,6,FALSE)</f>
        <v>100497</v>
      </c>
      <c r="F2863" s="560" t="s">
        <v>4091</v>
      </c>
      <c r="G2863" s="561" t="s">
        <v>1215</v>
      </c>
      <c r="H2863" s="561" t="s">
        <v>4093</v>
      </c>
      <c r="I2863" s="562">
        <v>30</v>
      </c>
      <c r="J2863" s="753"/>
      <c r="K2863" s="753">
        <f>VLOOKUP(D2863,[2]PC50MZ!$C$6:$J$325,7,FALSE)</f>
        <v>30</v>
      </c>
      <c r="L2863" s="753">
        <v>1</v>
      </c>
      <c r="M2863" s="753">
        <f t="shared" si="16"/>
        <v>30</v>
      </c>
      <c r="N2863" s="753"/>
      <c r="O2863" s="563"/>
      <c r="P2863" s="563"/>
      <c r="Q2863" s="563"/>
      <c r="R2863" s="564"/>
      <c r="S2863" s="562"/>
    </row>
    <row r="2864" spans="1:19" x14ac:dyDescent="0.25">
      <c r="A2864" t="s">
        <v>3317</v>
      </c>
      <c r="B2864" s="559" t="s">
        <v>1212</v>
      </c>
      <c r="C2864" s="225"/>
      <c r="D2864" s="560">
        <v>610000004063</v>
      </c>
      <c r="E2864" s="560">
        <f>VLOOKUP(D2864,'[1]Task list &amp; Maintenace plan'!$B:$G,6,FALSE)</f>
        <v>100497</v>
      </c>
      <c r="F2864" s="560" t="s">
        <v>4091</v>
      </c>
      <c r="G2864" s="561" t="s">
        <v>1231</v>
      </c>
      <c r="H2864" s="561" t="s">
        <v>4094</v>
      </c>
      <c r="I2864" s="562">
        <v>30</v>
      </c>
      <c r="J2864" s="753"/>
      <c r="K2864" s="753">
        <f>VLOOKUP(D2864,[2]PC50MZ!$C$6:$J$325,7,FALSE)</f>
        <v>30</v>
      </c>
      <c r="L2864" s="753">
        <v>1</v>
      </c>
      <c r="M2864" s="753">
        <f t="shared" si="16"/>
        <v>30</v>
      </c>
      <c r="N2864" s="753"/>
      <c r="O2864" s="563"/>
      <c r="P2864" s="563"/>
      <c r="Q2864" s="563"/>
      <c r="R2864" s="564"/>
      <c r="S2864" s="562"/>
    </row>
    <row r="2865" spans="1:19" x14ac:dyDescent="0.25">
      <c r="A2865" t="s">
        <v>3317</v>
      </c>
      <c r="B2865" s="559" t="s">
        <v>1212</v>
      </c>
      <c r="C2865" s="225"/>
      <c r="D2865" s="565">
        <v>610000004063</v>
      </c>
      <c r="E2865" s="565">
        <f>VLOOKUP(D2865,'[1]Task list &amp; Maintenace plan'!$B:$G,6,FALSE)</f>
        <v>100497</v>
      </c>
      <c r="F2865" s="565" t="s">
        <v>4091</v>
      </c>
      <c r="G2865" s="566" t="s">
        <v>1234</v>
      </c>
      <c r="H2865" s="566" t="s">
        <v>4095</v>
      </c>
      <c r="I2865" s="567">
        <v>30</v>
      </c>
      <c r="J2865" s="754"/>
      <c r="K2865" s="754">
        <f>VLOOKUP(D2865,[2]PC50MZ!$C$6:$J$325,7,FALSE)</f>
        <v>30</v>
      </c>
      <c r="L2865" s="754">
        <v>1</v>
      </c>
      <c r="M2865" s="754">
        <f t="shared" si="16"/>
        <v>30</v>
      </c>
      <c r="N2865" s="754"/>
      <c r="O2865" s="563"/>
      <c r="P2865" s="563"/>
      <c r="Q2865" s="563"/>
      <c r="R2865" s="568"/>
      <c r="S2865" s="567"/>
    </row>
    <row r="2866" spans="1:19" x14ac:dyDescent="0.25">
      <c r="A2866" t="s">
        <v>3317</v>
      </c>
      <c r="B2866" s="559" t="s">
        <v>1212</v>
      </c>
      <c r="C2866" s="225"/>
      <c r="D2866" s="598">
        <v>610000004064</v>
      </c>
      <c r="E2866" s="598">
        <f>VLOOKUP(D2866,'[1]Task list &amp; Maintenace plan'!$B:$G,6,FALSE)</f>
        <v>100498</v>
      </c>
      <c r="F2866" s="598" t="s">
        <v>4096</v>
      </c>
      <c r="G2866" s="599" t="s">
        <v>4071</v>
      </c>
      <c r="H2866" s="599" t="s">
        <v>4097</v>
      </c>
      <c r="I2866" s="600">
        <v>30</v>
      </c>
      <c r="J2866" s="752"/>
      <c r="K2866" s="752">
        <f>VLOOKUP(D2866,[2]PC50MZ!$C$6:$J$325,7,FALSE)</f>
        <v>60</v>
      </c>
      <c r="L2866" s="752">
        <v>4</v>
      </c>
      <c r="M2866" s="752">
        <f t="shared" si="16"/>
        <v>240</v>
      </c>
      <c r="N2866" s="752" t="s">
        <v>34</v>
      </c>
      <c r="O2866" s="563"/>
      <c r="P2866" s="563"/>
      <c r="Q2866" s="563"/>
      <c r="R2866" s="601"/>
      <c r="S2866" s="600"/>
    </row>
    <row r="2867" spans="1:19" x14ac:dyDescent="0.25">
      <c r="A2867" t="s">
        <v>3317</v>
      </c>
      <c r="B2867" s="559" t="s">
        <v>1212</v>
      </c>
      <c r="C2867" s="225"/>
      <c r="D2867" s="565">
        <v>610000004064</v>
      </c>
      <c r="E2867" s="565">
        <f>VLOOKUP(D2867,'[1]Task list &amp; Maintenace plan'!$B:$G,6,FALSE)</f>
        <v>100498</v>
      </c>
      <c r="F2867" s="565" t="s">
        <v>4096</v>
      </c>
      <c r="G2867" s="566" t="s">
        <v>4071</v>
      </c>
      <c r="H2867" s="566" t="s">
        <v>4098</v>
      </c>
      <c r="I2867" s="567">
        <v>30</v>
      </c>
      <c r="J2867" s="754"/>
      <c r="K2867" s="754">
        <f>VLOOKUP(D2867,[2]PC50MZ!$C$6:$J$325,7,FALSE)</f>
        <v>60</v>
      </c>
      <c r="L2867" s="754">
        <v>4</v>
      </c>
      <c r="M2867" s="754">
        <f t="shared" si="16"/>
        <v>240</v>
      </c>
      <c r="N2867" s="754"/>
      <c r="O2867" s="563"/>
      <c r="P2867" s="563"/>
      <c r="Q2867" s="563"/>
      <c r="R2867" s="568"/>
      <c r="S2867" s="567"/>
    </row>
    <row r="2868" spans="1:19" x14ac:dyDescent="0.25">
      <c r="A2868" t="s">
        <v>3317</v>
      </c>
      <c r="B2868" s="559" t="s">
        <v>1212</v>
      </c>
      <c r="C2868" s="225"/>
      <c r="D2868" s="607">
        <v>350834</v>
      </c>
      <c r="E2868" s="607">
        <f>VLOOKUP(D2868,'[1]Task list &amp; Maintenace plan'!$B:$G,6,FALSE)</f>
        <v>1421</v>
      </c>
      <c r="F2868" s="607" t="s">
        <v>4099</v>
      </c>
      <c r="G2868" s="608" t="s">
        <v>4100</v>
      </c>
      <c r="H2868" s="608" t="s">
        <v>4101</v>
      </c>
      <c r="I2868" s="609">
        <v>30</v>
      </c>
      <c r="J2868" s="610">
        <v>1</v>
      </c>
      <c r="K2868" s="610">
        <f>VLOOKUP(D2868,[2]PC50MZ!$C$6:$J$325,7,FALSE)</f>
        <v>30</v>
      </c>
      <c r="L2868" s="610">
        <v>1</v>
      </c>
      <c r="M2868" s="610">
        <f t="shared" si="16"/>
        <v>30</v>
      </c>
      <c r="N2868" s="610" t="s">
        <v>34</v>
      </c>
      <c r="O2868" s="563"/>
      <c r="P2868" s="563"/>
      <c r="Q2868" s="563"/>
      <c r="R2868" s="611"/>
      <c r="S2868" s="609"/>
    </row>
    <row r="2869" spans="1:19" x14ac:dyDescent="0.25">
      <c r="A2869" t="s">
        <v>3317</v>
      </c>
      <c r="B2869" s="559" t="s">
        <v>1212</v>
      </c>
      <c r="C2869" s="225"/>
      <c r="D2869" s="569">
        <v>610000004065</v>
      </c>
      <c r="E2869" s="569">
        <f>VLOOKUP(D2869,'[1]Task list &amp; Maintenace plan'!$B:$G,6,FALSE)</f>
        <v>100499</v>
      </c>
      <c r="F2869" s="569" t="s">
        <v>4102</v>
      </c>
      <c r="G2869" s="570" t="s">
        <v>419</v>
      </c>
      <c r="H2869" s="570" t="s">
        <v>4103</v>
      </c>
      <c r="I2869" s="571">
        <v>90</v>
      </c>
      <c r="J2869" s="752">
        <v>1</v>
      </c>
      <c r="K2869" s="752">
        <f>VLOOKUP(D2869,[2]PC50MZ!$C$6:$J$325,7,FALSE)</f>
        <v>30</v>
      </c>
      <c r="L2869" s="752">
        <v>1</v>
      </c>
      <c r="M2869" s="752">
        <f t="shared" si="16"/>
        <v>30</v>
      </c>
      <c r="N2869" s="752" t="s">
        <v>20</v>
      </c>
      <c r="O2869" s="563"/>
      <c r="P2869" s="563"/>
      <c r="Q2869" s="563"/>
      <c r="R2869" s="572"/>
      <c r="S2869" s="571"/>
    </row>
    <row r="2870" spans="1:19" x14ac:dyDescent="0.25">
      <c r="A2870" t="s">
        <v>3317</v>
      </c>
      <c r="B2870" s="559" t="s">
        <v>1212</v>
      </c>
      <c r="C2870" s="225"/>
      <c r="D2870" s="560">
        <v>610000004065</v>
      </c>
      <c r="E2870" s="560">
        <f>VLOOKUP(D2870,'[1]Task list &amp; Maintenace plan'!$B:$G,6,FALSE)</f>
        <v>100499</v>
      </c>
      <c r="F2870" s="560" t="s">
        <v>4102</v>
      </c>
      <c r="G2870" s="561" t="s">
        <v>1218</v>
      </c>
      <c r="H2870" s="561" t="s">
        <v>4104</v>
      </c>
      <c r="I2870" s="562">
        <v>90</v>
      </c>
      <c r="J2870" s="753">
        <v>1</v>
      </c>
      <c r="K2870" s="753">
        <f>VLOOKUP(D2870,[2]PC50MZ!$C$6:$J$325,7,FALSE)</f>
        <v>30</v>
      </c>
      <c r="L2870" s="753">
        <v>1</v>
      </c>
      <c r="M2870" s="753">
        <f t="shared" si="16"/>
        <v>30</v>
      </c>
      <c r="N2870" s="753"/>
      <c r="O2870" s="563"/>
      <c r="P2870" s="563"/>
      <c r="Q2870" s="563"/>
      <c r="R2870" s="564"/>
      <c r="S2870" s="562"/>
    </row>
    <row r="2871" spans="1:19" x14ac:dyDescent="0.25">
      <c r="A2871" t="s">
        <v>3317</v>
      </c>
      <c r="B2871" s="559" t="s">
        <v>1212</v>
      </c>
      <c r="C2871" s="225"/>
      <c r="D2871" s="560">
        <v>610000004065</v>
      </c>
      <c r="E2871" s="560">
        <f>VLOOKUP(D2871,'[1]Task list &amp; Maintenace plan'!$B:$G,6,FALSE)</f>
        <v>100499</v>
      </c>
      <c r="F2871" s="560" t="s">
        <v>4102</v>
      </c>
      <c r="G2871" s="561" t="s">
        <v>1231</v>
      </c>
      <c r="H2871" s="561" t="s">
        <v>4105</v>
      </c>
      <c r="I2871" s="562">
        <v>90</v>
      </c>
      <c r="J2871" s="753">
        <v>1</v>
      </c>
      <c r="K2871" s="753">
        <f>VLOOKUP(D2871,[2]PC50MZ!$C$6:$J$325,7,FALSE)</f>
        <v>30</v>
      </c>
      <c r="L2871" s="753">
        <v>1</v>
      </c>
      <c r="M2871" s="753">
        <f t="shared" si="16"/>
        <v>30</v>
      </c>
      <c r="N2871" s="753"/>
      <c r="O2871" s="563"/>
      <c r="P2871" s="563"/>
      <c r="Q2871" s="563"/>
      <c r="R2871" s="564"/>
      <c r="S2871" s="562"/>
    </row>
    <row r="2872" spans="1:19" x14ac:dyDescent="0.25">
      <c r="A2872" t="s">
        <v>3317</v>
      </c>
      <c r="B2872" s="559" t="s">
        <v>1212</v>
      </c>
      <c r="C2872" s="225"/>
      <c r="D2872" s="565">
        <v>610000004065</v>
      </c>
      <c r="E2872" s="565">
        <f>VLOOKUP(D2872,'[1]Task list &amp; Maintenace plan'!$B:$G,6,FALSE)</f>
        <v>100499</v>
      </c>
      <c r="F2872" s="565" t="s">
        <v>4102</v>
      </c>
      <c r="G2872" s="566" t="s">
        <v>1234</v>
      </c>
      <c r="H2872" s="566" t="s">
        <v>4106</v>
      </c>
      <c r="I2872" s="567">
        <v>90</v>
      </c>
      <c r="J2872" s="754">
        <v>1</v>
      </c>
      <c r="K2872" s="754">
        <f>VLOOKUP(D2872,[2]PC50MZ!$C$6:$J$325,7,FALSE)</f>
        <v>30</v>
      </c>
      <c r="L2872" s="754">
        <v>1</v>
      </c>
      <c r="M2872" s="754">
        <f t="shared" si="16"/>
        <v>30</v>
      </c>
      <c r="N2872" s="754"/>
      <c r="O2872" s="563"/>
      <c r="P2872" s="563"/>
      <c r="Q2872" s="563"/>
      <c r="R2872" s="568"/>
      <c r="S2872" s="567"/>
    </row>
    <row r="2873" spans="1:19" x14ac:dyDescent="0.25">
      <c r="A2873" t="s">
        <v>3317</v>
      </c>
      <c r="B2873" s="559" t="s">
        <v>1212</v>
      </c>
      <c r="C2873" s="225"/>
      <c r="D2873" s="607">
        <v>610000004066</v>
      </c>
      <c r="E2873" s="607">
        <f>VLOOKUP(D2873,'[1]Task list &amp; Maintenace plan'!$B:$G,6,FALSE)</f>
        <v>100500</v>
      </c>
      <c r="F2873" s="607" t="s">
        <v>4107</v>
      </c>
      <c r="G2873" s="608" t="s">
        <v>426</v>
      </c>
      <c r="H2873" s="608" t="s">
        <v>4108</v>
      </c>
      <c r="I2873" s="609">
        <v>180</v>
      </c>
      <c r="J2873" s="610">
        <v>1</v>
      </c>
      <c r="K2873" s="610">
        <f>VLOOKUP(D2873,[2]PC50MZ!$C$6:$J$325,7,FALSE)</f>
        <v>480</v>
      </c>
      <c r="L2873" s="610">
        <v>6</v>
      </c>
      <c r="M2873" s="610">
        <f t="shared" si="16"/>
        <v>2880</v>
      </c>
      <c r="N2873" s="610" t="s">
        <v>468</v>
      </c>
      <c r="O2873" s="563"/>
      <c r="P2873" s="563"/>
      <c r="Q2873" s="563"/>
      <c r="R2873" s="611" t="s">
        <v>4109</v>
      </c>
      <c r="S2873" s="609"/>
    </row>
    <row r="2874" spans="1:19" x14ac:dyDescent="0.25">
      <c r="A2874" t="s">
        <v>3317</v>
      </c>
      <c r="B2874" s="559" t="s">
        <v>1212</v>
      </c>
      <c r="C2874" s="225"/>
      <c r="D2874" s="569">
        <v>610000004067</v>
      </c>
      <c r="E2874" s="569">
        <f>VLOOKUP(D2874,'[1]Task list &amp; Maintenace plan'!$B:$G,6,FALSE)</f>
        <v>100501</v>
      </c>
      <c r="F2874" s="569" t="s">
        <v>4110</v>
      </c>
      <c r="G2874" s="570" t="s">
        <v>426</v>
      </c>
      <c r="H2874" s="570" t="s">
        <v>4111</v>
      </c>
      <c r="I2874" s="571">
        <v>180</v>
      </c>
      <c r="J2874" s="752">
        <v>1</v>
      </c>
      <c r="K2874" s="752">
        <f>VLOOKUP(D2874,[2]PC50MZ!$C$6:$J$325,7,FALSE)</f>
        <v>120</v>
      </c>
      <c r="L2874" s="752">
        <v>2</v>
      </c>
      <c r="M2874" s="752">
        <f t="shared" si="16"/>
        <v>240</v>
      </c>
      <c r="N2874" s="752" t="s">
        <v>3174</v>
      </c>
      <c r="O2874" s="563"/>
      <c r="P2874" s="563"/>
      <c r="Q2874" s="563"/>
      <c r="R2874" s="572" t="s">
        <v>3254</v>
      </c>
      <c r="S2874" s="571" t="s">
        <v>3872</v>
      </c>
    </row>
    <row r="2875" spans="1:19" x14ac:dyDescent="0.25">
      <c r="A2875" t="s">
        <v>3317</v>
      </c>
      <c r="B2875" s="559" t="s">
        <v>1212</v>
      </c>
      <c r="C2875" s="225"/>
      <c r="D2875" s="560">
        <v>610000004067</v>
      </c>
      <c r="E2875" s="560">
        <f>VLOOKUP(D2875,'[1]Task list &amp; Maintenace plan'!$B:$G,6,FALSE)</f>
        <v>100501</v>
      </c>
      <c r="F2875" s="560" t="s">
        <v>4110</v>
      </c>
      <c r="G2875" s="561" t="s">
        <v>419</v>
      </c>
      <c r="H2875" s="561" t="s">
        <v>4112</v>
      </c>
      <c r="I2875" s="562">
        <v>180</v>
      </c>
      <c r="J2875" s="753">
        <v>1</v>
      </c>
      <c r="K2875" s="753">
        <f>VLOOKUP(D2875,[2]PC50MZ!$C$6:$J$325,7,FALSE)</f>
        <v>120</v>
      </c>
      <c r="L2875" s="753">
        <v>2</v>
      </c>
      <c r="M2875" s="753">
        <f t="shared" si="16"/>
        <v>240</v>
      </c>
      <c r="N2875" s="753"/>
      <c r="O2875" s="563"/>
      <c r="P2875" s="563"/>
      <c r="Q2875" s="563"/>
      <c r="R2875" s="564" t="s">
        <v>3401</v>
      </c>
      <c r="S2875" s="562"/>
    </row>
    <row r="2876" spans="1:19" x14ac:dyDescent="0.25">
      <c r="A2876" t="s">
        <v>3317</v>
      </c>
      <c r="B2876" s="559" t="s">
        <v>1212</v>
      </c>
      <c r="C2876" s="225"/>
      <c r="D2876" s="560">
        <v>610000004067</v>
      </c>
      <c r="E2876" s="560">
        <f>VLOOKUP(D2876,'[1]Task list &amp; Maintenace plan'!$B:$G,6,FALSE)</f>
        <v>100501</v>
      </c>
      <c r="F2876" s="560" t="s">
        <v>4110</v>
      </c>
      <c r="G2876" s="561" t="s">
        <v>1231</v>
      </c>
      <c r="H2876" s="561" t="s">
        <v>4113</v>
      </c>
      <c r="I2876" s="562">
        <v>180</v>
      </c>
      <c r="J2876" s="753">
        <v>1</v>
      </c>
      <c r="K2876" s="753">
        <f>VLOOKUP(D2876,[2]PC50MZ!$C$6:$J$325,7,FALSE)</f>
        <v>120</v>
      </c>
      <c r="L2876" s="753">
        <v>2</v>
      </c>
      <c r="M2876" s="753">
        <f t="shared" si="16"/>
        <v>240</v>
      </c>
      <c r="N2876" s="753"/>
      <c r="O2876" s="563"/>
      <c r="P2876" s="563"/>
      <c r="Q2876" s="563"/>
      <c r="R2876" s="564" t="s">
        <v>3642</v>
      </c>
      <c r="S2876" s="562" t="s">
        <v>4114</v>
      </c>
    </row>
    <row r="2877" spans="1:19" ht="15.75" thickBot="1" x14ac:dyDescent="0.3">
      <c r="A2877" t="s">
        <v>3317</v>
      </c>
      <c r="B2877" s="559" t="s">
        <v>1212</v>
      </c>
      <c r="C2877" s="578"/>
      <c r="D2877" s="579">
        <v>610000004067</v>
      </c>
      <c r="E2877" s="579">
        <f>VLOOKUP(D2877,'[1]Task list &amp; Maintenace plan'!$B:$G,6,FALSE)</f>
        <v>100501</v>
      </c>
      <c r="F2877" s="579" t="s">
        <v>4110</v>
      </c>
      <c r="G2877" s="580" t="s">
        <v>1234</v>
      </c>
      <c r="H2877" s="580" t="s">
        <v>4115</v>
      </c>
      <c r="I2877" s="581">
        <v>180</v>
      </c>
      <c r="J2877" s="756">
        <v>1</v>
      </c>
      <c r="K2877" s="756">
        <f>VLOOKUP(D2877,[2]PC50MZ!$C$6:$J$325,7,FALSE)</f>
        <v>120</v>
      </c>
      <c r="L2877" s="756">
        <v>2</v>
      </c>
      <c r="M2877" s="756">
        <f t="shared" si="16"/>
        <v>240</v>
      </c>
      <c r="N2877" s="756"/>
      <c r="O2877" s="563"/>
      <c r="P2877" s="563"/>
      <c r="Q2877" s="563"/>
      <c r="R2877" s="582" t="s">
        <v>3642</v>
      </c>
      <c r="S2877" s="581" t="s">
        <v>4114</v>
      </c>
    </row>
    <row r="2878" spans="1:19" x14ac:dyDescent="0.25">
      <c r="A2878" t="s">
        <v>3317</v>
      </c>
      <c r="B2878" s="559" t="s">
        <v>1287</v>
      </c>
      <c r="C2878" s="225"/>
      <c r="D2878" s="569">
        <v>610000004068</v>
      </c>
      <c r="E2878" s="569">
        <f>VLOOKUP(D2878,'[1]Task list &amp; Maintenace plan'!$B:$G,6,FALSE)</f>
        <v>100502</v>
      </c>
      <c r="F2878" s="569" t="s">
        <v>4116</v>
      </c>
      <c r="G2878" s="570" t="s">
        <v>1298</v>
      </c>
      <c r="H2878" s="570" t="s">
        <v>4117</v>
      </c>
      <c r="I2878" s="571">
        <v>7</v>
      </c>
      <c r="J2878" s="755">
        <v>1</v>
      </c>
      <c r="K2878" s="755">
        <f>VLOOKUP(D2878,[2]PC50MZ!$C$6:$J$325,7,FALSE)</f>
        <v>30</v>
      </c>
      <c r="L2878" s="755">
        <v>1</v>
      </c>
      <c r="M2878" s="755">
        <f t="shared" si="16"/>
        <v>30</v>
      </c>
      <c r="N2878" s="755" t="s">
        <v>3174</v>
      </c>
      <c r="O2878" s="563"/>
      <c r="P2878" s="563"/>
      <c r="Q2878" s="563"/>
      <c r="R2878" s="572" t="s">
        <v>3159</v>
      </c>
      <c r="S2878" s="571"/>
    </row>
    <row r="2879" spans="1:19" x14ac:dyDescent="0.25">
      <c r="A2879" t="s">
        <v>3317</v>
      </c>
      <c r="B2879" s="559" t="s">
        <v>1287</v>
      </c>
      <c r="C2879" s="225"/>
      <c r="D2879" s="560">
        <v>610000004068</v>
      </c>
      <c r="E2879" s="560">
        <f>VLOOKUP(D2879,'[1]Task list &amp; Maintenace plan'!$B:$G,6,FALSE)</f>
        <v>100502</v>
      </c>
      <c r="F2879" s="560" t="s">
        <v>4116</v>
      </c>
      <c r="G2879" s="561" t="s">
        <v>1298</v>
      </c>
      <c r="H2879" s="561" t="s">
        <v>4118</v>
      </c>
      <c r="I2879" s="562">
        <v>7</v>
      </c>
      <c r="J2879" s="753">
        <v>1</v>
      </c>
      <c r="K2879" s="753">
        <f>VLOOKUP(D2879,[2]PC50MZ!$C$6:$J$325,7,FALSE)</f>
        <v>30</v>
      </c>
      <c r="L2879" s="753">
        <v>1</v>
      </c>
      <c r="M2879" s="753">
        <f t="shared" si="16"/>
        <v>30</v>
      </c>
      <c r="N2879" s="753"/>
      <c r="O2879" s="563"/>
      <c r="P2879" s="563"/>
      <c r="Q2879" s="563"/>
      <c r="R2879" s="564" t="s">
        <v>3159</v>
      </c>
      <c r="S2879" s="562"/>
    </row>
    <row r="2880" spans="1:19" x14ac:dyDescent="0.25">
      <c r="A2880" t="s">
        <v>3317</v>
      </c>
      <c r="B2880" s="559" t="s">
        <v>1287</v>
      </c>
      <c r="C2880" s="225"/>
      <c r="D2880" s="560">
        <v>610000004068</v>
      </c>
      <c r="E2880" s="560">
        <f>VLOOKUP(D2880,'[1]Task list &amp; Maintenace plan'!$B:$G,6,FALSE)</f>
        <v>100502</v>
      </c>
      <c r="F2880" s="560" t="s">
        <v>4116</v>
      </c>
      <c r="G2880" s="561" t="s">
        <v>386</v>
      </c>
      <c r="H2880" s="561" t="s">
        <v>4119</v>
      </c>
      <c r="I2880" s="562">
        <v>7</v>
      </c>
      <c r="J2880" s="753">
        <v>1</v>
      </c>
      <c r="K2880" s="753">
        <f>VLOOKUP(D2880,[2]PC50MZ!$C$6:$J$325,7,FALSE)</f>
        <v>30</v>
      </c>
      <c r="L2880" s="753">
        <v>1</v>
      </c>
      <c r="M2880" s="753">
        <f t="shared" si="16"/>
        <v>30</v>
      </c>
      <c r="N2880" s="753"/>
      <c r="O2880" s="563"/>
      <c r="P2880" s="563"/>
      <c r="Q2880" s="563"/>
      <c r="R2880" s="564" t="s">
        <v>3159</v>
      </c>
      <c r="S2880" s="562"/>
    </row>
    <row r="2881" spans="1:19" x14ac:dyDescent="0.25">
      <c r="A2881" t="s">
        <v>3317</v>
      </c>
      <c r="B2881" s="559" t="s">
        <v>1287</v>
      </c>
      <c r="C2881" s="225"/>
      <c r="D2881" s="560">
        <v>610000004068</v>
      </c>
      <c r="E2881" s="560">
        <f>VLOOKUP(D2881,'[1]Task list &amp; Maintenace plan'!$B:$G,6,FALSE)</f>
        <v>100502</v>
      </c>
      <c r="F2881" s="560" t="s">
        <v>4116</v>
      </c>
      <c r="G2881" s="561" t="s">
        <v>386</v>
      </c>
      <c r="H2881" s="561" t="s">
        <v>4120</v>
      </c>
      <c r="I2881" s="562">
        <v>7</v>
      </c>
      <c r="J2881" s="753">
        <v>1</v>
      </c>
      <c r="K2881" s="753">
        <f>VLOOKUP(D2881,[2]PC50MZ!$C$6:$J$325,7,FALSE)</f>
        <v>30</v>
      </c>
      <c r="L2881" s="753">
        <v>1</v>
      </c>
      <c r="M2881" s="753">
        <f t="shared" si="16"/>
        <v>30</v>
      </c>
      <c r="N2881" s="753"/>
      <c r="O2881" s="563"/>
      <c r="P2881" s="563"/>
      <c r="Q2881" s="563"/>
      <c r="R2881" s="564" t="s">
        <v>3159</v>
      </c>
      <c r="S2881" s="562"/>
    </row>
    <row r="2882" spans="1:19" x14ac:dyDescent="0.25">
      <c r="A2882" t="s">
        <v>3317</v>
      </c>
      <c r="B2882" s="559" t="s">
        <v>1287</v>
      </c>
      <c r="C2882" s="225"/>
      <c r="D2882" s="565">
        <v>610000004068</v>
      </c>
      <c r="E2882" s="565">
        <f>VLOOKUP(D2882,'[1]Task list &amp; Maintenace plan'!$B:$G,6,FALSE)</f>
        <v>100502</v>
      </c>
      <c r="F2882" s="565" t="s">
        <v>4116</v>
      </c>
      <c r="G2882" s="566" t="s">
        <v>1298</v>
      </c>
      <c r="H2882" s="566" t="s">
        <v>4121</v>
      </c>
      <c r="I2882" s="567">
        <v>7</v>
      </c>
      <c r="J2882" s="754">
        <v>1</v>
      </c>
      <c r="K2882" s="754">
        <f>VLOOKUP(D2882,[2]PC50MZ!$C$6:$J$325,7,FALSE)</f>
        <v>30</v>
      </c>
      <c r="L2882" s="754">
        <v>1</v>
      </c>
      <c r="M2882" s="754">
        <f t="shared" si="16"/>
        <v>30</v>
      </c>
      <c r="N2882" s="754"/>
      <c r="O2882" s="563"/>
      <c r="P2882" s="563"/>
      <c r="Q2882" s="563"/>
      <c r="R2882" s="568" t="s">
        <v>3159</v>
      </c>
      <c r="S2882" s="567"/>
    </row>
    <row r="2883" spans="1:19" x14ac:dyDescent="0.25">
      <c r="A2883" t="s">
        <v>3317</v>
      </c>
      <c r="B2883" s="559" t="s">
        <v>1287</v>
      </c>
      <c r="C2883" s="225"/>
      <c r="D2883" s="569">
        <v>610000004069</v>
      </c>
      <c r="E2883" s="569">
        <f>VLOOKUP(D2883,'[1]Task list &amp; Maintenace plan'!$B:$G,6,FALSE)</f>
        <v>100503</v>
      </c>
      <c r="F2883" s="569" t="s">
        <v>4123</v>
      </c>
      <c r="G2883" s="570" t="s">
        <v>663</v>
      </c>
      <c r="H2883" s="570" t="s">
        <v>4124</v>
      </c>
      <c r="I2883" s="571">
        <v>15</v>
      </c>
      <c r="J2883" s="752"/>
      <c r="K2883" s="752">
        <f>VLOOKUP(D2883,[2]PC50MZ!$C$6:$J$325,7,FALSE)</f>
        <v>15</v>
      </c>
      <c r="L2883" s="752">
        <v>1</v>
      </c>
      <c r="M2883" s="752">
        <f t="shared" si="16"/>
        <v>15</v>
      </c>
      <c r="N2883" s="752" t="s">
        <v>20</v>
      </c>
      <c r="O2883" s="563"/>
      <c r="P2883" s="563"/>
      <c r="Q2883" s="563"/>
      <c r="R2883" s="572" t="s">
        <v>4125</v>
      </c>
      <c r="S2883" s="571" t="s">
        <v>3880</v>
      </c>
    </row>
    <row r="2884" spans="1:19" x14ac:dyDescent="0.25">
      <c r="A2884" t="s">
        <v>3317</v>
      </c>
      <c r="B2884" s="559" t="s">
        <v>1287</v>
      </c>
      <c r="C2884" s="225"/>
      <c r="D2884" s="560">
        <v>610000004069</v>
      </c>
      <c r="E2884" s="560">
        <f>VLOOKUP(D2884,'[1]Task list &amp; Maintenace plan'!$B:$G,6,FALSE)</f>
        <v>100503</v>
      </c>
      <c r="F2884" s="560" t="s">
        <v>4123</v>
      </c>
      <c r="G2884" s="561" t="s">
        <v>665</v>
      </c>
      <c r="H2884" s="561" t="s">
        <v>3726</v>
      </c>
      <c r="I2884" s="562">
        <v>15</v>
      </c>
      <c r="J2884" s="753"/>
      <c r="K2884" s="753">
        <f>VLOOKUP(D2884,[2]PC50MZ!$C$6:$J$325,7,FALSE)</f>
        <v>15</v>
      </c>
      <c r="L2884" s="753">
        <v>1</v>
      </c>
      <c r="M2884" s="753">
        <f t="shared" si="16"/>
        <v>15</v>
      </c>
      <c r="N2884" s="753"/>
      <c r="O2884" s="563"/>
      <c r="P2884" s="563"/>
      <c r="Q2884" s="563"/>
      <c r="R2884" s="564" t="s">
        <v>4126</v>
      </c>
      <c r="S2884" s="562" t="s">
        <v>3342</v>
      </c>
    </row>
    <row r="2885" spans="1:19" x14ac:dyDescent="0.25">
      <c r="A2885" t="s">
        <v>3317</v>
      </c>
      <c r="B2885" s="559" t="s">
        <v>1287</v>
      </c>
      <c r="C2885" s="225"/>
      <c r="D2885" s="565">
        <v>610000004069</v>
      </c>
      <c r="E2885" s="565">
        <f>VLOOKUP(D2885,'[1]Task list &amp; Maintenace plan'!$B:$G,6,FALSE)</f>
        <v>100503</v>
      </c>
      <c r="F2885" s="565" t="s">
        <v>4123</v>
      </c>
      <c r="G2885" s="566" t="s">
        <v>1291</v>
      </c>
      <c r="H2885" s="566" t="s">
        <v>4127</v>
      </c>
      <c r="I2885" s="567">
        <v>15</v>
      </c>
      <c r="J2885" s="754"/>
      <c r="K2885" s="754">
        <f>VLOOKUP(D2885,[2]PC50MZ!$C$6:$J$325,7,FALSE)</f>
        <v>15</v>
      </c>
      <c r="L2885" s="754">
        <v>1</v>
      </c>
      <c r="M2885" s="754">
        <f t="shared" si="16"/>
        <v>15</v>
      </c>
      <c r="N2885" s="754"/>
      <c r="O2885" s="563"/>
      <c r="P2885" s="563"/>
      <c r="Q2885" s="563"/>
      <c r="R2885" s="568"/>
      <c r="S2885" s="567"/>
    </row>
    <row r="2886" spans="1:19" x14ac:dyDescent="0.25">
      <c r="A2886" t="s">
        <v>3317</v>
      </c>
      <c r="B2886" s="559" t="s">
        <v>1287</v>
      </c>
      <c r="C2886" s="225"/>
      <c r="D2886" s="598">
        <v>610000004070</v>
      </c>
      <c r="E2886" s="598">
        <f>VLOOKUP(D2886,'[1]Task list &amp; Maintenace plan'!$B:$G,6,FALSE)</f>
        <v>100504</v>
      </c>
      <c r="F2886" s="598" t="s">
        <v>4128</v>
      </c>
      <c r="G2886" s="599" t="s">
        <v>663</v>
      </c>
      <c r="H2886" s="599" t="s">
        <v>3723</v>
      </c>
      <c r="I2886" s="600">
        <v>15</v>
      </c>
      <c r="J2886" s="752"/>
      <c r="K2886" s="752">
        <f>VLOOKUP(D2886,[2]PC50MZ!$C$6:$J$325,7,FALSE)</f>
        <v>15</v>
      </c>
      <c r="L2886" s="752">
        <v>1</v>
      </c>
      <c r="M2886" s="752">
        <f t="shared" si="16"/>
        <v>15</v>
      </c>
      <c r="N2886" s="752" t="s">
        <v>3174</v>
      </c>
      <c r="O2886" s="563"/>
      <c r="P2886" s="563"/>
      <c r="Q2886" s="563"/>
      <c r="R2886" s="601" t="s">
        <v>3281</v>
      </c>
      <c r="S2886" s="600"/>
    </row>
    <row r="2887" spans="1:19" x14ac:dyDescent="0.25">
      <c r="A2887" t="s">
        <v>3317</v>
      </c>
      <c r="B2887" s="559" t="s">
        <v>1287</v>
      </c>
      <c r="C2887" s="225"/>
      <c r="D2887" s="560">
        <v>610000004070</v>
      </c>
      <c r="E2887" s="560">
        <f>VLOOKUP(D2887,'[1]Task list &amp; Maintenace plan'!$B:$G,6,FALSE)</f>
        <v>100504</v>
      </c>
      <c r="F2887" s="560" t="s">
        <v>4128</v>
      </c>
      <c r="G2887" s="561" t="s">
        <v>665</v>
      </c>
      <c r="H2887" s="561" t="s">
        <v>3724</v>
      </c>
      <c r="I2887" s="562">
        <v>15</v>
      </c>
      <c r="J2887" s="753"/>
      <c r="K2887" s="753">
        <f>VLOOKUP(D2887,[2]PC50MZ!$C$6:$J$325,7,FALSE)</f>
        <v>15</v>
      </c>
      <c r="L2887" s="753">
        <v>1</v>
      </c>
      <c r="M2887" s="753">
        <f t="shared" si="16"/>
        <v>15</v>
      </c>
      <c r="N2887" s="753"/>
      <c r="O2887" s="563"/>
      <c r="P2887" s="563"/>
      <c r="Q2887" s="563"/>
      <c r="R2887" s="564" t="s">
        <v>3281</v>
      </c>
      <c r="S2887" s="562"/>
    </row>
    <row r="2888" spans="1:19" x14ac:dyDescent="0.25">
      <c r="A2888" t="s">
        <v>3317</v>
      </c>
      <c r="B2888" s="559" t="s">
        <v>1287</v>
      </c>
      <c r="C2888" s="225"/>
      <c r="D2888" s="560">
        <v>610000004070</v>
      </c>
      <c r="E2888" s="560">
        <f>VLOOKUP(D2888,'[1]Task list &amp; Maintenace plan'!$B:$G,6,FALSE)</f>
        <v>100504</v>
      </c>
      <c r="F2888" s="560" t="s">
        <v>4128</v>
      </c>
      <c r="G2888" s="561" t="s">
        <v>1294</v>
      </c>
      <c r="H2888" s="561" t="s">
        <v>4129</v>
      </c>
      <c r="I2888" s="562">
        <v>15</v>
      </c>
      <c r="J2888" s="753"/>
      <c r="K2888" s="753">
        <f>VLOOKUP(D2888,[2]PC50MZ!$C$6:$J$325,7,FALSE)</f>
        <v>15</v>
      </c>
      <c r="L2888" s="753">
        <v>1</v>
      </c>
      <c r="M2888" s="753">
        <f t="shared" si="16"/>
        <v>15</v>
      </c>
      <c r="N2888" s="753"/>
      <c r="O2888" s="563"/>
      <c r="P2888" s="563"/>
      <c r="Q2888" s="563"/>
      <c r="R2888" s="564" t="s">
        <v>3159</v>
      </c>
      <c r="S2888" s="562"/>
    </row>
    <row r="2889" spans="1:19" x14ac:dyDescent="0.25">
      <c r="A2889" t="s">
        <v>3317</v>
      </c>
      <c r="B2889" s="559" t="s">
        <v>1287</v>
      </c>
      <c r="C2889" s="225"/>
      <c r="D2889" s="560">
        <v>610000004070</v>
      </c>
      <c r="E2889" s="560">
        <f>VLOOKUP(D2889,'[1]Task list &amp; Maintenace plan'!$B:$G,6,FALSE)</f>
        <v>100504</v>
      </c>
      <c r="F2889" s="560" t="s">
        <v>4128</v>
      </c>
      <c r="G2889" s="561" t="s">
        <v>1293</v>
      </c>
      <c r="H2889" s="561" t="s">
        <v>4130</v>
      </c>
      <c r="I2889" s="562">
        <v>15</v>
      </c>
      <c r="J2889" s="753"/>
      <c r="K2889" s="753">
        <f>VLOOKUP(D2889,[2]PC50MZ!$C$6:$J$325,7,FALSE)</f>
        <v>15</v>
      </c>
      <c r="L2889" s="753">
        <v>1</v>
      </c>
      <c r="M2889" s="753">
        <f t="shared" si="16"/>
        <v>15</v>
      </c>
      <c r="N2889" s="753"/>
      <c r="O2889" s="563"/>
      <c r="P2889" s="563"/>
      <c r="Q2889" s="563"/>
      <c r="R2889" s="564" t="s">
        <v>3159</v>
      </c>
      <c r="S2889" s="562"/>
    </row>
    <row r="2890" spans="1:19" x14ac:dyDescent="0.25">
      <c r="A2890" t="s">
        <v>3317</v>
      </c>
      <c r="B2890" s="559" t="s">
        <v>1287</v>
      </c>
      <c r="C2890" s="225"/>
      <c r="D2890" s="565">
        <v>610000004070</v>
      </c>
      <c r="E2890" s="565">
        <f>VLOOKUP(D2890,'[1]Task list &amp; Maintenace plan'!$B:$G,6,FALSE)</f>
        <v>100504</v>
      </c>
      <c r="F2890" s="565" t="s">
        <v>4128</v>
      </c>
      <c r="G2890" s="566" t="s">
        <v>1291</v>
      </c>
      <c r="H2890" s="566" t="s">
        <v>4131</v>
      </c>
      <c r="I2890" s="567">
        <v>15</v>
      </c>
      <c r="J2890" s="754"/>
      <c r="K2890" s="754">
        <f>VLOOKUP(D2890,[2]PC50MZ!$C$6:$J$325,7,FALSE)</f>
        <v>15</v>
      </c>
      <c r="L2890" s="754">
        <v>1</v>
      </c>
      <c r="M2890" s="754">
        <f t="shared" si="16"/>
        <v>15</v>
      </c>
      <c r="N2890" s="754"/>
      <c r="O2890" s="563"/>
      <c r="P2890" s="563"/>
      <c r="Q2890" s="563"/>
      <c r="R2890" s="568"/>
      <c r="S2890" s="567"/>
    </row>
    <row r="2891" spans="1:19" x14ac:dyDescent="0.25">
      <c r="A2891" t="s">
        <v>3317</v>
      </c>
      <c r="B2891" s="559" t="s">
        <v>1287</v>
      </c>
      <c r="C2891" s="225"/>
      <c r="D2891" s="598">
        <v>610000004071</v>
      </c>
      <c r="E2891" s="598">
        <f>VLOOKUP(D2891,'[1]Task list &amp; Maintenace plan'!$B:$G,6,FALSE)</f>
        <v>100505</v>
      </c>
      <c r="F2891" s="598" t="s">
        <v>4132</v>
      </c>
      <c r="G2891" s="599" t="s">
        <v>1294</v>
      </c>
      <c r="H2891" s="599" t="s">
        <v>4133</v>
      </c>
      <c r="I2891" s="600">
        <v>30</v>
      </c>
      <c r="J2891" s="752">
        <v>1</v>
      </c>
      <c r="K2891" s="752">
        <f>VLOOKUP(D2891,[2]PC50MZ!$C$6:$J$325,7,FALSE)</f>
        <v>10</v>
      </c>
      <c r="L2891" s="752">
        <v>1</v>
      </c>
      <c r="M2891" s="752">
        <f t="shared" si="16"/>
        <v>10</v>
      </c>
      <c r="N2891" s="752" t="s">
        <v>20</v>
      </c>
      <c r="O2891" s="563"/>
      <c r="P2891" s="563"/>
      <c r="Q2891" s="563"/>
      <c r="R2891" s="601"/>
      <c r="S2891" s="600"/>
    </row>
    <row r="2892" spans="1:19" x14ac:dyDescent="0.25">
      <c r="A2892" t="s">
        <v>3317</v>
      </c>
      <c r="B2892" s="559" t="s">
        <v>1287</v>
      </c>
      <c r="C2892" s="225"/>
      <c r="D2892" s="565">
        <v>610000004071</v>
      </c>
      <c r="E2892" s="565">
        <f>VLOOKUP(D2892,'[1]Task list &amp; Maintenace plan'!$B:$G,6,FALSE)</f>
        <v>100505</v>
      </c>
      <c r="F2892" s="565" t="s">
        <v>4132</v>
      </c>
      <c r="G2892" s="566" t="s">
        <v>4122</v>
      </c>
      <c r="H2892" s="566" t="s">
        <v>4134</v>
      </c>
      <c r="I2892" s="567">
        <v>30</v>
      </c>
      <c r="J2892" s="754">
        <v>1</v>
      </c>
      <c r="K2892" s="754">
        <f>VLOOKUP(D2892,[2]PC50MZ!$C$6:$J$325,7,FALSE)</f>
        <v>10</v>
      </c>
      <c r="L2892" s="754">
        <v>1</v>
      </c>
      <c r="M2892" s="754">
        <f t="shared" si="16"/>
        <v>10</v>
      </c>
      <c r="N2892" s="754"/>
      <c r="O2892" s="563"/>
      <c r="P2892" s="563"/>
      <c r="Q2892" s="563"/>
      <c r="R2892" s="568"/>
      <c r="S2892" s="567"/>
    </row>
    <row r="2893" spans="1:19" x14ac:dyDescent="0.25">
      <c r="A2893" t="s">
        <v>3317</v>
      </c>
      <c r="B2893" s="559" t="s">
        <v>1287</v>
      </c>
      <c r="C2893" s="225"/>
      <c r="D2893" s="569">
        <v>610000004072</v>
      </c>
      <c r="E2893" s="569">
        <f>VLOOKUP(D2893,'[1]Task list &amp; Maintenace plan'!$B:$G,6,FALSE)</f>
        <v>100506</v>
      </c>
      <c r="F2893" s="569" t="s">
        <v>4135</v>
      </c>
      <c r="G2893" s="570" t="s">
        <v>663</v>
      </c>
      <c r="H2893" s="570" t="s">
        <v>4136</v>
      </c>
      <c r="I2893" s="571">
        <v>30</v>
      </c>
      <c r="J2893" s="752"/>
      <c r="K2893" s="752">
        <f>VLOOKUP(D2893,[2]PC50MZ!$C$6:$J$325,7,FALSE)</f>
        <v>15</v>
      </c>
      <c r="L2893" s="752">
        <v>1</v>
      </c>
      <c r="M2893" s="752">
        <f t="shared" si="16"/>
        <v>15</v>
      </c>
      <c r="N2893" s="752" t="s">
        <v>20</v>
      </c>
      <c r="O2893" s="563"/>
      <c r="P2893" s="563"/>
      <c r="Q2893" s="563"/>
      <c r="R2893" s="572"/>
      <c r="S2893" s="571"/>
    </row>
    <row r="2894" spans="1:19" x14ac:dyDescent="0.25">
      <c r="A2894" t="s">
        <v>3317</v>
      </c>
      <c r="B2894" s="559" t="s">
        <v>1287</v>
      </c>
      <c r="C2894" s="225"/>
      <c r="D2894" s="565">
        <v>610000004072</v>
      </c>
      <c r="E2894" s="565">
        <f>VLOOKUP(D2894,'[1]Task list &amp; Maintenace plan'!$B:$G,6,FALSE)</f>
        <v>100506</v>
      </c>
      <c r="F2894" s="565" t="s">
        <v>4135</v>
      </c>
      <c r="G2894" s="566" t="s">
        <v>665</v>
      </c>
      <c r="H2894" s="566" t="s">
        <v>4137</v>
      </c>
      <c r="I2894" s="567">
        <v>30</v>
      </c>
      <c r="J2894" s="754"/>
      <c r="K2894" s="754">
        <f>VLOOKUP(D2894,[2]PC50MZ!$C$6:$J$325,7,FALSE)</f>
        <v>15</v>
      </c>
      <c r="L2894" s="754">
        <v>1</v>
      </c>
      <c r="M2894" s="754">
        <f t="shared" si="16"/>
        <v>15</v>
      </c>
      <c r="N2894" s="754"/>
      <c r="O2894" s="563"/>
      <c r="P2894" s="563"/>
      <c r="Q2894" s="563"/>
      <c r="R2894" s="568"/>
      <c r="S2894" s="567"/>
    </row>
    <row r="2895" spans="1:19" x14ac:dyDescent="0.25">
      <c r="A2895" t="s">
        <v>3317</v>
      </c>
      <c r="B2895" s="559" t="s">
        <v>1287</v>
      </c>
      <c r="C2895" s="225"/>
      <c r="D2895" s="607">
        <v>610000004073</v>
      </c>
      <c r="E2895" s="607">
        <f>VLOOKUP(D2895,'[1]Task list &amp; Maintenace plan'!$B:$G,6,FALSE)</f>
        <v>100507</v>
      </c>
      <c r="F2895" s="607" t="s">
        <v>4138</v>
      </c>
      <c r="G2895" s="608" t="s">
        <v>667</v>
      </c>
      <c r="H2895" s="608" t="s">
        <v>4139</v>
      </c>
      <c r="I2895" s="609">
        <v>30</v>
      </c>
      <c r="J2895" s="610"/>
      <c r="K2895" s="610">
        <f>VLOOKUP(D2895,[2]PC50MZ!$C$6:$J$325,7,FALSE)</f>
        <v>10</v>
      </c>
      <c r="L2895" s="610">
        <v>1</v>
      </c>
      <c r="M2895" s="610">
        <f t="shared" si="16"/>
        <v>10</v>
      </c>
      <c r="N2895" s="610" t="s">
        <v>3174</v>
      </c>
      <c r="O2895" s="563"/>
      <c r="P2895" s="563"/>
      <c r="Q2895" s="563"/>
      <c r="R2895" s="611" t="s">
        <v>3869</v>
      </c>
      <c r="S2895" s="609"/>
    </row>
    <row r="2896" spans="1:19" x14ac:dyDescent="0.25">
      <c r="A2896" t="s">
        <v>3317</v>
      </c>
      <c r="B2896" s="559" t="s">
        <v>1287</v>
      </c>
      <c r="C2896" s="225"/>
      <c r="D2896" s="569">
        <v>610000004074</v>
      </c>
      <c r="E2896" s="569">
        <f>VLOOKUP(D2896,'[1]Task list &amp; Maintenace plan'!$B:$G,6,FALSE)</f>
        <v>100508</v>
      </c>
      <c r="F2896" s="569" t="s">
        <v>4140</v>
      </c>
      <c r="G2896" s="570" t="s">
        <v>386</v>
      </c>
      <c r="H2896" s="570" t="s">
        <v>3382</v>
      </c>
      <c r="I2896" s="571">
        <v>90</v>
      </c>
      <c r="J2896" s="752">
        <v>1</v>
      </c>
      <c r="K2896" s="752">
        <f>VLOOKUP(D2896,[2]PC50MZ!$C$6:$J$325,7,FALSE)</f>
        <v>120</v>
      </c>
      <c r="L2896" s="752">
        <v>2</v>
      </c>
      <c r="M2896" s="752">
        <f t="shared" si="16"/>
        <v>240</v>
      </c>
      <c r="N2896" s="752" t="s">
        <v>3174</v>
      </c>
      <c r="O2896" s="563"/>
      <c r="P2896" s="563"/>
      <c r="Q2896" s="563"/>
      <c r="R2896" s="572" t="s">
        <v>4141</v>
      </c>
      <c r="S2896" s="571" t="s">
        <v>4142</v>
      </c>
    </row>
    <row r="2897" spans="1:19" x14ac:dyDescent="0.25">
      <c r="A2897" t="s">
        <v>3317</v>
      </c>
      <c r="B2897" s="559" t="s">
        <v>1287</v>
      </c>
      <c r="C2897" s="225"/>
      <c r="D2897" s="560">
        <v>610000004074</v>
      </c>
      <c r="E2897" s="560">
        <f>VLOOKUP(D2897,'[1]Task list &amp; Maintenace plan'!$B:$G,6,FALSE)</f>
        <v>100508</v>
      </c>
      <c r="F2897" s="560" t="s">
        <v>4140</v>
      </c>
      <c r="G2897" s="561" t="s">
        <v>1298</v>
      </c>
      <c r="H2897" s="561" t="s">
        <v>4143</v>
      </c>
      <c r="I2897" s="562">
        <v>90</v>
      </c>
      <c r="J2897" s="753">
        <v>1</v>
      </c>
      <c r="K2897" s="753">
        <f>VLOOKUP(D2897,[2]PC50MZ!$C$6:$J$325,7,FALSE)</f>
        <v>120</v>
      </c>
      <c r="L2897" s="753">
        <v>2</v>
      </c>
      <c r="M2897" s="753">
        <f t="shared" si="16"/>
        <v>240</v>
      </c>
      <c r="N2897" s="753"/>
      <c r="O2897" s="563"/>
      <c r="P2897" s="563"/>
      <c r="Q2897" s="563"/>
      <c r="R2897" s="564" t="s">
        <v>4141</v>
      </c>
      <c r="S2897" s="562" t="s">
        <v>4142</v>
      </c>
    </row>
    <row r="2898" spans="1:19" x14ac:dyDescent="0.25">
      <c r="A2898" t="s">
        <v>3317</v>
      </c>
      <c r="B2898" s="559" t="s">
        <v>1287</v>
      </c>
      <c r="C2898" s="225"/>
      <c r="D2898" s="560">
        <v>610000004074</v>
      </c>
      <c r="E2898" s="560">
        <f>VLOOKUP(D2898,'[1]Task list &amp; Maintenace plan'!$B:$G,6,FALSE)</f>
        <v>100508</v>
      </c>
      <c r="F2898" s="560" t="s">
        <v>4140</v>
      </c>
      <c r="G2898" s="561" t="s">
        <v>1294</v>
      </c>
      <c r="H2898" s="561" t="s">
        <v>3384</v>
      </c>
      <c r="I2898" s="562">
        <v>90</v>
      </c>
      <c r="J2898" s="753">
        <v>1</v>
      </c>
      <c r="K2898" s="753">
        <f>VLOOKUP(D2898,[2]PC50MZ!$C$6:$J$325,7,FALSE)</f>
        <v>120</v>
      </c>
      <c r="L2898" s="753">
        <v>2</v>
      </c>
      <c r="M2898" s="753">
        <f t="shared" si="16"/>
        <v>240</v>
      </c>
      <c r="N2898" s="753"/>
      <c r="O2898" s="563"/>
      <c r="P2898" s="563"/>
      <c r="Q2898" s="563"/>
      <c r="R2898" s="564" t="s">
        <v>4144</v>
      </c>
      <c r="S2898" s="562" t="s">
        <v>4068</v>
      </c>
    </row>
    <row r="2899" spans="1:19" x14ac:dyDescent="0.25">
      <c r="A2899" t="s">
        <v>3317</v>
      </c>
      <c r="B2899" s="559" t="s">
        <v>1287</v>
      </c>
      <c r="C2899" s="225"/>
      <c r="D2899" s="565">
        <v>610000004074</v>
      </c>
      <c r="E2899" s="565">
        <f>VLOOKUP(D2899,'[1]Task list &amp; Maintenace plan'!$B:$G,6,FALSE)</f>
        <v>100508</v>
      </c>
      <c r="F2899" s="565" t="s">
        <v>4140</v>
      </c>
      <c r="G2899" s="566" t="s">
        <v>1293</v>
      </c>
      <c r="H2899" s="566" t="s">
        <v>4145</v>
      </c>
      <c r="I2899" s="567">
        <v>90</v>
      </c>
      <c r="J2899" s="754">
        <v>1</v>
      </c>
      <c r="K2899" s="754">
        <f>VLOOKUP(D2899,[2]PC50MZ!$C$6:$J$325,7,FALSE)</f>
        <v>120</v>
      </c>
      <c r="L2899" s="754">
        <v>2</v>
      </c>
      <c r="M2899" s="754">
        <f t="shared" si="16"/>
        <v>240</v>
      </c>
      <c r="N2899" s="754"/>
      <c r="O2899" s="563"/>
      <c r="P2899" s="563"/>
      <c r="Q2899" s="563"/>
      <c r="R2899" s="568" t="s">
        <v>3440</v>
      </c>
      <c r="S2899" s="567"/>
    </row>
    <row r="2900" spans="1:19" x14ac:dyDescent="0.25">
      <c r="A2900" t="s">
        <v>3317</v>
      </c>
      <c r="B2900" s="559" t="s">
        <v>1287</v>
      </c>
      <c r="C2900" s="225"/>
      <c r="D2900" s="560">
        <v>610000004075</v>
      </c>
      <c r="E2900" s="560">
        <f>VLOOKUP(D2900,'[1]Task list &amp; Maintenace plan'!$B:$G,6,FALSE)</f>
        <v>100509</v>
      </c>
      <c r="F2900" s="560" t="s">
        <v>4146</v>
      </c>
      <c r="G2900" s="561" t="s">
        <v>663</v>
      </c>
      <c r="H2900" s="561" t="s">
        <v>3737</v>
      </c>
      <c r="I2900" s="562">
        <v>180</v>
      </c>
      <c r="J2900" s="752">
        <v>1</v>
      </c>
      <c r="K2900" s="752">
        <f>VLOOKUP(D2900,[2]PC50MZ!$C$6:$J$325,7,FALSE)</f>
        <v>360</v>
      </c>
      <c r="L2900" s="752">
        <v>4</v>
      </c>
      <c r="M2900" s="752">
        <f t="shared" ref="M2900:M2963" si="17">K2900*L2900</f>
        <v>1440</v>
      </c>
      <c r="N2900" s="752" t="s">
        <v>468</v>
      </c>
      <c r="O2900" s="563"/>
      <c r="P2900" s="563"/>
      <c r="Q2900" s="563"/>
      <c r="R2900" s="564"/>
      <c r="S2900" s="562"/>
    </row>
    <row r="2901" spans="1:19" x14ac:dyDescent="0.25">
      <c r="A2901" t="s">
        <v>3317</v>
      </c>
      <c r="B2901" s="559" t="s">
        <v>1287</v>
      </c>
      <c r="C2901" s="225"/>
      <c r="D2901" s="565">
        <v>610000004075</v>
      </c>
      <c r="E2901" s="565">
        <f>VLOOKUP(D2901,'[1]Task list &amp; Maintenace plan'!$B:$G,6,FALSE)</f>
        <v>100509</v>
      </c>
      <c r="F2901" s="565" t="s">
        <v>4146</v>
      </c>
      <c r="G2901" s="566" t="s">
        <v>665</v>
      </c>
      <c r="H2901" s="566" t="s">
        <v>3739</v>
      </c>
      <c r="I2901" s="567">
        <v>180</v>
      </c>
      <c r="J2901" s="754">
        <v>1</v>
      </c>
      <c r="K2901" s="754">
        <f>VLOOKUP(D2901,[2]PC50MZ!$C$6:$J$325,7,FALSE)</f>
        <v>360</v>
      </c>
      <c r="L2901" s="754">
        <v>4</v>
      </c>
      <c r="M2901" s="754">
        <f t="shared" si="17"/>
        <v>1440</v>
      </c>
      <c r="N2901" s="754"/>
      <c r="O2901" s="563"/>
      <c r="P2901" s="563"/>
      <c r="Q2901" s="563"/>
      <c r="R2901" s="568"/>
      <c r="S2901" s="567"/>
    </row>
    <row r="2902" spans="1:19" x14ac:dyDescent="0.25">
      <c r="A2902" t="s">
        <v>3317</v>
      </c>
      <c r="B2902" s="559" t="s">
        <v>1287</v>
      </c>
      <c r="C2902" s="225"/>
      <c r="D2902" s="569">
        <v>610000004076</v>
      </c>
      <c r="E2902" s="569">
        <f>VLOOKUP(D2902,'[1]Task list &amp; Maintenace plan'!$B:$G,6,FALSE)</f>
        <v>100510</v>
      </c>
      <c r="F2902" s="569" t="s">
        <v>4147</v>
      </c>
      <c r="G2902" s="570" t="s">
        <v>1298</v>
      </c>
      <c r="H2902" s="570" t="s">
        <v>4148</v>
      </c>
      <c r="I2902" s="571">
        <v>365</v>
      </c>
      <c r="J2902" s="752">
        <v>1</v>
      </c>
      <c r="K2902" s="752">
        <f>VLOOKUP(D2902,[2]PC50MZ!$C$6:$J$325,7,FALSE)</f>
        <v>480</v>
      </c>
      <c r="L2902" s="752">
        <v>6</v>
      </c>
      <c r="M2902" s="752">
        <f t="shared" si="17"/>
        <v>2880</v>
      </c>
      <c r="N2902" s="752" t="s">
        <v>468</v>
      </c>
      <c r="O2902" s="563"/>
      <c r="P2902" s="563"/>
      <c r="Q2902" s="563"/>
      <c r="R2902" s="572" t="s">
        <v>4149</v>
      </c>
      <c r="S2902" s="571" t="s">
        <v>4150</v>
      </c>
    </row>
    <row r="2903" spans="1:19" x14ac:dyDescent="0.25">
      <c r="A2903" t="s">
        <v>3317</v>
      </c>
      <c r="B2903" s="559" t="s">
        <v>1287</v>
      </c>
      <c r="C2903" s="225"/>
      <c r="D2903" s="560">
        <v>610000004076</v>
      </c>
      <c r="E2903" s="560">
        <f>VLOOKUP(D2903,'[1]Task list &amp; Maintenace plan'!$B:$G,6,FALSE)</f>
        <v>100510</v>
      </c>
      <c r="F2903" s="560" t="s">
        <v>4147</v>
      </c>
      <c r="G2903" s="561" t="s">
        <v>1298</v>
      </c>
      <c r="H2903" s="561" t="s">
        <v>4151</v>
      </c>
      <c r="I2903" s="562">
        <v>365</v>
      </c>
      <c r="J2903" s="753">
        <v>1</v>
      </c>
      <c r="K2903" s="753">
        <f>VLOOKUP(D2903,[2]PC50MZ!$C$6:$J$325,7,FALSE)</f>
        <v>480</v>
      </c>
      <c r="L2903" s="753">
        <v>6</v>
      </c>
      <c r="M2903" s="753">
        <f t="shared" si="17"/>
        <v>2880</v>
      </c>
      <c r="N2903" s="753"/>
      <c r="O2903" s="563"/>
      <c r="P2903" s="563"/>
      <c r="Q2903" s="563"/>
      <c r="R2903" s="564" t="s">
        <v>4152</v>
      </c>
      <c r="S2903" s="562" t="s">
        <v>4153</v>
      </c>
    </row>
    <row r="2904" spans="1:19" x14ac:dyDescent="0.25">
      <c r="A2904" t="s">
        <v>3317</v>
      </c>
      <c r="B2904" s="559" t="s">
        <v>1287</v>
      </c>
      <c r="C2904" s="225"/>
      <c r="D2904" s="560">
        <v>610000004076</v>
      </c>
      <c r="E2904" s="560">
        <f>VLOOKUP(D2904,'[1]Task list &amp; Maintenace plan'!$B:$G,6,FALSE)</f>
        <v>100510</v>
      </c>
      <c r="F2904" s="560" t="s">
        <v>4147</v>
      </c>
      <c r="G2904" s="561" t="s">
        <v>386</v>
      </c>
      <c r="H2904" s="561" t="s">
        <v>4154</v>
      </c>
      <c r="I2904" s="562">
        <v>365</v>
      </c>
      <c r="J2904" s="753">
        <v>1</v>
      </c>
      <c r="K2904" s="753">
        <f>VLOOKUP(D2904,[2]PC50MZ!$C$6:$J$325,7,FALSE)</f>
        <v>480</v>
      </c>
      <c r="L2904" s="753">
        <v>6</v>
      </c>
      <c r="M2904" s="753">
        <f t="shared" si="17"/>
        <v>2880</v>
      </c>
      <c r="N2904" s="753"/>
      <c r="O2904" s="563"/>
      <c r="P2904" s="563"/>
      <c r="Q2904" s="563"/>
      <c r="R2904" s="564" t="s">
        <v>4149</v>
      </c>
      <c r="S2904" s="562" t="s">
        <v>4155</v>
      </c>
    </row>
    <row r="2905" spans="1:19" x14ac:dyDescent="0.25">
      <c r="A2905" t="s">
        <v>3317</v>
      </c>
      <c r="B2905" s="559" t="s">
        <v>1287</v>
      </c>
      <c r="C2905" s="225"/>
      <c r="D2905" s="560">
        <v>610000004076</v>
      </c>
      <c r="E2905" s="560">
        <f>VLOOKUP(D2905,'[1]Task list &amp; Maintenace plan'!$B:$G,6,FALSE)</f>
        <v>100510</v>
      </c>
      <c r="F2905" s="560" t="s">
        <v>4147</v>
      </c>
      <c r="G2905" s="561" t="s">
        <v>386</v>
      </c>
      <c r="H2905" s="561" t="s">
        <v>4156</v>
      </c>
      <c r="I2905" s="562">
        <v>365</v>
      </c>
      <c r="J2905" s="753">
        <v>1</v>
      </c>
      <c r="K2905" s="753">
        <f>VLOOKUP(D2905,[2]PC50MZ!$C$6:$J$325,7,FALSE)</f>
        <v>480</v>
      </c>
      <c r="L2905" s="753">
        <v>6</v>
      </c>
      <c r="M2905" s="753">
        <f t="shared" si="17"/>
        <v>2880</v>
      </c>
      <c r="N2905" s="753"/>
      <c r="O2905" s="563"/>
      <c r="P2905" s="563"/>
      <c r="Q2905" s="563"/>
      <c r="R2905" s="564" t="s">
        <v>4157</v>
      </c>
      <c r="S2905" s="562" t="s">
        <v>3342</v>
      </c>
    </row>
    <row r="2906" spans="1:19" x14ac:dyDescent="0.25">
      <c r="A2906" t="s">
        <v>3317</v>
      </c>
      <c r="B2906" s="559" t="s">
        <v>1287</v>
      </c>
      <c r="C2906" s="225"/>
      <c r="D2906" s="602">
        <v>610000004076</v>
      </c>
      <c r="E2906" s="602">
        <f>VLOOKUP(D2906,'[1]Task list &amp; Maintenace plan'!$B:$G,6,FALSE)</f>
        <v>100510</v>
      </c>
      <c r="F2906" s="602" t="s">
        <v>4147</v>
      </c>
      <c r="G2906" s="603" t="s">
        <v>1298</v>
      </c>
      <c r="H2906" s="603" t="s">
        <v>4158</v>
      </c>
      <c r="I2906" s="604">
        <v>365</v>
      </c>
      <c r="J2906" s="754">
        <v>1</v>
      </c>
      <c r="K2906" s="754">
        <f>VLOOKUP(D2906,[2]PC50MZ!$C$6:$J$325,7,FALSE)</f>
        <v>480</v>
      </c>
      <c r="L2906" s="754">
        <v>6</v>
      </c>
      <c r="M2906" s="754">
        <f t="shared" si="17"/>
        <v>2880</v>
      </c>
      <c r="N2906" s="754"/>
      <c r="O2906" s="563"/>
      <c r="P2906" s="563"/>
      <c r="Q2906" s="563"/>
      <c r="R2906" s="605" t="s">
        <v>4157</v>
      </c>
      <c r="S2906" s="604" t="s">
        <v>3342</v>
      </c>
    </row>
    <row r="2907" spans="1:19" x14ac:dyDescent="0.25">
      <c r="A2907" t="s">
        <v>3317</v>
      </c>
      <c r="B2907" s="559" t="s">
        <v>1287</v>
      </c>
      <c r="C2907" s="225"/>
      <c r="D2907" s="615">
        <v>345906</v>
      </c>
      <c r="E2907" s="615">
        <f>VLOOKUP(D2907,'[1]Task list &amp; Maintenace plan'!$B:$G,6,FALSE)</f>
        <v>1184</v>
      </c>
      <c r="F2907" s="615" t="s">
        <v>4159</v>
      </c>
      <c r="G2907" s="616" t="s">
        <v>1293</v>
      </c>
      <c r="H2907" s="616" t="s">
        <v>4160</v>
      </c>
      <c r="I2907" s="617">
        <v>365</v>
      </c>
      <c r="J2907" s="618">
        <v>1</v>
      </c>
      <c r="K2907" s="618">
        <f>VLOOKUP(D2907,[2]PC50MZ!$C$6:$J$325,7,FALSE)</f>
        <v>240</v>
      </c>
      <c r="L2907" s="618">
        <v>4</v>
      </c>
      <c r="M2907" s="618">
        <f t="shared" si="17"/>
        <v>960</v>
      </c>
      <c r="N2907" s="618"/>
      <c r="O2907" s="563"/>
      <c r="P2907" s="563"/>
      <c r="Q2907" s="563"/>
      <c r="R2907" s="619" t="s">
        <v>4062</v>
      </c>
      <c r="S2907" s="617"/>
    </row>
    <row r="2908" spans="1:19" ht="15.75" thickBot="1" x14ac:dyDescent="0.3">
      <c r="A2908" t="s">
        <v>3317</v>
      </c>
      <c r="B2908" s="559" t="s">
        <v>1287</v>
      </c>
      <c r="C2908" s="578"/>
      <c r="D2908" s="579">
        <v>345906</v>
      </c>
      <c r="E2908" s="579">
        <f>VLOOKUP(D2908,'[1]Task list &amp; Maintenace plan'!$B:$G,6,FALSE)</f>
        <v>1184</v>
      </c>
      <c r="F2908" s="579" t="s">
        <v>4159</v>
      </c>
      <c r="G2908" s="580" t="s">
        <v>1294</v>
      </c>
      <c r="H2908" s="580" t="s">
        <v>4161</v>
      </c>
      <c r="I2908" s="581">
        <v>365</v>
      </c>
      <c r="J2908" s="620">
        <v>1</v>
      </c>
      <c r="K2908" s="620">
        <f>VLOOKUP(D2908,[2]PC50MZ!$C$6:$J$325,7,FALSE)</f>
        <v>240</v>
      </c>
      <c r="L2908" s="620">
        <v>4</v>
      </c>
      <c r="M2908" s="620">
        <f t="shared" si="17"/>
        <v>960</v>
      </c>
      <c r="N2908" s="620" t="s">
        <v>468</v>
      </c>
      <c r="O2908" s="563"/>
      <c r="P2908" s="563"/>
      <c r="Q2908" s="563"/>
      <c r="R2908" s="582" t="s">
        <v>4062</v>
      </c>
      <c r="S2908" s="581" t="s">
        <v>4155</v>
      </c>
    </row>
    <row r="2909" spans="1:19" x14ac:dyDescent="0.25">
      <c r="A2909" t="s">
        <v>3317</v>
      </c>
      <c r="B2909" s="559" t="s">
        <v>1327</v>
      </c>
      <c r="C2909" s="225"/>
      <c r="D2909" s="569">
        <v>610000004077</v>
      </c>
      <c r="E2909" s="569">
        <f>VLOOKUP(D2909,'[1]Task list &amp; Maintenace plan'!$B:$G,6,FALSE)</f>
        <v>100511</v>
      </c>
      <c r="F2909" s="569" t="s">
        <v>4162</v>
      </c>
      <c r="G2909" s="570" t="s">
        <v>1342</v>
      </c>
      <c r="H2909" s="570" t="s">
        <v>4163</v>
      </c>
      <c r="I2909" s="571">
        <v>15</v>
      </c>
      <c r="J2909" s="755"/>
      <c r="K2909" s="755">
        <f>VLOOKUP(D2909,[2]PC50MZ!$C$6:$J$325,7,FALSE)</f>
        <v>30</v>
      </c>
      <c r="L2909" s="755">
        <v>1</v>
      </c>
      <c r="M2909" s="755">
        <f t="shared" si="17"/>
        <v>30</v>
      </c>
      <c r="N2909" s="755" t="s">
        <v>3174</v>
      </c>
      <c r="O2909" s="563"/>
      <c r="P2909" s="563"/>
      <c r="Q2909" s="563"/>
      <c r="R2909" s="572" t="s">
        <v>3159</v>
      </c>
      <c r="S2909" s="571"/>
    </row>
    <row r="2910" spans="1:19" x14ac:dyDescent="0.25">
      <c r="A2910" t="s">
        <v>3317</v>
      </c>
      <c r="B2910" s="559" t="s">
        <v>1327</v>
      </c>
      <c r="C2910" s="225"/>
      <c r="D2910" s="560">
        <v>610000004077</v>
      </c>
      <c r="E2910" s="560">
        <f>VLOOKUP(D2910,'[1]Task list &amp; Maintenace plan'!$B:$G,6,FALSE)</f>
        <v>100511</v>
      </c>
      <c r="F2910" s="560" t="s">
        <v>4162</v>
      </c>
      <c r="G2910" s="561" t="s">
        <v>1342</v>
      </c>
      <c r="H2910" s="561" t="s">
        <v>4164</v>
      </c>
      <c r="I2910" s="562">
        <v>15</v>
      </c>
      <c r="J2910" s="753"/>
      <c r="K2910" s="753">
        <f>VLOOKUP(D2910,[2]PC50MZ!$C$6:$J$325,7,FALSE)</f>
        <v>30</v>
      </c>
      <c r="L2910" s="753">
        <v>1</v>
      </c>
      <c r="M2910" s="753">
        <f t="shared" si="17"/>
        <v>30</v>
      </c>
      <c r="N2910" s="753"/>
      <c r="O2910" s="563"/>
      <c r="P2910" s="563"/>
      <c r="Q2910" s="563"/>
      <c r="R2910" s="564" t="s">
        <v>3159</v>
      </c>
      <c r="S2910" s="562"/>
    </row>
    <row r="2911" spans="1:19" x14ac:dyDescent="0.25">
      <c r="A2911" t="s">
        <v>3317</v>
      </c>
      <c r="B2911" s="559" t="s">
        <v>1327</v>
      </c>
      <c r="C2911" s="225"/>
      <c r="D2911" s="560">
        <v>610000004077</v>
      </c>
      <c r="E2911" s="560">
        <f>VLOOKUP(D2911,'[1]Task list &amp; Maintenace plan'!$B:$G,6,FALSE)</f>
        <v>100511</v>
      </c>
      <c r="F2911" s="560" t="s">
        <v>4162</v>
      </c>
      <c r="G2911" s="561" t="s">
        <v>1339</v>
      </c>
      <c r="H2911" s="561" t="s">
        <v>4165</v>
      </c>
      <c r="I2911" s="562">
        <v>15</v>
      </c>
      <c r="J2911" s="753"/>
      <c r="K2911" s="753">
        <f>VLOOKUP(D2911,[2]PC50MZ!$C$6:$J$325,7,FALSE)</f>
        <v>30</v>
      </c>
      <c r="L2911" s="753">
        <v>1</v>
      </c>
      <c r="M2911" s="753">
        <f t="shared" si="17"/>
        <v>30</v>
      </c>
      <c r="N2911" s="753"/>
      <c r="O2911" s="563"/>
      <c r="P2911" s="563"/>
      <c r="Q2911" s="563"/>
      <c r="R2911" s="564" t="s">
        <v>3159</v>
      </c>
      <c r="S2911" s="562"/>
    </row>
    <row r="2912" spans="1:19" x14ac:dyDescent="0.25">
      <c r="A2912" t="s">
        <v>3317</v>
      </c>
      <c r="B2912" s="559" t="s">
        <v>1327</v>
      </c>
      <c r="C2912" s="225"/>
      <c r="D2912" s="560">
        <v>610000004077</v>
      </c>
      <c r="E2912" s="560">
        <f>VLOOKUP(D2912,'[1]Task list &amp; Maintenace plan'!$B:$G,6,FALSE)</f>
        <v>100511</v>
      </c>
      <c r="F2912" s="560" t="s">
        <v>4162</v>
      </c>
      <c r="G2912" s="561" t="s">
        <v>1347</v>
      </c>
      <c r="H2912" s="561" t="s">
        <v>4166</v>
      </c>
      <c r="I2912" s="562">
        <v>15</v>
      </c>
      <c r="J2912" s="753"/>
      <c r="K2912" s="753">
        <f>VLOOKUP(D2912,[2]PC50MZ!$C$6:$J$325,7,FALSE)</f>
        <v>30</v>
      </c>
      <c r="L2912" s="753">
        <v>1</v>
      </c>
      <c r="M2912" s="753">
        <f t="shared" si="17"/>
        <v>30</v>
      </c>
      <c r="N2912" s="753"/>
      <c r="O2912" s="563"/>
      <c r="P2912" s="563"/>
      <c r="Q2912" s="563"/>
      <c r="R2912" s="564" t="s">
        <v>3159</v>
      </c>
      <c r="S2912" s="562"/>
    </row>
    <row r="2913" spans="1:19" x14ac:dyDescent="0.25">
      <c r="A2913" t="s">
        <v>3317</v>
      </c>
      <c r="B2913" s="559" t="s">
        <v>1327</v>
      </c>
      <c r="C2913" s="225"/>
      <c r="D2913" s="560">
        <v>610000004077</v>
      </c>
      <c r="E2913" s="560">
        <f>VLOOKUP(D2913,'[1]Task list &amp; Maintenace plan'!$B:$G,6,FALSE)</f>
        <v>100511</v>
      </c>
      <c r="F2913" s="560" t="s">
        <v>4162</v>
      </c>
      <c r="G2913" s="561" t="s">
        <v>1345</v>
      </c>
      <c r="H2913" s="561" t="s">
        <v>4167</v>
      </c>
      <c r="I2913" s="562">
        <v>15</v>
      </c>
      <c r="J2913" s="753"/>
      <c r="K2913" s="753">
        <f>VLOOKUP(D2913,[2]PC50MZ!$C$6:$J$325,7,FALSE)</f>
        <v>30</v>
      </c>
      <c r="L2913" s="753">
        <v>1</v>
      </c>
      <c r="M2913" s="753">
        <f t="shared" si="17"/>
        <v>30</v>
      </c>
      <c r="N2913" s="753"/>
      <c r="O2913" s="563"/>
      <c r="P2913" s="563"/>
      <c r="Q2913" s="563"/>
      <c r="R2913" s="564" t="s">
        <v>3159</v>
      </c>
      <c r="S2913" s="562"/>
    </row>
    <row r="2914" spans="1:19" x14ac:dyDescent="0.25">
      <c r="A2914" t="s">
        <v>3317</v>
      </c>
      <c r="B2914" s="559" t="s">
        <v>1327</v>
      </c>
      <c r="C2914" s="225"/>
      <c r="D2914" s="560">
        <v>610000004077</v>
      </c>
      <c r="E2914" s="560">
        <f>VLOOKUP(D2914,'[1]Task list &amp; Maintenace plan'!$B:$G,6,FALSE)</f>
        <v>100511</v>
      </c>
      <c r="F2914" s="560" t="s">
        <v>4162</v>
      </c>
      <c r="G2914" s="561" t="s">
        <v>1349</v>
      </c>
      <c r="H2914" s="561" t="s">
        <v>4168</v>
      </c>
      <c r="I2914" s="562">
        <v>15</v>
      </c>
      <c r="J2914" s="753"/>
      <c r="K2914" s="753">
        <f>VLOOKUP(D2914,[2]PC50MZ!$C$6:$J$325,7,FALSE)</f>
        <v>30</v>
      </c>
      <c r="L2914" s="753">
        <v>1</v>
      </c>
      <c r="M2914" s="753">
        <f t="shared" si="17"/>
        <v>30</v>
      </c>
      <c r="N2914" s="753"/>
      <c r="O2914" s="563"/>
      <c r="P2914" s="563"/>
      <c r="Q2914" s="563"/>
      <c r="R2914" s="564" t="s">
        <v>3159</v>
      </c>
      <c r="S2914" s="562"/>
    </row>
    <row r="2915" spans="1:19" x14ac:dyDescent="0.25">
      <c r="A2915" t="s">
        <v>3317</v>
      </c>
      <c r="B2915" s="559" t="s">
        <v>1327</v>
      </c>
      <c r="C2915" s="225"/>
      <c r="D2915" s="560">
        <v>610000004077</v>
      </c>
      <c r="E2915" s="560">
        <f>VLOOKUP(D2915,'[1]Task list &amp; Maintenace plan'!$B:$G,6,FALSE)</f>
        <v>100511</v>
      </c>
      <c r="F2915" s="560" t="s">
        <v>4162</v>
      </c>
      <c r="G2915" s="561" t="s">
        <v>1345</v>
      </c>
      <c r="H2915" s="561" t="s">
        <v>4169</v>
      </c>
      <c r="I2915" s="562">
        <v>15</v>
      </c>
      <c r="J2915" s="753"/>
      <c r="K2915" s="753">
        <f>VLOOKUP(D2915,[2]PC50MZ!$C$6:$J$325,7,FALSE)</f>
        <v>30</v>
      </c>
      <c r="L2915" s="753">
        <v>1</v>
      </c>
      <c r="M2915" s="753">
        <f t="shared" si="17"/>
        <v>30</v>
      </c>
      <c r="N2915" s="753"/>
      <c r="O2915" s="563"/>
      <c r="P2915" s="563"/>
      <c r="Q2915" s="563"/>
      <c r="R2915" s="564" t="s">
        <v>3159</v>
      </c>
      <c r="S2915" s="562"/>
    </row>
    <row r="2916" spans="1:19" x14ac:dyDescent="0.25">
      <c r="A2916" t="s">
        <v>3317</v>
      </c>
      <c r="B2916" s="559" t="s">
        <v>1327</v>
      </c>
      <c r="C2916" s="225"/>
      <c r="D2916" s="560">
        <v>610000004077</v>
      </c>
      <c r="E2916" s="560">
        <f>VLOOKUP(D2916,'[1]Task list &amp; Maintenace plan'!$B:$G,6,FALSE)</f>
        <v>100511</v>
      </c>
      <c r="F2916" s="560" t="s">
        <v>4162</v>
      </c>
      <c r="G2916" s="561" t="s">
        <v>1336</v>
      </c>
      <c r="H2916" s="561" t="s">
        <v>4170</v>
      </c>
      <c r="I2916" s="562">
        <v>15</v>
      </c>
      <c r="J2916" s="753"/>
      <c r="K2916" s="753">
        <f>VLOOKUP(D2916,[2]PC50MZ!$C$6:$J$325,7,FALSE)</f>
        <v>30</v>
      </c>
      <c r="L2916" s="753">
        <v>1</v>
      </c>
      <c r="M2916" s="753">
        <f t="shared" si="17"/>
        <v>30</v>
      </c>
      <c r="N2916" s="753"/>
      <c r="O2916" s="563"/>
      <c r="P2916" s="563"/>
      <c r="Q2916" s="563"/>
      <c r="R2916" s="564"/>
      <c r="S2916" s="562"/>
    </row>
    <row r="2917" spans="1:19" x14ac:dyDescent="0.25">
      <c r="A2917" t="s">
        <v>3317</v>
      </c>
      <c r="B2917" s="559" t="s">
        <v>1327</v>
      </c>
      <c r="C2917" s="225"/>
      <c r="D2917" s="560">
        <v>610000004077</v>
      </c>
      <c r="E2917" s="560">
        <f>VLOOKUP(D2917,'[1]Task list &amp; Maintenace plan'!$B:$G,6,FALSE)</f>
        <v>100511</v>
      </c>
      <c r="F2917" s="560" t="s">
        <v>4162</v>
      </c>
      <c r="G2917" s="561" t="s">
        <v>1354</v>
      </c>
      <c r="H2917" s="561" t="s">
        <v>4171</v>
      </c>
      <c r="I2917" s="562">
        <v>15</v>
      </c>
      <c r="J2917" s="753"/>
      <c r="K2917" s="753">
        <f>VLOOKUP(D2917,[2]PC50MZ!$C$6:$J$325,7,FALSE)</f>
        <v>30</v>
      </c>
      <c r="L2917" s="753">
        <v>1</v>
      </c>
      <c r="M2917" s="753">
        <f t="shared" si="17"/>
        <v>30</v>
      </c>
      <c r="N2917" s="753"/>
      <c r="O2917" s="563"/>
      <c r="P2917" s="563"/>
      <c r="Q2917" s="563"/>
      <c r="R2917" s="564"/>
      <c r="S2917" s="562"/>
    </row>
    <row r="2918" spans="1:19" x14ac:dyDescent="0.25">
      <c r="A2918" t="s">
        <v>3317</v>
      </c>
      <c r="B2918" s="559" t="s">
        <v>1327</v>
      </c>
      <c r="C2918" s="225"/>
      <c r="D2918" s="565">
        <v>610000004077</v>
      </c>
      <c r="E2918" s="565">
        <f>VLOOKUP(D2918,'[1]Task list &amp; Maintenace plan'!$B:$G,6,FALSE)</f>
        <v>100511</v>
      </c>
      <c r="F2918" s="565" t="s">
        <v>4162</v>
      </c>
      <c r="G2918" s="566" t="s">
        <v>1363</v>
      </c>
      <c r="H2918" s="566" t="s">
        <v>4172</v>
      </c>
      <c r="I2918" s="567">
        <v>15</v>
      </c>
      <c r="J2918" s="754"/>
      <c r="K2918" s="754">
        <f>VLOOKUP(D2918,[2]PC50MZ!$C$6:$J$325,7,FALSE)</f>
        <v>30</v>
      </c>
      <c r="L2918" s="754">
        <v>1</v>
      </c>
      <c r="M2918" s="754">
        <f t="shared" si="17"/>
        <v>30</v>
      </c>
      <c r="N2918" s="754"/>
      <c r="O2918" s="563"/>
      <c r="P2918" s="563"/>
      <c r="Q2918" s="563"/>
      <c r="R2918" s="568"/>
      <c r="S2918" s="567"/>
    </row>
    <row r="2919" spans="1:19" x14ac:dyDescent="0.25">
      <c r="A2919" t="s">
        <v>3317</v>
      </c>
      <c r="B2919" s="559" t="s">
        <v>1327</v>
      </c>
      <c r="C2919" s="225"/>
      <c r="D2919" s="573">
        <v>610000004078</v>
      </c>
      <c r="E2919" s="573">
        <f>VLOOKUP(D2919,'[1]Task list &amp; Maintenace plan'!$B:$G,6,FALSE)</f>
        <v>100512</v>
      </c>
      <c r="F2919" s="573" t="s">
        <v>4173</v>
      </c>
      <c r="G2919" s="574" t="s">
        <v>1331</v>
      </c>
      <c r="H2919" s="574" t="s">
        <v>2933</v>
      </c>
      <c r="I2919" s="575">
        <v>30</v>
      </c>
      <c r="J2919" s="576">
        <v>1</v>
      </c>
      <c r="K2919" s="576">
        <f>VLOOKUP(D2919,[2]PC50MZ!$C$6:$J$325,7,FALSE)</f>
        <v>30</v>
      </c>
      <c r="L2919" s="576">
        <v>1</v>
      </c>
      <c r="M2919" s="576">
        <f t="shared" si="17"/>
        <v>30</v>
      </c>
      <c r="N2919" s="576" t="s">
        <v>34</v>
      </c>
      <c r="O2919" s="563"/>
      <c r="P2919" s="563"/>
      <c r="Q2919" s="563"/>
      <c r="R2919" s="577"/>
      <c r="S2919" s="575"/>
    </row>
    <row r="2920" spans="1:19" x14ac:dyDescent="0.25">
      <c r="A2920" t="s">
        <v>3317</v>
      </c>
      <c r="B2920" s="559" t="s">
        <v>1327</v>
      </c>
      <c r="C2920" s="225"/>
      <c r="D2920" s="569">
        <v>610000004079</v>
      </c>
      <c r="E2920" s="569">
        <f>VLOOKUP(D2920,'[1]Task list &amp; Maintenace plan'!$B:$G,6,FALSE)</f>
        <v>100513</v>
      </c>
      <c r="F2920" s="569" t="s">
        <v>4174</v>
      </c>
      <c r="G2920" s="570" t="s">
        <v>1341</v>
      </c>
      <c r="H2920" s="570" t="s">
        <v>4175</v>
      </c>
      <c r="I2920" s="571">
        <v>30</v>
      </c>
      <c r="J2920" s="752">
        <v>1</v>
      </c>
      <c r="K2920" s="752">
        <f>VLOOKUP(D2920,[2]PC50MZ!$C$6:$J$325,7,FALSE)</f>
        <v>30</v>
      </c>
      <c r="L2920" s="752">
        <v>1</v>
      </c>
      <c r="M2920" s="752">
        <f t="shared" si="17"/>
        <v>30</v>
      </c>
      <c r="N2920" s="752" t="s">
        <v>20</v>
      </c>
      <c r="O2920" s="563"/>
      <c r="P2920" s="563"/>
      <c r="Q2920" s="563"/>
      <c r="R2920" s="572"/>
      <c r="S2920" s="571"/>
    </row>
    <row r="2921" spans="1:19" x14ac:dyDescent="0.25">
      <c r="A2921" t="s">
        <v>3317</v>
      </c>
      <c r="B2921" s="559" t="s">
        <v>1327</v>
      </c>
      <c r="C2921" s="225"/>
      <c r="D2921" s="560">
        <v>610000004079</v>
      </c>
      <c r="E2921" s="560">
        <f>VLOOKUP(D2921,'[1]Task list &amp; Maintenace plan'!$B:$G,6,FALSE)</f>
        <v>100513</v>
      </c>
      <c r="F2921" s="560" t="s">
        <v>4174</v>
      </c>
      <c r="G2921" s="561" t="s">
        <v>1347</v>
      </c>
      <c r="H2921" s="561" t="s">
        <v>4176</v>
      </c>
      <c r="I2921" s="562">
        <v>30</v>
      </c>
      <c r="J2921" s="753">
        <v>1</v>
      </c>
      <c r="K2921" s="753">
        <f>VLOOKUP(D2921,[2]PC50MZ!$C$6:$J$325,7,FALSE)</f>
        <v>30</v>
      </c>
      <c r="L2921" s="753">
        <v>1</v>
      </c>
      <c r="M2921" s="753">
        <f t="shared" si="17"/>
        <v>30</v>
      </c>
      <c r="N2921" s="753"/>
      <c r="O2921" s="563"/>
      <c r="P2921" s="563"/>
      <c r="Q2921" s="563"/>
      <c r="R2921" s="564"/>
      <c r="S2921" s="562"/>
    </row>
    <row r="2922" spans="1:19" x14ac:dyDescent="0.25">
      <c r="A2922" t="s">
        <v>3317</v>
      </c>
      <c r="B2922" s="559" t="s">
        <v>1327</v>
      </c>
      <c r="C2922" s="225"/>
      <c r="D2922" s="560">
        <v>610000004079</v>
      </c>
      <c r="E2922" s="560">
        <f>VLOOKUP(D2922,'[1]Task list &amp; Maintenace plan'!$B:$G,6,FALSE)</f>
        <v>100513</v>
      </c>
      <c r="F2922" s="560" t="s">
        <v>4174</v>
      </c>
      <c r="G2922" s="561" t="s">
        <v>1339</v>
      </c>
      <c r="H2922" s="561" t="s">
        <v>4177</v>
      </c>
      <c r="I2922" s="562">
        <v>30</v>
      </c>
      <c r="J2922" s="753">
        <v>1</v>
      </c>
      <c r="K2922" s="753">
        <f>VLOOKUP(D2922,[2]PC50MZ!$C$6:$J$325,7,FALSE)</f>
        <v>30</v>
      </c>
      <c r="L2922" s="753">
        <v>1</v>
      </c>
      <c r="M2922" s="753">
        <f t="shared" si="17"/>
        <v>30</v>
      </c>
      <c r="N2922" s="753"/>
      <c r="O2922" s="563"/>
      <c r="P2922" s="563"/>
      <c r="Q2922" s="563"/>
      <c r="R2922" s="564"/>
      <c r="S2922" s="562"/>
    </row>
    <row r="2923" spans="1:19" x14ac:dyDescent="0.25">
      <c r="A2923" t="s">
        <v>3317</v>
      </c>
      <c r="B2923" s="559" t="s">
        <v>1327</v>
      </c>
      <c r="C2923" s="225"/>
      <c r="D2923" s="560">
        <v>610000004079</v>
      </c>
      <c r="E2923" s="560">
        <f>VLOOKUP(D2923,'[1]Task list &amp; Maintenace plan'!$B:$G,6,FALSE)</f>
        <v>100513</v>
      </c>
      <c r="F2923" s="560" t="s">
        <v>4174</v>
      </c>
      <c r="G2923" s="561" t="s">
        <v>1349</v>
      </c>
      <c r="H2923" s="561" t="s">
        <v>4178</v>
      </c>
      <c r="I2923" s="562">
        <v>30</v>
      </c>
      <c r="J2923" s="753">
        <v>1</v>
      </c>
      <c r="K2923" s="753">
        <f>VLOOKUP(D2923,[2]PC50MZ!$C$6:$J$325,7,FALSE)</f>
        <v>30</v>
      </c>
      <c r="L2923" s="753">
        <v>1</v>
      </c>
      <c r="M2923" s="753">
        <f t="shared" si="17"/>
        <v>30</v>
      </c>
      <c r="N2923" s="753"/>
      <c r="O2923" s="563"/>
      <c r="P2923" s="563"/>
      <c r="Q2923" s="563"/>
      <c r="R2923" s="564"/>
      <c r="S2923" s="562"/>
    </row>
    <row r="2924" spans="1:19" x14ac:dyDescent="0.25">
      <c r="A2924" t="s">
        <v>3317</v>
      </c>
      <c r="B2924" s="559" t="s">
        <v>1327</v>
      </c>
      <c r="C2924" s="225"/>
      <c r="D2924" s="560">
        <v>610000004079</v>
      </c>
      <c r="E2924" s="560">
        <f>VLOOKUP(D2924,'[1]Task list &amp; Maintenace plan'!$B:$G,6,FALSE)</f>
        <v>100513</v>
      </c>
      <c r="F2924" s="560" t="s">
        <v>4174</v>
      </c>
      <c r="G2924" s="561" t="s">
        <v>1342</v>
      </c>
      <c r="H2924" s="561" t="s">
        <v>4179</v>
      </c>
      <c r="I2924" s="562">
        <v>30</v>
      </c>
      <c r="J2924" s="753">
        <v>1</v>
      </c>
      <c r="K2924" s="753">
        <f>VLOOKUP(D2924,[2]PC50MZ!$C$6:$J$325,7,FALSE)</f>
        <v>30</v>
      </c>
      <c r="L2924" s="753">
        <v>1</v>
      </c>
      <c r="M2924" s="753">
        <f t="shared" si="17"/>
        <v>30</v>
      </c>
      <c r="N2924" s="753"/>
      <c r="O2924" s="563"/>
      <c r="P2924" s="563"/>
      <c r="Q2924" s="563"/>
      <c r="R2924" s="564"/>
      <c r="S2924" s="562"/>
    </row>
    <row r="2925" spans="1:19" x14ac:dyDescent="0.25">
      <c r="A2925" t="s">
        <v>3317</v>
      </c>
      <c r="B2925" s="559" t="s">
        <v>1327</v>
      </c>
      <c r="C2925" s="225"/>
      <c r="D2925" s="560">
        <v>610000004079</v>
      </c>
      <c r="E2925" s="560">
        <f>VLOOKUP(D2925,'[1]Task list &amp; Maintenace plan'!$B:$G,6,FALSE)</f>
        <v>100513</v>
      </c>
      <c r="F2925" s="560" t="s">
        <v>4174</v>
      </c>
      <c r="G2925" s="561" t="s">
        <v>1351</v>
      </c>
      <c r="H2925" s="561" t="s">
        <v>4180</v>
      </c>
      <c r="I2925" s="562">
        <v>30</v>
      </c>
      <c r="J2925" s="753">
        <v>1</v>
      </c>
      <c r="K2925" s="753">
        <f>VLOOKUP(D2925,[2]PC50MZ!$C$6:$J$325,7,FALSE)</f>
        <v>30</v>
      </c>
      <c r="L2925" s="753">
        <v>1</v>
      </c>
      <c r="M2925" s="753">
        <f t="shared" si="17"/>
        <v>30</v>
      </c>
      <c r="N2925" s="753"/>
      <c r="O2925" s="563"/>
      <c r="P2925" s="563"/>
      <c r="Q2925" s="563"/>
      <c r="R2925" s="564"/>
      <c r="S2925" s="562"/>
    </row>
    <row r="2926" spans="1:19" x14ac:dyDescent="0.25">
      <c r="A2926" t="s">
        <v>3317</v>
      </c>
      <c r="B2926" s="559" t="s">
        <v>1327</v>
      </c>
      <c r="C2926" s="621"/>
      <c r="D2926" s="560">
        <v>610000004079</v>
      </c>
      <c r="E2926" s="560">
        <f>VLOOKUP(D2926,'[1]Task list &amp; Maintenace plan'!$B:$G,6,FALSE)</f>
        <v>100513</v>
      </c>
      <c r="F2926" s="560" t="s">
        <v>4174</v>
      </c>
      <c r="G2926" s="561" t="s">
        <v>1351</v>
      </c>
      <c r="H2926" s="561" t="s">
        <v>4181</v>
      </c>
      <c r="I2926" s="562">
        <v>30</v>
      </c>
      <c r="J2926" s="753"/>
      <c r="K2926" s="753">
        <f>VLOOKUP(D2926,[2]PC50MZ!$C$6:$J$325,7,FALSE)</f>
        <v>30</v>
      </c>
      <c r="L2926" s="753">
        <v>1</v>
      </c>
      <c r="M2926" s="753">
        <f t="shared" si="17"/>
        <v>30</v>
      </c>
      <c r="N2926" s="753"/>
      <c r="O2926" s="563"/>
      <c r="P2926" s="563"/>
      <c r="Q2926" s="563"/>
      <c r="R2926" s="564">
        <v>8.5</v>
      </c>
      <c r="S2926" s="562"/>
    </row>
    <row r="2927" spans="1:19" x14ac:dyDescent="0.25">
      <c r="A2927" t="s">
        <v>3317</v>
      </c>
      <c r="B2927" s="559" t="s">
        <v>1327</v>
      </c>
      <c r="C2927" s="621"/>
      <c r="D2927" s="560">
        <v>610000004079</v>
      </c>
      <c r="E2927" s="560">
        <f>VLOOKUP(D2927,'[1]Task list &amp; Maintenace plan'!$B:$G,6,FALSE)</f>
        <v>100513</v>
      </c>
      <c r="F2927" s="560" t="s">
        <v>4174</v>
      </c>
      <c r="G2927" s="561" t="s">
        <v>1351</v>
      </c>
      <c r="H2927" s="561" t="s">
        <v>4182</v>
      </c>
      <c r="I2927" s="562">
        <v>30</v>
      </c>
      <c r="J2927" s="753"/>
      <c r="K2927" s="753">
        <f>VLOOKUP(D2927,[2]PC50MZ!$C$6:$J$325,7,FALSE)</f>
        <v>30</v>
      </c>
      <c r="L2927" s="753">
        <v>1</v>
      </c>
      <c r="M2927" s="753">
        <f t="shared" si="17"/>
        <v>30</v>
      </c>
      <c r="N2927" s="753"/>
      <c r="O2927" s="563"/>
      <c r="P2927" s="563"/>
      <c r="Q2927" s="563"/>
      <c r="R2927" s="564"/>
      <c r="S2927" s="562"/>
    </row>
    <row r="2928" spans="1:19" x14ac:dyDescent="0.25">
      <c r="A2928" t="s">
        <v>3317</v>
      </c>
      <c r="B2928" s="559" t="s">
        <v>1327</v>
      </c>
      <c r="C2928" s="621"/>
      <c r="D2928" s="560">
        <v>610000004079</v>
      </c>
      <c r="E2928" s="560">
        <f>VLOOKUP(D2928,'[1]Task list &amp; Maintenace plan'!$B:$G,6,FALSE)</f>
        <v>100513</v>
      </c>
      <c r="F2928" s="560" t="s">
        <v>4174</v>
      </c>
      <c r="G2928" s="561" t="s">
        <v>1351</v>
      </c>
      <c r="H2928" s="561" t="s">
        <v>4183</v>
      </c>
      <c r="I2928" s="562">
        <v>30</v>
      </c>
      <c r="J2928" s="753">
        <v>1</v>
      </c>
      <c r="K2928" s="753">
        <f>VLOOKUP(D2928,[2]PC50MZ!$C$6:$J$325,7,FALSE)</f>
        <v>30</v>
      </c>
      <c r="L2928" s="753">
        <v>1</v>
      </c>
      <c r="M2928" s="753">
        <f t="shared" si="17"/>
        <v>30</v>
      </c>
      <c r="N2928" s="753"/>
      <c r="O2928" s="563"/>
      <c r="P2928" s="563"/>
      <c r="Q2928" s="563"/>
      <c r="R2928" s="564"/>
      <c r="S2928" s="562"/>
    </row>
    <row r="2929" spans="1:19" x14ac:dyDescent="0.25">
      <c r="A2929" t="s">
        <v>3317</v>
      </c>
      <c r="B2929" s="559" t="s">
        <v>1327</v>
      </c>
      <c r="C2929" s="622"/>
      <c r="D2929" s="560">
        <v>610000004079</v>
      </c>
      <c r="E2929" s="560">
        <f>VLOOKUP(D2929,'[1]Task list &amp; Maintenace plan'!$B:$G,6,FALSE)</f>
        <v>100513</v>
      </c>
      <c r="F2929" s="560" t="s">
        <v>4174</v>
      </c>
      <c r="G2929" s="561" t="s">
        <v>1351</v>
      </c>
      <c r="H2929" s="561" t="s">
        <v>4184</v>
      </c>
      <c r="I2929" s="562">
        <v>30</v>
      </c>
      <c r="J2929" s="753"/>
      <c r="K2929" s="753">
        <f>VLOOKUP(D2929,[2]PC50MZ!$C$6:$J$325,7,FALSE)</f>
        <v>30</v>
      </c>
      <c r="L2929" s="753">
        <v>1</v>
      </c>
      <c r="M2929" s="753">
        <f t="shared" si="17"/>
        <v>30</v>
      </c>
      <c r="N2929" s="753"/>
      <c r="O2929" s="563"/>
      <c r="P2929" s="563"/>
      <c r="Q2929" s="563"/>
      <c r="R2929" s="564"/>
      <c r="S2929" s="562"/>
    </row>
    <row r="2930" spans="1:19" x14ac:dyDescent="0.25">
      <c r="A2930" t="s">
        <v>3317</v>
      </c>
      <c r="B2930" s="559" t="s">
        <v>1327</v>
      </c>
      <c r="C2930" s="225"/>
      <c r="D2930" s="560">
        <v>610000004079</v>
      </c>
      <c r="E2930" s="560">
        <f>VLOOKUP(D2930,'[1]Task list &amp; Maintenace plan'!$B:$G,6,FALSE)</f>
        <v>100513</v>
      </c>
      <c r="F2930" s="560" t="s">
        <v>4174</v>
      </c>
      <c r="G2930" s="561" t="s">
        <v>1333</v>
      </c>
      <c r="H2930" s="561" t="s">
        <v>4185</v>
      </c>
      <c r="I2930" s="562">
        <v>30</v>
      </c>
      <c r="J2930" s="753">
        <v>1</v>
      </c>
      <c r="K2930" s="753">
        <f>VLOOKUP(D2930,[2]PC50MZ!$C$6:$J$325,7,FALSE)</f>
        <v>30</v>
      </c>
      <c r="L2930" s="753">
        <v>1</v>
      </c>
      <c r="M2930" s="753">
        <f t="shared" si="17"/>
        <v>30</v>
      </c>
      <c r="N2930" s="753"/>
      <c r="O2930" s="563"/>
      <c r="P2930" s="563"/>
      <c r="Q2930" s="563"/>
      <c r="R2930" s="564"/>
      <c r="S2930" s="562"/>
    </row>
    <row r="2931" spans="1:19" x14ac:dyDescent="0.25">
      <c r="A2931" t="s">
        <v>3317</v>
      </c>
      <c r="B2931" s="559" t="s">
        <v>1327</v>
      </c>
      <c r="C2931" s="225"/>
      <c r="D2931" s="560">
        <v>610000004079</v>
      </c>
      <c r="E2931" s="560">
        <f>VLOOKUP(D2931,'[1]Task list &amp; Maintenace plan'!$B:$G,6,FALSE)</f>
        <v>100513</v>
      </c>
      <c r="F2931" s="560" t="s">
        <v>4174</v>
      </c>
      <c r="G2931" s="561" t="s">
        <v>1333</v>
      </c>
      <c r="H2931" s="561" t="s">
        <v>4186</v>
      </c>
      <c r="I2931" s="562">
        <v>30</v>
      </c>
      <c r="J2931" s="753"/>
      <c r="K2931" s="753">
        <f>VLOOKUP(D2931,[2]PC50MZ!$C$6:$J$325,7,FALSE)</f>
        <v>30</v>
      </c>
      <c r="L2931" s="753">
        <v>1</v>
      </c>
      <c r="M2931" s="753">
        <f t="shared" si="17"/>
        <v>30</v>
      </c>
      <c r="N2931" s="753"/>
      <c r="O2931" s="563"/>
      <c r="P2931" s="563"/>
      <c r="Q2931" s="563"/>
      <c r="R2931" s="564"/>
      <c r="S2931" s="562"/>
    </row>
    <row r="2932" spans="1:19" x14ac:dyDescent="0.25">
      <c r="A2932" t="s">
        <v>3317</v>
      </c>
      <c r="B2932" s="559" t="s">
        <v>1327</v>
      </c>
      <c r="C2932" s="225"/>
      <c r="D2932" s="560">
        <v>610000004079</v>
      </c>
      <c r="E2932" s="560">
        <f>VLOOKUP(D2932,'[1]Task list &amp; Maintenace plan'!$B:$G,6,FALSE)</f>
        <v>100513</v>
      </c>
      <c r="F2932" s="560" t="s">
        <v>4174</v>
      </c>
      <c r="G2932" s="561" t="s">
        <v>1333</v>
      </c>
      <c r="H2932" s="561" t="s">
        <v>4187</v>
      </c>
      <c r="I2932" s="562">
        <v>30</v>
      </c>
      <c r="J2932" s="753"/>
      <c r="K2932" s="753">
        <f>VLOOKUP(D2932,[2]PC50MZ!$C$6:$J$325,7,FALSE)</f>
        <v>30</v>
      </c>
      <c r="L2932" s="753">
        <v>1</v>
      </c>
      <c r="M2932" s="753">
        <f t="shared" si="17"/>
        <v>30</v>
      </c>
      <c r="N2932" s="753"/>
      <c r="O2932" s="563"/>
      <c r="P2932" s="563"/>
      <c r="Q2932" s="563"/>
      <c r="R2932" s="564"/>
      <c r="S2932" s="562"/>
    </row>
    <row r="2933" spans="1:19" x14ac:dyDescent="0.25">
      <c r="A2933" t="s">
        <v>3317</v>
      </c>
      <c r="B2933" s="559" t="s">
        <v>1327</v>
      </c>
      <c r="C2933" s="225"/>
      <c r="D2933" s="560">
        <v>610000004079</v>
      </c>
      <c r="E2933" s="560">
        <f>VLOOKUP(D2933,'[1]Task list &amp; Maintenace plan'!$B:$G,6,FALSE)</f>
        <v>100513</v>
      </c>
      <c r="F2933" s="560" t="s">
        <v>4174</v>
      </c>
      <c r="G2933" s="561" t="s">
        <v>1345</v>
      </c>
      <c r="H2933" s="561" t="s">
        <v>4188</v>
      </c>
      <c r="I2933" s="562">
        <v>30</v>
      </c>
      <c r="J2933" s="753"/>
      <c r="K2933" s="753">
        <f>VLOOKUP(D2933,[2]PC50MZ!$C$6:$J$325,7,FALSE)</f>
        <v>30</v>
      </c>
      <c r="L2933" s="753">
        <v>1</v>
      </c>
      <c r="M2933" s="753">
        <f t="shared" si="17"/>
        <v>30</v>
      </c>
      <c r="N2933" s="753"/>
      <c r="O2933" s="563"/>
      <c r="P2933" s="563"/>
      <c r="Q2933" s="563"/>
      <c r="R2933" s="564"/>
      <c r="S2933" s="562"/>
    </row>
    <row r="2934" spans="1:19" x14ac:dyDescent="0.25">
      <c r="A2934" t="s">
        <v>3317</v>
      </c>
      <c r="B2934" s="559" t="s">
        <v>1327</v>
      </c>
      <c r="C2934" s="225"/>
      <c r="D2934" s="560">
        <v>610000004079</v>
      </c>
      <c r="E2934" s="560">
        <f>VLOOKUP(D2934,'[1]Task list &amp; Maintenace plan'!$B:$G,6,FALSE)</f>
        <v>100513</v>
      </c>
      <c r="F2934" s="560" t="s">
        <v>4174</v>
      </c>
      <c r="G2934" s="561" t="s">
        <v>1336</v>
      </c>
      <c r="H2934" s="561" t="s">
        <v>4189</v>
      </c>
      <c r="I2934" s="562">
        <v>30</v>
      </c>
      <c r="J2934" s="753"/>
      <c r="K2934" s="753">
        <f>VLOOKUP(D2934,[2]PC50MZ!$C$6:$J$325,7,FALSE)</f>
        <v>30</v>
      </c>
      <c r="L2934" s="753">
        <v>1</v>
      </c>
      <c r="M2934" s="753">
        <f t="shared" si="17"/>
        <v>30</v>
      </c>
      <c r="N2934" s="753"/>
      <c r="O2934" s="563"/>
      <c r="P2934" s="563"/>
      <c r="Q2934" s="563"/>
      <c r="R2934" s="564"/>
      <c r="S2934" s="562"/>
    </row>
    <row r="2935" spans="1:19" x14ac:dyDescent="0.25">
      <c r="A2935" t="s">
        <v>3317</v>
      </c>
      <c r="B2935" s="559" t="s">
        <v>1327</v>
      </c>
      <c r="C2935" s="225"/>
      <c r="D2935" s="560">
        <v>610000004079</v>
      </c>
      <c r="E2935" s="560">
        <f>VLOOKUP(D2935,'[1]Task list &amp; Maintenace plan'!$B:$G,6,FALSE)</f>
        <v>100513</v>
      </c>
      <c r="F2935" s="560" t="s">
        <v>4174</v>
      </c>
      <c r="G2935" s="561" t="s">
        <v>1336</v>
      </c>
      <c r="H2935" s="561" t="s">
        <v>4190</v>
      </c>
      <c r="I2935" s="562">
        <v>30</v>
      </c>
      <c r="J2935" s="753"/>
      <c r="K2935" s="753">
        <f>VLOOKUP(D2935,[2]PC50MZ!$C$6:$J$325,7,FALSE)</f>
        <v>30</v>
      </c>
      <c r="L2935" s="753">
        <v>1</v>
      </c>
      <c r="M2935" s="753">
        <f t="shared" si="17"/>
        <v>30</v>
      </c>
      <c r="N2935" s="753"/>
      <c r="O2935" s="563"/>
      <c r="P2935" s="563"/>
      <c r="Q2935" s="563"/>
      <c r="R2935" s="564"/>
      <c r="S2935" s="562"/>
    </row>
    <row r="2936" spans="1:19" x14ac:dyDescent="0.25">
      <c r="A2936" t="s">
        <v>3317</v>
      </c>
      <c r="B2936" s="559" t="s">
        <v>1327</v>
      </c>
      <c r="C2936" s="225"/>
      <c r="D2936" s="560">
        <v>610000004079</v>
      </c>
      <c r="E2936" s="560">
        <f>VLOOKUP(D2936,'[1]Task list &amp; Maintenace plan'!$B:$G,6,FALSE)</f>
        <v>100513</v>
      </c>
      <c r="F2936" s="560" t="s">
        <v>4174</v>
      </c>
      <c r="G2936" s="561" t="s">
        <v>1354</v>
      </c>
      <c r="H2936" s="561" t="s">
        <v>4191</v>
      </c>
      <c r="I2936" s="562">
        <v>30</v>
      </c>
      <c r="J2936" s="753"/>
      <c r="K2936" s="753">
        <f>VLOOKUP(D2936,[2]PC50MZ!$C$6:$J$325,7,FALSE)</f>
        <v>30</v>
      </c>
      <c r="L2936" s="753">
        <v>1</v>
      </c>
      <c r="M2936" s="753">
        <f t="shared" si="17"/>
        <v>30</v>
      </c>
      <c r="N2936" s="753"/>
      <c r="O2936" s="563"/>
      <c r="P2936" s="563"/>
      <c r="Q2936" s="563"/>
      <c r="R2936" s="564"/>
      <c r="S2936" s="562"/>
    </row>
    <row r="2937" spans="1:19" x14ac:dyDescent="0.25">
      <c r="A2937" t="s">
        <v>3317</v>
      </c>
      <c r="B2937" s="559" t="s">
        <v>1327</v>
      </c>
      <c r="C2937" s="225"/>
      <c r="D2937" s="560">
        <v>610000004079</v>
      </c>
      <c r="E2937" s="560">
        <f>VLOOKUP(D2937,'[1]Task list &amp; Maintenace plan'!$B:$G,6,FALSE)</f>
        <v>100513</v>
      </c>
      <c r="F2937" s="560" t="s">
        <v>4174</v>
      </c>
      <c r="G2937" s="561" t="s">
        <v>1354</v>
      </c>
      <c r="H2937" s="561" t="s">
        <v>4190</v>
      </c>
      <c r="I2937" s="562">
        <v>30</v>
      </c>
      <c r="J2937" s="753"/>
      <c r="K2937" s="753">
        <f>VLOOKUP(D2937,[2]PC50MZ!$C$6:$J$325,7,FALSE)</f>
        <v>30</v>
      </c>
      <c r="L2937" s="753">
        <v>1</v>
      </c>
      <c r="M2937" s="753">
        <f t="shared" si="17"/>
        <v>30</v>
      </c>
      <c r="N2937" s="753"/>
      <c r="O2937" s="563"/>
      <c r="P2937" s="563"/>
      <c r="Q2937" s="563"/>
      <c r="R2937" s="564"/>
      <c r="S2937" s="562"/>
    </row>
    <row r="2938" spans="1:19" x14ac:dyDescent="0.25">
      <c r="A2938" t="s">
        <v>3317</v>
      </c>
      <c r="B2938" s="559" t="s">
        <v>1327</v>
      </c>
      <c r="C2938" s="225"/>
      <c r="D2938" s="560">
        <v>610000004079</v>
      </c>
      <c r="E2938" s="560">
        <f>VLOOKUP(D2938,'[1]Task list &amp; Maintenace plan'!$B:$G,6,FALSE)</f>
        <v>100513</v>
      </c>
      <c r="F2938" s="560" t="s">
        <v>4174</v>
      </c>
      <c r="G2938" s="561" t="s">
        <v>1363</v>
      </c>
      <c r="H2938" s="561" t="s">
        <v>4192</v>
      </c>
      <c r="I2938" s="562">
        <v>30</v>
      </c>
      <c r="J2938" s="753"/>
      <c r="K2938" s="753">
        <f>VLOOKUP(D2938,[2]PC50MZ!$C$6:$J$325,7,FALSE)</f>
        <v>30</v>
      </c>
      <c r="L2938" s="753">
        <v>1</v>
      </c>
      <c r="M2938" s="753">
        <f t="shared" si="17"/>
        <v>30</v>
      </c>
      <c r="N2938" s="753"/>
      <c r="O2938" s="563"/>
      <c r="P2938" s="563"/>
      <c r="Q2938" s="563"/>
      <c r="R2938" s="564"/>
      <c r="S2938" s="562"/>
    </row>
    <row r="2939" spans="1:19" x14ac:dyDescent="0.25">
      <c r="A2939" t="s">
        <v>3317</v>
      </c>
      <c r="B2939" s="559" t="s">
        <v>1327</v>
      </c>
      <c r="C2939" s="225"/>
      <c r="D2939" s="565">
        <v>610000004079</v>
      </c>
      <c r="E2939" s="565">
        <f>VLOOKUP(D2939,'[1]Task list &amp; Maintenace plan'!$B:$G,6,FALSE)</f>
        <v>100513</v>
      </c>
      <c r="F2939" s="565" t="s">
        <v>4174</v>
      </c>
      <c r="G2939" s="566" t="s">
        <v>1363</v>
      </c>
      <c r="H2939" s="566" t="s">
        <v>4190</v>
      </c>
      <c r="I2939" s="567">
        <v>30</v>
      </c>
      <c r="J2939" s="754"/>
      <c r="K2939" s="754">
        <f>VLOOKUP(D2939,[2]PC50MZ!$C$6:$J$325,7,FALSE)</f>
        <v>30</v>
      </c>
      <c r="L2939" s="754">
        <v>1</v>
      </c>
      <c r="M2939" s="754">
        <f t="shared" si="17"/>
        <v>30</v>
      </c>
      <c r="N2939" s="754"/>
      <c r="O2939" s="563"/>
      <c r="P2939" s="563"/>
      <c r="Q2939" s="563"/>
      <c r="R2939" s="568"/>
      <c r="S2939" s="567"/>
    </row>
    <row r="2940" spans="1:19" x14ac:dyDescent="0.25">
      <c r="A2940" t="s">
        <v>3317</v>
      </c>
      <c r="B2940" s="559" t="s">
        <v>1327</v>
      </c>
      <c r="C2940" s="225"/>
      <c r="D2940" s="573">
        <v>610000004080</v>
      </c>
      <c r="E2940" s="573">
        <f>VLOOKUP(D2940,'[1]Task list &amp; Maintenace plan'!$B:$G,6,FALSE)</f>
        <v>100514</v>
      </c>
      <c r="F2940" s="573" t="s">
        <v>4193</v>
      </c>
      <c r="G2940" s="574" t="s">
        <v>1342</v>
      </c>
      <c r="H2940" s="574" t="s">
        <v>4194</v>
      </c>
      <c r="I2940" s="575">
        <v>30</v>
      </c>
      <c r="J2940" s="576"/>
      <c r="K2940" s="576">
        <f>VLOOKUP(D2940,[2]PC50MZ!$C$6:$J$325,7,FALSE)</f>
        <v>5</v>
      </c>
      <c r="L2940" s="576">
        <v>1</v>
      </c>
      <c r="M2940" s="576">
        <f t="shared" si="17"/>
        <v>5</v>
      </c>
      <c r="N2940" s="576" t="s">
        <v>20</v>
      </c>
      <c r="O2940" s="563"/>
      <c r="P2940" s="563"/>
      <c r="Q2940" s="563"/>
      <c r="R2940" s="577"/>
      <c r="S2940" s="575"/>
    </row>
    <row r="2941" spans="1:19" x14ac:dyDescent="0.25">
      <c r="A2941" t="s">
        <v>3317</v>
      </c>
      <c r="B2941" s="559" t="s">
        <v>1327</v>
      </c>
      <c r="C2941" s="225"/>
      <c r="D2941" s="607">
        <v>610000004081</v>
      </c>
      <c r="E2941" s="607">
        <f>VLOOKUP(D2941,'[1]Task list &amp; Maintenace plan'!$B:$G,6,FALSE)</f>
        <v>100515</v>
      </c>
      <c r="F2941" s="607" t="s">
        <v>4195</v>
      </c>
      <c r="G2941" s="608" t="s">
        <v>1329</v>
      </c>
      <c r="H2941" s="608" t="s">
        <v>4196</v>
      </c>
      <c r="I2941" s="609">
        <v>30</v>
      </c>
      <c r="J2941" s="610">
        <v>1</v>
      </c>
      <c r="K2941" s="610">
        <f>VLOOKUP(D2941,[2]PC50MZ!$C$6:$J$325,7,FALSE)</f>
        <v>30</v>
      </c>
      <c r="L2941" s="610">
        <v>1</v>
      </c>
      <c r="M2941" s="610">
        <f t="shared" si="17"/>
        <v>30</v>
      </c>
      <c r="N2941" s="610" t="s">
        <v>468</v>
      </c>
      <c r="O2941" s="563"/>
      <c r="P2941" s="563"/>
      <c r="Q2941" s="563"/>
      <c r="R2941" s="611"/>
      <c r="S2941" s="609"/>
    </row>
    <row r="2942" spans="1:19" x14ac:dyDescent="0.25">
      <c r="A2942" t="s">
        <v>3317</v>
      </c>
      <c r="B2942" s="559" t="s">
        <v>1327</v>
      </c>
      <c r="C2942" s="225"/>
      <c r="D2942" s="607">
        <v>342595</v>
      </c>
      <c r="E2942" s="607">
        <f>VLOOKUP(D2942,'[1]Task list &amp; Maintenace plan'!$B:$G,6,FALSE)</f>
        <v>595</v>
      </c>
      <c r="F2942" s="607" t="s">
        <v>4197</v>
      </c>
      <c r="G2942" s="608" t="s">
        <v>1342</v>
      </c>
      <c r="H2942" s="608" t="s">
        <v>4198</v>
      </c>
      <c r="I2942" s="609">
        <v>90</v>
      </c>
      <c r="J2942" s="610">
        <v>1</v>
      </c>
      <c r="K2942" s="610">
        <f>VLOOKUP(D2942,[2]PC50MZ!$C$6:$J$325,7,FALSE)</f>
        <v>120</v>
      </c>
      <c r="L2942" s="610">
        <v>4</v>
      </c>
      <c r="M2942" s="610">
        <f t="shared" si="17"/>
        <v>480</v>
      </c>
      <c r="N2942" s="610" t="s">
        <v>468</v>
      </c>
      <c r="O2942" s="563"/>
      <c r="P2942" s="563"/>
      <c r="Q2942" s="563"/>
      <c r="R2942" s="611" t="s">
        <v>4199</v>
      </c>
      <c r="S2942" s="609"/>
    </row>
    <row r="2943" spans="1:19" x14ac:dyDescent="0.25">
      <c r="A2943" t="s">
        <v>3317</v>
      </c>
      <c r="B2943" s="559" t="s">
        <v>1327</v>
      </c>
      <c r="C2943" s="225"/>
      <c r="D2943" s="569">
        <v>610000004082</v>
      </c>
      <c r="E2943" s="569">
        <f>VLOOKUP(D2943,'[1]Task list &amp; Maintenace plan'!$B:$G,6,FALSE)</f>
        <v>100516</v>
      </c>
      <c r="F2943" s="569" t="s">
        <v>4200</v>
      </c>
      <c r="G2943" s="570" t="s">
        <v>1349</v>
      </c>
      <c r="H2943" s="570" t="s">
        <v>4201</v>
      </c>
      <c r="I2943" s="571">
        <v>180</v>
      </c>
      <c r="J2943" s="752">
        <v>1</v>
      </c>
      <c r="K2943" s="752">
        <f>VLOOKUP(D2943,[2]PC50MZ!$C$6:$J$325,7,FALSE)</f>
        <v>120</v>
      </c>
      <c r="L2943" s="752">
        <v>3</v>
      </c>
      <c r="M2943" s="752">
        <f t="shared" si="17"/>
        <v>360</v>
      </c>
      <c r="N2943" s="752" t="s">
        <v>3174</v>
      </c>
      <c r="O2943" s="563"/>
      <c r="P2943" s="563"/>
      <c r="Q2943" s="563"/>
      <c r="R2943" s="572" t="s">
        <v>3254</v>
      </c>
      <c r="S2943" s="571" t="s">
        <v>3995</v>
      </c>
    </row>
    <row r="2944" spans="1:19" x14ac:dyDescent="0.25">
      <c r="A2944" t="s">
        <v>3317</v>
      </c>
      <c r="B2944" s="559" t="s">
        <v>1327</v>
      </c>
      <c r="C2944" s="225"/>
      <c r="D2944" s="560">
        <v>610000004082</v>
      </c>
      <c r="E2944" s="560">
        <f>VLOOKUP(D2944,'[1]Task list &amp; Maintenace plan'!$B:$G,6,FALSE)</f>
        <v>100516</v>
      </c>
      <c r="F2944" s="560" t="s">
        <v>4200</v>
      </c>
      <c r="G2944" s="561" t="s">
        <v>1342</v>
      </c>
      <c r="H2944" s="561" t="s">
        <v>4202</v>
      </c>
      <c r="I2944" s="562">
        <v>180</v>
      </c>
      <c r="J2944" s="753">
        <v>1</v>
      </c>
      <c r="K2944" s="753">
        <f>VLOOKUP(D2944,[2]PC50MZ!$C$6:$J$325,7,FALSE)</f>
        <v>120</v>
      </c>
      <c r="L2944" s="753">
        <v>3</v>
      </c>
      <c r="M2944" s="753">
        <f t="shared" si="17"/>
        <v>360</v>
      </c>
      <c r="N2944" s="753"/>
      <c r="O2944" s="563"/>
      <c r="P2944" s="563"/>
      <c r="Q2944" s="563"/>
      <c r="R2944" s="564" t="s">
        <v>4203</v>
      </c>
      <c r="S2944" s="562" t="s">
        <v>4204</v>
      </c>
    </row>
    <row r="2945" spans="1:19" x14ac:dyDescent="0.25">
      <c r="A2945" t="s">
        <v>3317</v>
      </c>
      <c r="B2945" s="559" t="s">
        <v>1327</v>
      </c>
      <c r="C2945" s="225"/>
      <c r="D2945" s="560">
        <v>610000004082</v>
      </c>
      <c r="E2945" s="560">
        <f>VLOOKUP(D2945,'[1]Task list &amp; Maintenace plan'!$B:$G,6,FALSE)</f>
        <v>100516</v>
      </c>
      <c r="F2945" s="560" t="s">
        <v>4200</v>
      </c>
      <c r="G2945" s="561" t="s">
        <v>1351</v>
      </c>
      <c r="H2945" s="561" t="s">
        <v>4205</v>
      </c>
      <c r="I2945" s="562">
        <v>180</v>
      </c>
      <c r="J2945" s="753">
        <v>1</v>
      </c>
      <c r="K2945" s="753">
        <f>VLOOKUP(D2945,[2]PC50MZ!$C$6:$J$325,7,FALSE)</f>
        <v>120</v>
      </c>
      <c r="L2945" s="753">
        <v>3</v>
      </c>
      <c r="M2945" s="753">
        <f t="shared" si="17"/>
        <v>360</v>
      </c>
      <c r="N2945" s="753"/>
      <c r="O2945" s="563"/>
      <c r="P2945" s="563"/>
      <c r="Q2945" s="563"/>
      <c r="R2945" s="564" t="s">
        <v>4206</v>
      </c>
      <c r="S2945" s="562" t="s">
        <v>3502</v>
      </c>
    </row>
    <row r="2946" spans="1:19" x14ac:dyDescent="0.25">
      <c r="A2946" t="s">
        <v>3317</v>
      </c>
      <c r="B2946" s="559" t="s">
        <v>1327</v>
      </c>
      <c r="C2946" s="225"/>
      <c r="D2946" s="560">
        <v>610000004082</v>
      </c>
      <c r="E2946" s="560">
        <f>VLOOKUP(D2946,'[1]Task list &amp; Maintenace plan'!$B:$G,6,FALSE)</f>
        <v>100516</v>
      </c>
      <c r="F2946" s="560" t="s">
        <v>4200</v>
      </c>
      <c r="G2946" s="561" t="s">
        <v>1333</v>
      </c>
      <c r="H2946" s="561" t="s">
        <v>4207</v>
      </c>
      <c r="I2946" s="562">
        <v>180</v>
      </c>
      <c r="J2946" s="753">
        <v>1</v>
      </c>
      <c r="K2946" s="753">
        <f>VLOOKUP(D2946,[2]PC50MZ!$C$6:$J$325,7,FALSE)</f>
        <v>120</v>
      </c>
      <c r="L2946" s="753">
        <v>3</v>
      </c>
      <c r="M2946" s="753">
        <f t="shared" si="17"/>
        <v>360</v>
      </c>
      <c r="N2946" s="753"/>
      <c r="O2946" s="563"/>
      <c r="P2946" s="563"/>
      <c r="Q2946" s="563"/>
      <c r="R2946" s="564" t="s">
        <v>4208</v>
      </c>
      <c r="S2946" s="562"/>
    </row>
    <row r="2947" spans="1:19" x14ac:dyDescent="0.25">
      <c r="A2947" t="s">
        <v>3317</v>
      </c>
      <c r="B2947" s="559" t="s">
        <v>1327</v>
      </c>
      <c r="C2947" s="225"/>
      <c r="D2947" s="560">
        <v>610000004082</v>
      </c>
      <c r="E2947" s="560">
        <f>VLOOKUP(D2947,'[1]Task list &amp; Maintenace plan'!$B:$G,6,FALSE)</f>
        <v>100516</v>
      </c>
      <c r="F2947" s="560" t="s">
        <v>4200</v>
      </c>
      <c r="G2947" s="561" t="s">
        <v>1336</v>
      </c>
      <c r="H2947" s="561" t="s">
        <v>4209</v>
      </c>
      <c r="I2947" s="562">
        <v>180</v>
      </c>
      <c r="J2947" s="753">
        <v>1</v>
      </c>
      <c r="K2947" s="753">
        <f>VLOOKUP(D2947,[2]PC50MZ!$C$6:$J$325,7,FALSE)</f>
        <v>120</v>
      </c>
      <c r="L2947" s="753">
        <v>3</v>
      </c>
      <c r="M2947" s="753">
        <f t="shared" si="17"/>
        <v>360</v>
      </c>
      <c r="N2947" s="753"/>
      <c r="O2947" s="563"/>
      <c r="P2947" s="563"/>
      <c r="Q2947" s="563"/>
      <c r="R2947" s="564"/>
      <c r="S2947" s="562"/>
    </row>
    <row r="2948" spans="1:19" x14ac:dyDescent="0.25">
      <c r="A2948" t="s">
        <v>3317</v>
      </c>
      <c r="B2948" s="559" t="s">
        <v>1327</v>
      </c>
      <c r="C2948" s="225"/>
      <c r="D2948" s="602">
        <v>610000004082</v>
      </c>
      <c r="E2948" s="583">
        <f>VLOOKUP(D2948,'[1]Task list &amp; Maintenace plan'!$B:$G,6,FALSE)</f>
        <v>100516</v>
      </c>
      <c r="F2948" s="560" t="s">
        <v>4200</v>
      </c>
      <c r="G2948" s="584" t="s">
        <v>1354</v>
      </c>
      <c r="H2948" s="561" t="s">
        <v>4210</v>
      </c>
      <c r="I2948" s="604">
        <v>180</v>
      </c>
      <c r="J2948" s="753">
        <v>1</v>
      </c>
      <c r="K2948" s="753">
        <f>VLOOKUP(D2948,[2]PC50MZ!$C$6:$J$325,7,FALSE)</f>
        <v>120</v>
      </c>
      <c r="L2948" s="753">
        <v>3</v>
      </c>
      <c r="M2948" s="753">
        <f t="shared" si="17"/>
        <v>360</v>
      </c>
      <c r="N2948" s="753"/>
      <c r="O2948" s="563"/>
      <c r="P2948" s="563"/>
      <c r="Q2948" s="563"/>
      <c r="R2948" s="605"/>
      <c r="S2948" s="604"/>
    </row>
    <row r="2949" spans="1:19" x14ac:dyDescent="0.25">
      <c r="A2949" t="s">
        <v>3317</v>
      </c>
      <c r="B2949" s="559" t="s">
        <v>1327</v>
      </c>
      <c r="C2949" s="225"/>
      <c r="D2949" s="565">
        <v>610000004082</v>
      </c>
      <c r="E2949" s="565">
        <f>VLOOKUP(D2949,'[1]Task list &amp; Maintenace plan'!$B:$G,6,FALSE)</f>
        <v>100516</v>
      </c>
      <c r="F2949" s="565" t="s">
        <v>4200</v>
      </c>
      <c r="G2949" s="566" t="s">
        <v>1363</v>
      </c>
      <c r="H2949" s="566" t="s">
        <v>4211</v>
      </c>
      <c r="I2949" s="567">
        <v>180</v>
      </c>
      <c r="J2949" s="754">
        <v>1</v>
      </c>
      <c r="K2949" s="754">
        <f>VLOOKUP(D2949,[2]PC50MZ!$C$6:$J$325,7,FALSE)</f>
        <v>120</v>
      </c>
      <c r="L2949" s="754">
        <v>3</v>
      </c>
      <c r="M2949" s="754">
        <f t="shared" si="17"/>
        <v>360</v>
      </c>
      <c r="N2949" s="754"/>
      <c r="O2949" s="623"/>
      <c r="P2949" s="623"/>
      <c r="Q2949" s="623"/>
      <c r="R2949" s="568"/>
      <c r="S2949" s="567"/>
    </row>
    <row r="2950" spans="1:19" x14ac:dyDescent="0.25">
      <c r="A2950" t="s">
        <v>3317</v>
      </c>
      <c r="B2950" s="559" t="s">
        <v>1327</v>
      </c>
      <c r="C2950" s="225"/>
      <c r="D2950" s="598">
        <v>610000004083</v>
      </c>
      <c r="E2950" s="598">
        <f>VLOOKUP(D2950,'[1]Task list &amp; Maintenace plan'!$B:$G,6,FALSE)</f>
        <v>100517</v>
      </c>
      <c r="F2950" s="598" t="s">
        <v>4212</v>
      </c>
      <c r="G2950" s="599" t="s">
        <v>1342</v>
      </c>
      <c r="H2950" s="599" t="s">
        <v>4213</v>
      </c>
      <c r="I2950" s="600">
        <v>180</v>
      </c>
      <c r="J2950" s="752">
        <v>1</v>
      </c>
      <c r="K2950" s="752">
        <f>VLOOKUP(D2950,[2]PC50MZ!$C$6:$J$325,7,FALSE)</f>
        <v>480</v>
      </c>
      <c r="L2950" s="752">
        <v>6</v>
      </c>
      <c r="M2950" s="752">
        <f t="shared" si="17"/>
        <v>2880</v>
      </c>
      <c r="N2950" s="752" t="s">
        <v>468</v>
      </c>
      <c r="O2950" s="563"/>
      <c r="P2950" s="563"/>
      <c r="Q2950" s="563"/>
      <c r="R2950" s="601" t="s">
        <v>4214</v>
      </c>
      <c r="S2950" s="600" t="s">
        <v>4215</v>
      </c>
    </row>
    <row r="2951" spans="1:19" x14ac:dyDescent="0.25">
      <c r="A2951" t="s">
        <v>3317</v>
      </c>
      <c r="B2951" s="559" t="s">
        <v>1327</v>
      </c>
      <c r="C2951" s="225"/>
      <c r="D2951" s="565">
        <v>610000004083</v>
      </c>
      <c r="E2951" s="565">
        <f>VLOOKUP(D2951,'[1]Task list &amp; Maintenace plan'!$B:$G,6,FALSE)</f>
        <v>100517</v>
      </c>
      <c r="F2951" s="565" t="s">
        <v>4212</v>
      </c>
      <c r="G2951" s="566" t="s">
        <v>1342</v>
      </c>
      <c r="H2951" s="566" t="s">
        <v>4216</v>
      </c>
      <c r="I2951" s="567">
        <v>180</v>
      </c>
      <c r="J2951" s="754">
        <v>1</v>
      </c>
      <c r="K2951" s="754">
        <f>VLOOKUP(D2951,[2]PC50MZ!$C$6:$J$325,7,FALSE)</f>
        <v>480</v>
      </c>
      <c r="L2951" s="754">
        <v>6</v>
      </c>
      <c r="M2951" s="754">
        <f t="shared" si="17"/>
        <v>2880</v>
      </c>
      <c r="N2951" s="754"/>
      <c r="O2951" s="563"/>
      <c r="P2951" s="563"/>
      <c r="Q2951" s="563"/>
      <c r="R2951" s="568" t="s">
        <v>4217</v>
      </c>
      <c r="S2951" s="567" t="s">
        <v>4215</v>
      </c>
    </row>
    <row r="2952" spans="1:19" ht="15.75" thickBot="1" x14ac:dyDescent="0.3">
      <c r="A2952" t="s">
        <v>3317</v>
      </c>
      <c r="B2952" s="559" t="s">
        <v>1327</v>
      </c>
      <c r="C2952" s="578"/>
      <c r="D2952" s="583">
        <v>610000004084</v>
      </c>
      <c r="E2952" s="583">
        <f>VLOOKUP(D2952,'[1]Task list &amp; Maintenace plan'!$B:$G,6,FALSE)</f>
        <v>100518</v>
      </c>
      <c r="F2952" s="583" t="s">
        <v>4218</v>
      </c>
      <c r="G2952" s="584" t="s">
        <v>1351</v>
      </c>
      <c r="H2952" s="584" t="s">
        <v>4219</v>
      </c>
      <c r="I2952" s="585">
        <v>180</v>
      </c>
      <c r="J2952" s="586">
        <v>1</v>
      </c>
      <c r="K2952" s="586">
        <f>VLOOKUP(D2952,[2]PC50MZ!$C$6:$J$325,7,FALSE)</f>
        <v>30</v>
      </c>
      <c r="L2952" s="586">
        <v>1</v>
      </c>
      <c r="M2952" s="586">
        <f t="shared" si="17"/>
        <v>30</v>
      </c>
      <c r="N2952" s="586" t="s">
        <v>468</v>
      </c>
      <c r="O2952" s="563"/>
      <c r="P2952" s="563"/>
      <c r="Q2952" s="563"/>
      <c r="R2952" s="587" t="s">
        <v>4220</v>
      </c>
      <c r="S2952" s="585"/>
    </row>
    <row r="2953" spans="1:19" x14ac:dyDescent="0.25">
      <c r="A2953" t="s">
        <v>3317</v>
      </c>
      <c r="B2953" s="559" t="s">
        <v>1391</v>
      </c>
      <c r="C2953" s="225"/>
      <c r="D2953" s="593">
        <v>342257</v>
      </c>
      <c r="E2953" s="593">
        <f>VLOOKUP(D2953,'[1]Task list &amp; Maintenace plan'!$B:$G,6,FALSE)</f>
        <v>453</v>
      </c>
      <c r="F2953" s="593" t="s">
        <v>4221</v>
      </c>
      <c r="G2953" s="594" t="s">
        <v>1406</v>
      </c>
      <c r="H2953" s="594" t="s">
        <v>4222</v>
      </c>
      <c r="I2953" s="595">
        <v>7</v>
      </c>
      <c r="J2953" s="596">
        <v>1</v>
      </c>
      <c r="K2953" s="596">
        <f>VLOOKUP(D2953,[2]PC50MZ!$C$6:$J$325,7,FALSE)</f>
        <v>30</v>
      </c>
      <c r="L2953" s="596">
        <v>1</v>
      </c>
      <c r="M2953" s="596">
        <f t="shared" si="17"/>
        <v>30</v>
      </c>
      <c r="N2953" s="596" t="s">
        <v>34</v>
      </c>
      <c r="O2953" s="563"/>
      <c r="P2953" s="563"/>
      <c r="Q2953" s="563"/>
      <c r="R2953" s="597"/>
      <c r="S2953" s="595"/>
    </row>
    <row r="2954" spans="1:19" x14ac:dyDescent="0.25">
      <c r="A2954" t="s">
        <v>3317</v>
      </c>
      <c r="B2954" s="559" t="s">
        <v>1391</v>
      </c>
      <c r="C2954" s="225"/>
      <c r="D2954" s="569">
        <v>610000004085</v>
      </c>
      <c r="E2954" s="569">
        <f>VLOOKUP(D2954,'[1]Task list &amp; Maintenace plan'!$B:$G,6,FALSE)</f>
        <v>100519</v>
      </c>
      <c r="F2954" s="569" t="s">
        <v>4223</v>
      </c>
      <c r="G2954" s="570" t="s">
        <v>4224</v>
      </c>
      <c r="H2954" s="570" t="s">
        <v>4225</v>
      </c>
      <c r="I2954" s="571">
        <v>15</v>
      </c>
      <c r="J2954" s="752"/>
      <c r="K2954" s="752">
        <f>VLOOKUP(D2954,[2]PC50MZ!$C$6:$J$325,7,FALSE)</f>
        <v>30</v>
      </c>
      <c r="L2954" s="752">
        <v>1</v>
      </c>
      <c r="M2954" s="752">
        <f t="shared" si="17"/>
        <v>30</v>
      </c>
      <c r="N2954" s="752" t="s">
        <v>3174</v>
      </c>
      <c r="O2954" s="563"/>
      <c r="P2954" s="563"/>
      <c r="Q2954" s="563"/>
      <c r="R2954" s="572" t="s">
        <v>3159</v>
      </c>
      <c r="S2954" s="571"/>
    </row>
    <row r="2955" spans="1:19" x14ac:dyDescent="0.25">
      <c r="A2955" t="s">
        <v>3317</v>
      </c>
      <c r="B2955" s="559" t="s">
        <v>1391</v>
      </c>
      <c r="C2955" s="225"/>
      <c r="D2955" s="560">
        <v>610000004085</v>
      </c>
      <c r="E2955" s="560">
        <f>VLOOKUP(D2955,'[1]Task list &amp; Maintenace plan'!$B:$G,6,FALSE)</f>
        <v>100519</v>
      </c>
      <c r="F2955" s="560" t="s">
        <v>4223</v>
      </c>
      <c r="G2955" s="561" t="s">
        <v>1426</v>
      </c>
      <c r="H2955" s="561" t="s">
        <v>4226</v>
      </c>
      <c r="I2955" s="562">
        <v>15</v>
      </c>
      <c r="J2955" s="753"/>
      <c r="K2955" s="753">
        <f>VLOOKUP(D2955,[2]PC50MZ!$C$6:$J$325,7,FALSE)</f>
        <v>30</v>
      </c>
      <c r="L2955" s="753">
        <v>1</v>
      </c>
      <c r="M2955" s="753">
        <f t="shared" si="17"/>
        <v>30</v>
      </c>
      <c r="N2955" s="753"/>
      <c r="O2955" s="563"/>
      <c r="P2955" s="563"/>
      <c r="Q2955" s="563"/>
      <c r="R2955" s="564" t="s">
        <v>3159</v>
      </c>
      <c r="S2955" s="562"/>
    </row>
    <row r="2956" spans="1:19" x14ac:dyDescent="0.25">
      <c r="A2956" t="s">
        <v>3317</v>
      </c>
      <c r="B2956" s="559" t="s">
        <v>1391</v>
      </c>
      <c r="C2956" s="225"/>
      <c r="D2956" s="560">
        <v>610000004085</v>
      </c>
      <c r="E2956" s="560">
        <f>VLOOKUP(D2956,'[1]Task list &amp; Maintenace plan'!$B:$G,6,FALSE)</f>
        <v>100519</v>
      </c>
      <c r="F2956" s="560" t="s">
        <v>4223</v>
      </c>
      <c r="G2956" s="561" t="s">
        <v>1429</v>
      </c>
      <c r="H2956" s="561" t="s">
        <v>4227</v>
      </c>
      <c r="I2956" s="562">
        <v>15</v>
      </c>
      <c r="J2956" s="753"/>
      <c r="K2956" s="753">
        <f>VLOOKUP(D2956,[2]PC50MZ!$C$6:$J$325,7,FALSE)</f>
        <v>30</v>
      </c>
      <c r="L2956" s="753">
        <v>1</v>
      </c>
      <c r="M2956" s="753">
        <f t="shared" si="17"/>
        <v>30</v>
      </c>
      <c r="N2956" s="753"/>
      <c r="O2956" s="563"/>
      <c r="P2956" s="563"/>
      <c r="Q2956" s="563"/>
      <c r="R2956" s="564" t="s">
        <v>3159</v>
      </c>
      <c r="S2956" s="562"/>
    </row>
    <row r="2957" spans="1:19" x14ac:dyDescent="0.25">
      <c r="A2957" t="s">
        <v>3317</v>
      </c>
      <c r="B2957" s="559" t="s">
        <v>1391</v>
      </c>
      <c r="C2957" s="225"/>
      <c r="D2957" s="560">
        <v>610000004085</v>
      </c>
      <c r="E2957" s="560">
        <f>VLOOKUP(D2957,'[1]Task list &amp; Maintenace plan'!$B:$G,6,FALSE)</f>
        <v>100519</v>
      </c>
      <c r="F2957" s="560" t="s">
        <v>4223</v>
      </c>
      <c r="G2957" s="561" t="s">
        <v>1432</v>
      </c>
      <c r="H2957" s="561" t="s">
        <v>4228</v>
      </c>
      <c r="I2957" s="562">
        <v>15</v>
      </c>
      <c r="J2957" s="753"/>
      <c r="K2957" s="753">
        <f>VLOOKUP(D2957,[2]PC50MZ!$C$6:$J$325,7,FALSE)</f>
        <v>30</v>
      </c>
      <c r="L2957" s="753">
        <v>1</v>
      </c>
      <c r="M2957" s="753">
        <f t="shared" si="17"/>
        <v>30</v>
      </c>
      <c r="N2957" s="753"/>
      <c r="O2957" s="563"/>
      <c r="P2957" s="563"/>
      <c r="Q2957" s="563"/>
      <c r="R2957" s="564" t="s">
        <v>3159</v>
      </c>
      <c r="S2957" s="562"/>
    </row>
    <row r="2958" spans="1:19" x14ac:dyDescent="0.25">
      <c r="A2958" t="s">
        <v>3317</v>
      </c>
      <c r="B2958" s="559" t="s">
        <v>1391</v>
      </c>
      <c r="C2958" s="225"/>
      <c r="D2958" s="560">
        <v>610000004085</v>
      </c>
      <c r="E2958" s="560">
        <f>VLOOKUP(D2958,'[1]Task list &amp; Maintenace plan'!$B:$G,6,FALSE)</f>
        <v>100519</v>
      </c>
      <c r="F2958" s="560" t="s">
        <v>4223</v>
      </c>
      <c r="G2958" s="561" t="s">
        <v>1435</v>
      </c>
      <c r="H2958" s="561" t="s">
        <v>4229</v>
      </c>
      <c r="I2958" s="562">
        <v>15</v>
      </c>
      <c r="J2958" s="753"/>
      <c r="K2958" s="753">
        <f>VLOOKUP(D2958,[2]PC50MZ!$C$6:$J$325,7,FALSE)</f>
        <v>30</v>
      </c>
      <c r="L2958" s="753">
        <v>1</v>
      </c>
      <c r="M2958" s="753">
        <f t="shared" si="17"/>
        <v>30</v>
      </c>
      <c r="N2958" s="753"/>
      <c r="O2958" s="563"/>
      <c r="P2958" s="563"/>
      <c r="Q2958" s="563"/>
      <c r="R2958" s="564" t="s">
        <v>3159</v>
      </c>
      <c r="S2958" s="562"/>
    </row>
    <row r="2959" spans="1:19" x14ac:dyDescent="0.25">
      <c r="A2959" t="s">
        <v>3317</v>
      </c>
      <c r="B2959" s="559" t="s">
        <v>1391</v>
      </c>
      <c r="C2959" s="225"/>
      <c r="D2959" s="560">
        <v>610000004085</v>
      </c>
      <c r="E2959" s="560">
        <f>VLOOKUP(D2959,'[1]Task list &amp; Maintenace plan'!$B:$G,6,FALSE)</f>
        <v>100519</v>
      </c>
      <c r="F2959" s="560" t="s">
        <v>4223</v>
      </c>
      <c r="G2959" s="561" t="s">
        <v>1414</v>
      </c>
      <c r="H2959" s="561" t="s">
        <v>4230</v>
      </c>
      <c r="I2959" s="562">
        <v>15</v>
      </c>
      <c r="J2959" s="753"/>
      <c r="K2959" s="753">
        <f>VLOOKUP(D2959,[2]PC50MZ!$C$6:$J$325,7,FALSE)</f>
        <v>30</v>
      </c>
      <c r="L2959" s="753">
        <v>1</v>
      </c>
      <c r="M2959" s="753">
        <f t="shared" si="17"/>
        <v>30</v>
      </c>
      <c r="N2959" s="753"/>
      <c r="O2959" s="563"/>
      <c r="P2959" s="563"/>
      <c r="Q2959" s="563"/>
      <c r="R2959" s="564" t="s">
        <v>3159</v>
      </c>
      <c r="S2959" s="562"/>
    </row>
    <row r="2960" spans="1:19" x14ac:dyDescent="0.25">
      <c r="A2960" t="s">
        <v>3317</v>
      </c>
      <c r="B2960" s="559" t="s">
        <v>1391</v>
      </c>
      <c r="C2960" s="225"/>
      <c r="D2960" s="560">
        <v>610000004085</v>
      </c>
      <c r="E2960" s="560">
        <f>VLOOKUP(D2960,'[1]Task list &amp; Maintenace plan'!$B:$G,6,FALSE)</f>
        <v>100519</v>
      </c>
      <c r="F2960" s="560" t="s">
        <v>4223</v>
      </c>
      <c r="G2960" s="561" t="s">
        <v>1417</v>
      </c>
      <c r="H2960" s="561" t="s">
        <v>4231</v>
      </c>
      <c r="I2960" s="562">
        <v>15</v>
      </c>
      <c r="J2960" s="753"/>
      <c r="K2960" s="753">
        <f>VLOOKUP(D2960,[2]PC50MZ!$C$6:$J$325,7,FALSE)</f>
        <v>30</v>
      </c>
      <c r="L2960" s="753">
        <v>1</v>
      </c>
      <c r="M2960" s="753">
        <f t="shared" si="17"/>
        <v>30</v>
      </c>
      <c r="N2960" s="753"/>
      <c r="O2960" s="563"/>
      <c r="P2960" s="563"/>
      <c r="Q2960" s="563"/>
      <c r="R2960" s="564" t="s">
        <v>3159</v>
      </c>
      <c r="S2960" s="562"/>
    </row>
    <row r="2961" spans="1:19" x14ac:dyDescent="0.25">
      <c r="A2961" t="s">
        <v>3317</v>
      </c>
      <c r="B2961" s="559" t="s">
        <v>1391</v>
      </c>
      <c r="C2961" s="225"/>
      <c r="D2961" s="560">
        <v>610000004085</v>
      </c>
      <c r="E2961" s="560">
        <f>VLOOKUP(D2961,'[1]Task list &amp; Maintenace plan'!$B:$G,6,FALSE)</f>
        <v>100519</v>
      </c>
      <c r="F2961" s="560" t="s">
        <v>4223</v>
      </c>
      <c r="G2961" s="561" t="s">
        <v>1420</v>
      </c>
      <c r="H2961" s="561" t="s">
        <v>4232</v>
      </c>
      <c r="I2961" s="562">
        <v>15</v>
      </c>
      <c r="J2961" s="753"/>
      <c r="K2961" s="753">
        <f>VLOOKUP(D2961,[2]PC50MZ!$C$6:$J$325,7,FALSE)</f>
        <v>30</v>
      </c>
      <c r="L2961" s="753">
        <v>1</v>
      </c>
      <c r="M2961" s="753">
        <f t="shared" si="17"/>
        <v>30</v>
      </c>
      <c r="N2961" s="753"/>
      <c r="O2961" s="563"/>
      <c r="P2961" s="563"/>
      <c r="Q2961" s="563"/>
      <c r="R2961" s="564" t="s">
        <v>3159</v>
      </c>
      <c r="S2961" s="562"/>
    </row>
    <row r="2962" spans="1:19" x14ac:dyDescent="0.25">
      <c r="A2962" t="s">
        <v>3317</v>
      </c>
      <c r="B2962" s="559" t="s">
        <v>1391</v>
      </c>
      <c r="C2962" s="225"/>
      <c r="D2962" s="560">
        <v>610000004085</v>
      </c>
      <c r="E2962" s="560">
        <f>VLOOKUP(D2962,'[1]Task list &amp; Maintenace plan'!$B:$G,6,FALSE)</f>
        <v>100519</v>
      </c>
      <c r="F2962" s="560" t="s">
        <v>4223</v>
      </c>
      <c r="G2962" s="561" t="s">
        <v>1423</v>
      </c>
      <c r="H2962" s="561" t="s">
        <v>4233</v>
      </c>
      <c r="I2962" s="562">
        <v>15</v>
      </c>
      <c r="J2962" s="753"/>
      <c r="K2962" s="753">
        <f>VLOOKUP(D2962,[2]PC50MZ!$C$6:$J$325,7,FALSE)</f>
        <v>30</v>
      </c>
      <c r="L2962" s="753">
        <v>1</v>
      </c>
      <c r="M2962" s="753">
        <f t="shared" si="17"/>
        <v>30</v>
      </c>
      <c r="N2962" s="753"/>
      <c r="O2962" s="563"/>
      <c r="P2962" s="563"/>
      <c r="Q2962" s="563"/>
      <c r="R2962" s="564" t="s">
        <v>3159</v>
      </c>
      <c r="S2962" s="562"/>
    </row>
    <row r="2963" spans="1:19" x14ac:dyDescent="0.25">
      <c r="A2963" t="s">
        <v>3317</v>
      </c>
      <c r="B2963" s="559" t="s">
        <v>1391</v>
      </c>
      <c r="C2963" s="225"/>
      <c r="D2963" s="560">
        <v>610000004085</v>
      </c>
      <c r="E2963" s="560">
        <f>VLOOKUP(D2963,'[1]Task list &amp; Maintenace plan'!$B:$G,6,FALSE)</f>
        <v>100519</v>
      </c>
      <c r="F2963" s="560" t="s">
        <v>4223</v>
      </c>
      <c r="G2963" s="561" t="s">
        <v>4234</v>
      </c>
      <c r="H2963" s="561" t="s">
        <v>4235</v>
      </c>
      <c r="I2963" s="562">
        <v>15</v>
      </c>
      <c r="J2963" s="753"/>
      <c r="K2963" s="753">
        <f>VLOOKUP(D2963,[2]PC50MZ!$C$6:$J$325,7,FALSE)</f>
        <v>30</v>
      </c>
      <c r="L2963" s="753">
        <v>1</v>
      </c>
      <c r="M2963" s="753">
        <f t="shared" si="17"/>
        <v>30</v>
      </c>
      <c r="N2963" s="753"/>
      <c r="O2963" s="563"/>
      <c r="P2963" s="563"/>
      <c r="Q2963" s="563"/>
      <c r="R2963" s="564" t="s">
        <v>3330</v>
      </c>
      <c r="S2963" s="562"/>
    </row>
    <row r="2964" spans="1:19" x14ac:dyDescent="0.25">
      <c r="A2964" t="s">
        <v>3317</v>
      </c>
      <c r="B2964" s="559" t="s">
        <v>1391</v>
      </c>
      <c r="C2964" s="225"/>
      <c r="D2964" s="565">
        <v>610000004085</v>
      </c>
      <c r="E2964" s="565">
        <f>VLOOKUP(D2964,'[1]Task list &amp; Maintenace plan'!$B:$G,6,FALSE)</f>
        <v>100519</v>
      </c>
      <c r="F2964" s="565" t="s">
        <v>4223</v>
      </c>
      <c r="G2964" s="566" t="s">
        <v>4236</v>
      </c>
      <c r="H2964" s="566" t="s">
        <v>4237</v>
      </c>
      <c r="I2964" s="567">
        <v>15</v>
      </c>
      <c r="J2964" s="754"/>
      <c r="K2964" s="754">
        <f>VLOOKUP(D2964,[2]PC50MZ!$C$6:$J$325,7,FALSE)</f>
        <v>30</v>
      </c>
      <c r="L2964" s="754">
        <v>1</v>
      </c>
      <c r="M2964" s="754">
        <f t="shared" ref="M2964:M3015" si="18">K2964*L2964</f>
        <v>30</v>
      </c>
      <c r="N2964" s="754"/>
      <c r="O2964" s="563"/>
      <c r="P2964" s="563"/>
      <c r="Q2964" s="563"/>
      <c r="R2964" s="568" t="s">
        <v>3159</v>
      </c>
      <c r="S2964" s="567"/>
    </row>
    <row r="2965" spans="1:19" x14ac:dyDescent="0.25">
      <c r="A2965" t="s">
        <v>3317</v>
      </c>
      <c r="B2965" s="559" t="s">
        <v>1391</v>
      </c>
      <c r="C2965" s="225"/>
      <c r="D2965" s="573">
        <v>610000004086</v>
      </c>
      <c r="E2965" s="573">
        <f>VLOOKUP(D2965,'[1]Task list &amp; Maintenace plan'!$B:$G,6,FALSE)</f>
        <v>100520</v>
      </c>
      <c r="F2965" s="573" t="s">
        <v>4238</v>
      </c>
      <c r="G2965" s="574" t="s">
        <v>4236</v>
      </c>
      <c r="H2965" s="574" t="s">
        <v>4239</v>
      </c>
      <c r="I2965" s="575">
        <v>15</v>
      </c>
      <c r="J2965" s="576"/>
      <c r="K2965" s="576">
        <f>VLOOKUP(D2965,[2]PC50MZ!$C$6:$J$325,7,FALSE)</f>
        <v>15</v>
      </c>
      <c r="L2965" s="576">
        <v>1</v>
      </c>
      <c r="M2965" s="576">
        <f t="shared" si="18"/>
        <v>15</v>
      </c>
      <c r="N2965" s="576" t="s">
        <v>20</v>
      </c>
      <c r="O2965" s="563"/>
      <c r="P2965" s="563"/>
      <c r="Q2965" s="563"/>
      <c r="R2965" s="577" t="s">
        <v>4240</v>
      </c>
      <c r="S2965" s="575"/>
    </row>
    <row r="2966" spans="1:19" x14ac:dyDescent="0.25">
      <c r="A2966" t="s">
        <v>3317</v>
      </c>
      <c r="B2966" s="559" t="s">
        <v>1391</v>
      </c>
      <c r="C2966" s="225"/>
      <c r="D2966" s="598">
        <v>342258</v>
      </c>
      <c r="E2966" s="598">
        <f>VLOOKUP(D2966,'[1]Task list &amp; Maintenace plan'!$B:$G,6,FALSE)</f>
        <v>454</v>
      </c>
      <c r="F2966" s="598" t="s">
        <v>4241</v>
      </c>
      <c r="G2966" s="599" t="s">
        <v>1406</v>
      </c>
      <c r="H2966" s="599" t="s">
        <v>4242</v>
      </c>
      <c r="I2966" s="600">
        <v>15</v>
      </c>
      <c r="J2966" s="752"/>
      <c r="K2966" s="752">
        <f>VLOOKUP(D2966,[2]PC50MZ!$C$6:$J$325,7,FALSE)</f>
        <v>15</v>
      </c>
      <c r="L2966" s="752">
        <v>1</v>
      </c>
      <c r="M2966" s="752">
        <f t="shared" si="18"/>
        <v>15</v>
      </c>
      <c r="N2966" s="752" t="s">
        <v>20</v>
      </c>
      <c r="O2966" s="563"/>
      <c r="P2966" s="563"/>
      <c r="Q2966" s="563"/>
      <c r="R2966" s="601"/>
      <c r="S2966" s="600"/>
    </row>
    <row r="2967" spans="1:19" x14ac:dyDescent="0.25">
      <c r="A2967" t="s">
        <v>3317</v>
      </c>
      <c r="B2967" s="559" t="s">
        <v>1391</v>
      </c>
      <c r="C2967" s="225"/>
      <c r="D2967" s="560">
        <v>342258</v>
      </c>
      <c r="E2967" s="560">
        <f>VLOOKUP(D2967,'[1]Task list &amp; Maintenace plan'!$B:$G,6,FALSE)</f>
        <v>454</v>
      </c>
      <c r="F2967" s="560" t="s">
        <v>4241</v>
      </c>
      <c r="G2967" s="561" t="s">
        <v>1406</v>
      </c>
      <c r="H2967" s="561" t="s">
        <v>4243</v>
      </c>
      <c r="I2967" s="562">
        <v>15</v>
      </c>
      <c r="J2967" s="753"/>
      <c r="K2967" s="753">
        <f>VLOOKUP(D2967,[2]PC50MZ!$C$6:$J$325,7,FALSE)</f>
        <v>15</v>
      </c>
      <c r="L2967" s="753">
        <v>1</v>
      </c>
      <c r="M2967" s="753">
        <f t="shared" si="18"/>
        <v>15</v>
      </c>
      <c r="N2967" s="753"/>
      <c r="O2967" s="563"/>
      <c r="P2967" s="563"/>
      <c r="Q2967" s="563"/>
      <c r="R2967" s="564"/>
      <c r="S2967" s="562"/>
    </row>
    <row r="2968" spans="1:19" x14ac:dyDescent="0.25">
      <c r="A2968" t="s">
        <v>3317</v>
      </c>
      <c r="B2968" s="559" t="s">
        <v>1391</v>
      </c>
      <c r="C2968" s="225"/>
      <c r="D2968" s="565">
        <v>342258</v>
      </c>
      <c r="E2968" s="565">
        <f>VLOOKUP(D2968,'[1]Task list &amp; Maintenace plan'!$B:$G,6,FALSE)</f>
        <v>454</v>
      </c>
      <c r="F2968" s="565" t="s">
        <v>4241</v>
      </c>
      <c r="G2968" s="566" t="s">
        <v>1406</v>
      </c>
      <c r="H2968" s="566" t="s">
        <v>4244</v>
      </c>
      <c r="I2968" s="567">
        <v>15</v>
      </c>
      <c r="J2968" s="754"/>
      <c r="K2968" s="754">
        <f>VLOOKUP(D2968,[2]PC50MZ!$C$6:$J$325,7,FALSE)</f>
        <v>15</v>
      </c>
      <c r="L2968" s="754">
        <v>1</v>
      </c>
      <c r="M2968" s="754">
        <f t="shared" si="18"/>
        <v>15</v>
      </c>
      <c r="N2968" s="754"/>
      <c r="O2968" s="563"/>
      <c r="P2968" s="563"/>
      <c r="Q2968" s="563"/>
      <c r="R2968" s="568"/>
      <c r="S2968" s="567"/>
    </row>
    <row r="2969" spans="1:19" x14ac:dyDescent="0.25">
      <c r="A2969" t="s">
        <v>3317</v>
      </c>
      <c r="B2969" s="559" t="s">
        <v>1391</v>
      </c>
      <c r="C2969" s="225"/>
      <c r="D2969" s="569">
        <v>610000004087</v>
      </c>
      <c r="E2969" s="569">
        <f>VLOOKUP(D2969,'[1]Task list &amp; Maintenace plan'!$B:$G,6,FALSE)</f>
        <v>100521</v>
      </c>
      <c r="F2969" s="569" t="s">
        <v>4245</v>
      </c>
      <c r="G2969" s="570" t="s">
        <v>4246</v>
      </c>
      <c r="H2969" s="570" t="s">
        <v>4247</v>
      </c>
      <c r="I2969" s="571">
        <v>30</v>
      </c>
      <c r="J2969" s="752"/>
      <c r="K2969" s="752">
        <f>VLOOKUP(D2969,[2]PC50MZ!$C$6:$J$325,7,FALSE)</f>
        <v>30</v>
      </c>
      <c r="L2969" s="752">
        <v>1</v>
      </c>
      <c r="M2969" s="752">
        <f t="shared" si="18"/>
        <v>30</v>
      </c>
      <c r="N2969" s="752" t="s">
        <v>20</v>
      </c>
      <c r="O2969" s="563"/>
      <c r="P2969" s="563"/>
      <c r="Q2969" s="563"/>
      <c r="R2969" s="572"/>
      <c r="S2969" s="571"/>
    </row>
    <row r="2970" spans="1:19" x14ac:dyDescent="0.25">
      <c r="A2970" t="s">
        <v>3317</v>
      </c>
      <c r="B2970" s="559" t="s">
        <v>1391</v>
      </c>
      <c r="C2970" s="225"/>
      <c r="D2970" s="560">
        <v>610000004087</v>
      </c>
      <c r="E2970" s="560">
        <f>VLOOKUP(D2970,'[1]Task list &amp; Maintenace plan'!$B:$G,6,FALSE)</f>
        <v>100521</v>
      </c>
      <c r="F2970" s="560" t="s">
        <v>4245</v>
      </c>
      <c r="G2970" s="561" t="s">
        <v>4248</v>
      </c>
      <c r="H2970" s="561" t="s">
        <v>4249</v>
      </c>
      <c r="I2970" s="562">
        <v>30</v>
      </c>
      <c r="J2970" s="753"/>
      <c r="K2970" s="753">
        <f>VLOOKUP(D2970,[2]PC50MZ!$C$6:$J$325,7,FALSE)</f>
        <v>30</v>
      </c>
      <c r="L2970" s="753">
        <v>1</v>
      </c>
      <c r="M2970" s="753">
        <f t="shared" si="18"/>
        <v>30</v>
      </c>
      <c r="N2970" s="753"/>
      <c r="O2970" s="563"/>
      <c r="P2970" s="563"/>
      <c r="Q2970" s="563"/>
      <c r="R2970" s="564"/>
      <c r="S2970" s="562"/>
    </row>
    <row r="2971" spans="1:19" x14ac:dyDescent="0.25">
      <c r="A2971" t="s">
        <v>3317</v>
      </c>
      <c r="B2971" s="559" t="s">
        <v>1391</v>
      </c>
      <c r="C2971" s="225"/>
      <c r="D2971" s="560">
        <v>610000004087</v>
      </c>
      <c r="E2971" s="560">
        <f>VLOOKUP(D2971,'[1]Task list &amp; Maintenace plan'!$B:$G,6,FALSE)</f>
        <v>100521</v>
      </c>
      <c r="F2971" s="560" t="s">
        <v>4245</v>
      </c>
      <c r="G2971" s="561" t="s">
        <v>1426</v>
      </c>
      <c r="H2971" s="561" t="s">
        <v>4250</v>
      </c>
      <c r="I2971" s="562">
        <v>30</v>
      </c>
      <c r="J2971" s="753"/>
      <c r="K2971" s="753">
        <f>VLOOKUP(D2971,[2]PC50MZ!$C$6:$J$325,7,FALSE)</f>
        <v>30</v>
      </c>
      <c r="L2971" s="753">
        <v>1</v>
      </c>
      <c r="M2971" s="753">
        <f t="shared" si="18"/>
        <v>30</v>
      </c>
      <c r="N2971" s="753"/>
      <c r="O2971" s="624"/>
      <c r="P2971" s="624"/>
      <c r="Q2971" s="624"/>
      <c r="R2971" s="564"/>
      <c r="S2971" s="562"/>
    </row>
    <row r="2972" spans="1:19" x14ac:dyDescent="0.25">
      <c r="A2972" t="s">
        <v>3317</v>
      </c>
      <c r="B2972" s="559" t="s">
        <v>1391</v>
      </c>
      <c r="C2972" s="225"/>
      <c r="D2972" s="560">
        <v>610000004087</v>
      </c>
      <c r="E2972" s="560">
        <f>VLOOKUP(D2972,'[1]Task list &amp; Maintenace plan'!$B:$G,6,FALSE)</f>
        <v>100521</v>
      </c>
      <c r="F2972" s="560" t="s">
        <v>4245</v>
      </c>
      <c r="G2972" s="561" t="s">
        <v>1429</v>
      </c>
      <c r="H2972" s="561" t="s">
        <v>4251</v>
      </c>
      <c r="I2972" s="562">
        <v>30</v>
      </c>
      <c r="J2972" s="753"/>
      <c r="K2972" s="753">
        <f>VLOOKUP(D2972,[2]PC50MZ!$C$6:$J$325,7,FALSE)</f>
        <v>30</v>
      </c>
      <c r="L2972" s="753">
        <v>1</v>
      </c>
      <c r="M2972" s="753">
        <f t="shared" si="18"/>
        <v>30</v>
      </c>
      <c r="N2972" s="753"/>
      <c r="O2972" s="624"/>
      <c r="P2972" s="624"/>
      <c r="Q2972" s="624"/>
      <c r="R2972" s="564"/>
      <c r="S2972" s="562"/>
    </row>
    <row r="2973" spans="1:19" x14ac:dyDescent="0.25">
      <c r="A2973" t="s">
        <v>3317</v>
      </c>
      <c r="B2973" s="559" t="s">
        <v>1391</v>
      </c>
      <c r="C2973" s="225"/>
      <c r="D2973" s="560">
        <v>610000004087</v>
      </c>
      <c r="E2973" s="560">
        <f>VLOOKUP(D2973,'[1]Task list &amp; Maintenace plan'!$B:$G,6,FALSE)</f>
        <v>100521</v>
      </c>
      <c r="F2973" s="560" t="s">
        <v>4245</v>
      </c>
      <c r="G2973" s="561" t="s">
        <v>1432</v>
      </c>
      <c r="H2973" s="561" t="s">
        <v>4252</v>
      </c>
      <c r="I2973" s="562">
        <v>30</v>
      </c>
      <c r="J2973" s="753"/>
      <c r="K2973" s="753">
        <f>VLOOKUP(D2973,[2]PC50MZ!$C$6:$J$325,7,FALSE)</f>
        <v>30</v>
      </c>
      <c r="L2973" s="753">
        <v>1</v>
      </c>
      <c r="M2973" s="753">
        <f t="shared" si="18"/>
        <v>30</v>
      </c>
      <c r="N2973" s="753"/>
      <c r="O2973" s="624"/>
      <c r="P2973" s="624"/>
      <c r="Q2973" s="624"/>
      <c r="R2973" s="564"/>
      <c r="S2973" s="562"/>
    </row>
    <row r="2974" spans="1:19" x14ac:dyDescent="0.25">
      <c r="A2974" t="s">
        <v>3317</v>
      </c>
      <c r="B2974" s="559" t="s">
        <v>1391</v>
      </c>
      <c r="C2974" s="225"/>
      <c r="D2974" s="560">
        <v>610000004087</v>
      </c>
      <c r="E2974" s="560">
        <f>VLOOKUP(D2974,'[1]Task list &amp; Maintenace plan'!$B:$G,6,FALSE)</f>
        <v>100521</v>
      </c>
      <c r="F2974" s="560" t="s">
        <v>4245</v>
      </c>
      <c r="G2974" s="561" t="s">
        <v>1435</v>
      </c>
      <c r="H2974" s="561" t="s">
        <v>4253</v>
      </c>
      <c r="I2974" s="562">
        <v>30</v>
      </c>
      <c r="J2974" s="753"/>
      <c r="K2974" s="753">
        <f>VLOOKUP(D2974,[2]PC50MZ!$C$6:$J$325,7,FALSE)</f>
        <v>30</v>
      </c>
      <c r="L2974" s="753">
        <v>1</v>
      </c>
      <c r="M2974" s="753">
        <f t="shared" si="18"/>
        <v>30</v>
      </c>
      <c r="N2974" s="753"/>
      <c r="O2974" s="624"/>
      <c r="P2974" s="624"/>
      <c r="Q2974" s="624"/>
      <c r="R2974" s="564"/>
      <c r="S2974" s="562"/>
    </row>
    <row r="2975" spans="1:19" x14ac:dyDescent="0.25">
      <c r="A2975" t="s">
        <v>3317</v>
      </c>
      <c r="B2975" s="559" t="s">
        <v>1391</v>
      </c>
      <c r="C2975" s="225"/>
      <c r="D2975" s="560">
        <v>610000004087</v>
      </c>
      <c r="E2975" s="560">
        <f>VLOOKUP(D2975,'[1]Task list &amp; Maintenace plan'!$B:$G,6,FALSE)</f>
        <v>100521</v>
      </c>
      <c r="F2975" s="560" t="s">
        <v>4245</v>
      </c>
      <c r="G2975" s="561" t="s">
        <v>4246</v>
      </c>
      <c r="H2975" s="561" t="s">
        <v>4254</v>
      </c>
      <c r="I2975" s="562">
        <v>30</v>
      </c>
      <c r="J2975" s="753"/>
      <c r="K2975" s="753">
        <f>VLOOKUP(D2975,[2]PC50MZ!$C$6:$J$325,7,FALSE)</f>
        <v>30</v>
      </c>
      <c r="L2975" s="753">
        <v>1</v>
      </c>
      <c r="M2975" s="753">
        <f t="shared" si="18"/>
        <v>30</v>
      </c>
      <c r="N2975" s="753"/>
      <c r="O2975" s="624"/>
      <c r="P2975" s="624"/>
      <c r="Q2975" s="624"/>
      <c r="R2975" s="564"/>
      <c r="S2975" s="562"/>
    </row>
    <row r="2976" spans="1:19" x14ac:dyDescent="0.25">
      <c r="A2976" t="s">
        <v>3317</v>
      </c>
      <c r="B2976" s="559" t="s">
        <v>1391</v>
      </c>
      <c r="C2976" s="225"/>
      <c r="D2976" s="560">
        <v>610000004087</v>
      </c>
      <c r="E2976" s="560">
        <f>VLOOKUP(D2976,'[1]Task list &amp; Maintenace plan'!$B:$G,6,FALSE)</f>
        <v>100521</v>
      </c>
      <c r="F2976" s="560" t="s">
        <v>4245</v>
      </c>
      <c r="G2976" s="561" t="s">
        <v>4248</v>
      </c>
      <c r="H2976" s="561" t="s">
        <v>4255</v>
      </c>
      <c r="I2976" s="562">
        <v>30</v>
      </c>
      <c r="J2976" s="753"/>
      <c r="K2976" s="753">
        <f>VLOOKUP(D2976,[2]PC50MZ!$C$6:$J$325,7,FALSE)</f>
        <v>30</v>
      </c>
      <c r="L2976" s="753">
        <v>1</v>
      </c>
      <c r="M2976" s="753">
        <f t="shared" si="18"/>
        <v>30</v>
      </c>
      <c r="N2976" s="753"/>
      <c r="O2976" s="624"/>
      <c r="P2976" s="624"/>
      <c r="Q2976" s="624"/>
      <c r="R2976" s="564"/>
      <c r="S2976" s="562"/>
    </row>
    <row r="2977" spans="1:19" x14ac:dyDescent="0.25">
      <c r="A2977" t="s">
        <v>3317</v>
      </c>
      <c r="B2977" s="559" t="s">
        <v>1391</v>
      </c>
      <c r="C2977" s="225"/>
      <c r="D2977" s="565">
        <v>610000004087</v>
      </c>
      <c r="E2977" s="565">
        <f>VLOOKUP(D2977,'[1]Task list &amp; Maintenace plan'!$B:$G,6,FALSE)</f>
        <v>100521</v>
      </c>
      <c r="F2977" s="565" t="s">
        <v>4245</v>
      </c>
      <c r="G2977" s="566" t="s">
        <v>4256</v>
      </c>
      <c r="H2977" s="566" t="s">
        <v>4257</v>
      </c>
      <c r="I2977" s="567">
        <v>30</v>
      </c>
      <c r="J2977" s="754"/>
      <c r="K2977" s="754">
        <f>VLOOKUP(D2977,[2]PC50MZ!$C$6:$J$325,7,FALSE)</f>
        <v>30</v>
      </c>
      <c r="L2977" s="754">
        <v>1</v>
      </c>
      <c r="M2977" s="754">
        <f t="shared" si="18"/>
        <v>30</v>
      </c>
      <c r="N2977" s="754"/>
      <c r="O2977" s="624"/>
      <c r="P2977" s="624"/>
      <c r="Q2977" s="624"/>
      <c r="R2977" s="568"/>
      <c r="S2977" s="567"/>
    </row>
    <row r="2978" spans="1:19" x14ac:dyDescent="0.25">
      <c r="A2978" t="s">
        <v>3317</v>
      </c>
      <c r="B2978" s="559" t="s">
        <v>1391</v>
      </c>
      <c r="C2978" s="225"/>
      <c r="D2978" s="560">
        <v>610000004088</v>
      </c>
      <c r="E2978" s="560">
        <f>VLOOKUP(D2978,'[1]Task list &amp; Maintenace plan'!$B:$G,6,FALSE)</f>
        <v>100522</v>
      </c>
      <c r="F2978" s="560" t="s">
        <v>4258</v>
      </c>
      <c r="G2978" s="561" t="s">
        <v>1394</v>
      </c>
      <c r="H2978" s="561" t="s">
        <v>4259</v>
      </c>
      <c r="I2978" s="562">
        <v>30</v>
      </c>
      <c r="J2978" s="752">
        <v>1</v>
      </c>
      <c r="K2978" s="752">
        <f>VLOOKUP(D2978,[2]PC50MZ!$C$6:$J$325,7,FALSE)</f>
        <v>120</v>
      </c>
      <c r="L2978" s="752">
        <v>2</v>
      </c>
      <c r="M2978" s="752">
        <f t="shared" si="18"/>
        <v>240</v>
      </c>
      <c r="N2978" s="752" t="s">
        <v>468</v>
      </c>
      <c r="O2978" s="624"/>
      <c r="P2978" s="624"/>
      <c r="Q2978" s="624"/>
      <c r="R2978" s="564"/>
      <c r="S2978" s="562"/>
    </row>
    <row r="2979" spans="1:19" x14ac:dyDescent="0.25">
      <c r="A2979" t="s">
        <v>3317</v>
      </c>
      <c r="B2979" s="559" t="s">
        <v>1391</v>
      </c>
      <c r="C2979" s="225"/>
      <c r="D2979" s="560">
        <v>610000004088</v>
      </c>
      <c r="E2979" s="560">
        <f>VLOOKUP(D2979,'[1]Task list &amp; Maintenace plan'!$B:$G,6,FALSE)</f>
        <v>100522</v>
      </c>
      <c r="F2979" s="560" t="s">
        <v>4258</v>
      </c>
      <c r="G2979" s="561" t="s">
        <v>1394</v>
      </c>
      <c r="H2979" s="561" t="s">
        <v>4260</v>
      </c>
      <c r="I2979" s="562">
        <v>30</v>
      </c>
      <c r="J2979" s="753">
        <v>1</v>
      </c>
      <c r="K2979" s="753">
        <f>VLOOKUP(D2979,[2]PC50MZ!$C$6:$J$325,7,FALSE)</f>
        <v>120</v>
      </c>
      <c r="L2979" s="753">
        <v>2</v>
      </c>
      <c r="M2979" s="753">
        <f t="shared" si="18"/>
        <v>240</v>
      </c>
      <c r="N2979" s="753"/>
      <c r="O2979" s="624"/>
      <c r="P2979" s="624"/>
      <c r="Q2979" s="624"/>
      <c r="R2979" s="564"/>
      <c r="S2979" s="562"/>
    </row>
    <row r="2980" spans="1:19" x14ac:dyDescent="0.25">
      <c r="A2980" t="s">
        <v>3317</v>
      </c>
      <c r="B2980" s="559" t="s">
        <v>1391</v>
      </c>
      <c r="C2980" s="225"/>
      <c r="D2980" s="560">
        <v>610000004088</v>
      </c>
      <c r="E2980" s="560">
        <f>VLOOKUP(D2980,'[1]Task list &amp; Maintenace plan'!$B:$G,6,FALSE)</f>
        <v>100522</v>
      </c>
      <c r="F2980" s="560" t="s">
        <v>4258</v>
      </c>
      <c r="G2980" s="561" t="s">
        <v>1397</v>
      </c>
      <c r="H2980" s="561" t="s">
        <v>4261</v>
      </c>
      <c r="I2980" s="562">
        <v>30</v>
      </c>
      <c r="J2980" s="753">
        <v>1</v>
      </c>
      <c r="K2980" s="753">
        <f>VLOOKUP(D2980,[2]PC50MZ!$C$6:$J$325,7,FALSE)</f>
        <v>120</v>
      </c>
      <c r="L2980" s="753">
        <v>2</v>
      </c>
      <c r="M2980" s="753">
        <f t="shared" si="18"/>
        <v>240</v>
      </c>
      <c r="N2980" s="753"/>
      <c r="O2980" s="624"/>
      <c r="P2980" s="624"/>
      <c r="Q2980" s="624"/>
      <c r="R2980" s="564"/>
      <c r="S2980" s="562"/>
    </row>
    <row r="2981" spans="1:19" x14ac:dyDescent="0.25">
      <c r="A2981" t="s">
        <v>3317</v>
      </c>
      <c r="B2981" s="559" t="s">
        <v>1391</v>
      </c>
      <c r="C2981" s="225"/>
      <c r="D2981" s="560">
        <v>610000004088</v>
      </c>
      <c r="E2981" s="560">
        <f>VLOOKUP(D2981,'[1]Task list &amp; Maintenace plan'!$B:$G,6,FALSE)</f>
        <v>100522</v>
      </c>
      <c r="F2981" s="560" t="s">
        <v>4258</v>
      </c>
      <c r="G2981" s="561" t="s">
        <v>1397</v>
      </c>
      <c r="H2981" s="561" t="s">
        <v>4262</v>
      </c>
      <c r="I2981" s="562">
        <v>30</v>
      </c>
      <c r="J2981" s="753">
        <v>1</v>
      </c>
      <c r="K2981" s="753">
        <f>VLOOKUP(D2981,[2]PC50MZ!$C$6:$J$325,7,FALSE)</f>
        <v>120</v>
      </c>
      <c r="L2981" s="753">
        <v>2</v>
      </c>
      <c r="M2981" s="753">
        <f t="shared" si="18"/>
        <v>240</v>
      </c>
      <c r="N2981" s="753"/>
      <c r="O2981" s="624"/>
      <c r="P2981" s="624"/>
      <c r="Q2981" s="624"/>
      <c r="R2981" s="564"/>
      <c r="S2981" s="562"/>
    </row>
    <row r="2982" spans="1:19" x14ac:dyDescent="0.25">
      <c r="A2982" t="s">
        <v>3317</v>
      </c>
      <c r="B2982" s="559" t="s">
        <v>1391</v>
      </c>
      <c r="C2982" s="225"/>
      <c r="D2982" s="560">
        <v>610000004088</v>
      </c>
      <c r="E2982" s="560">
        <f>VLOOKUP(D2982,'[1]Task list &amp; Maintenace plan'!$B:$G,6,FALSE)</f>
        <v>100522</v>
      </c>
      <c r="F2982" s="560" t="s">
        <v>4258</v>
      </c>
      <c r="G2982" s="561" t="s">
        <v>1400</v>
      </c>
      <c r="H2982" s="561" t="s">
        <v>4263</v>
      </c>
      <c r="I2982" s="562">
        <v>30</v>
      </c>
      <c r="J2982" s="753">
        <v>1</v>
      </c>
      <c r="K2982" s="753">
        <f>VLOOKUP(D2982,[2]PC50MZ!$C$6:$J$325,7,FALSE)</f>
        <v>120</v>
      </c>
      <c r="L2982" s="753">
        <v>2</v>
      </c>
      <c r="M2982" s="753">
        <f t="shared" si="18"/>
        <v>240</v>
      </c>
      <c r="N2982" s="753"/>
      <c r="O2982" s="624"/>
      <c r="P2982" s="624"/>
      <c r="Q2982" s="624"/>
      <c r="R2982" s="564"/>
      <c r="S2982" s="562"/>
    </row>
    <row r="2983" spans="1:19" x14ac:dyDescent="0.25">
      <c r="A2983" t="s">
        <v>3317</v>
      </c>
      <c r="B2983" s="559" t="s">
        <v>1391</v>
      </c>
      <c r="C2983" s="225"/>
      <c r="D2983" s="560">
        <v>610000004088</v>
      </c>
      <c r="E2983" s="560">
        <f>VLOOKUP(D2983,'[1]Task list &amp; Maintenace plan'!$B:$G,6,FALSE)</f>
        <v>100522</v>
      </c>
      <c r="F2983" s="560" t="s">
        <v>4258</v>
      </c>
      <c r="G2983" s="561" t="s">
        <v>1400</v>
      </c>
      <c r="H2983" s="561" t="s">
        <v>4264</v>
      </c>
      <c r="I2983" s="562">
        <v>30</v>
      </c>
      <c r="J2983" s="753">
        <v>1</v>
      </c>
      <c r="K2983" s="753">
        <f>VLOOKUP(D2983,[2]PC50MZ!$C$6:$J$325,7,FALSE)</f>
        <v>120</v>
      </c>
      <c r="L2983" s="753">
        <v>2</v>
      </c>
      <c r="M2983" s="753">
        <f t="shared" si="18"/>
        <v>240</v>
      </c>
      <c r="N2983" s="753"/>
      <c r="O2983" s="624"/>
      <c r="P2983" s="624"/>
      <c r="Q2983" s="624"/>
      <c r="R2983" s="564"/>
      <c r="S2983" s="562"/>
    </row>
    <row r="2984" spans="1:19" x14ac:dyDescent="0.25">
      <c r="A2984" t="s">
        <v>3317</v>
      </c>
      <c r="B2984" s="559" t="s">
        <v>1391</v>
      </c>
      <c r="C2984" s="225"/>
      <c r="D2984" s="560">
        <v>610000004088</v>
      </c>
      <c r="E2984" s="560">
        <f>VLOOKUP(D2984,'[1]Task list &amp; Maintenace plan'!$B:$G,6,FALSE)</f>
        <v>100522</v>
      </c>
      <c r="F2984" s="560" t="s">
        <v>4258</v>
      </c>
      <c r="G2984" s="561" t="s">
        <v>1403</v>
      </c>
      <c r="H2984" s="561" t="s">
        <v>4265</v>
      </c>
      <c r="I2984" s="562">
        <v>30</v>
      </c>
      <c r="J2984" s="753">
        <v>1</v>
      </c>
      <c r="K2984" s="753">
        <f>VLOOKUP(D2984,[2]PC50MZ!$C$6:$J$325,7,FALSE)</f>
        <v>120</v>
      </c>
      <c r="L2984" s="753">
        <v>2</v>
      </c>
      <c r="M2984" s="753">
        <f t="shared" si="18"/>
        <v>240</v>
      </c>
      <c r="N2984" s="753"/>
      <c r="O2984" s="624"/>
      <c r="P2984" s="624"/>
      <c r="Q2984" s="624"/>
      <c r="R2984" s="564"/>
      <c r="S2984" s="562"/>
    </row>
    <row r="2985" spans="1:19" x14ac:dyDescent="0.25">
      <c r="A2985" t="s">
        <v>3317</v>
      </c>
      <c r="B2985" s="559" t="s">
        <v>1391</v>
      </c>
      <c r="C2985" s="225"/>
      <c r="D2985" s="565">
        <v>610000004088</v>
      </c>
      <c r="E2985" s="565">
        <f>VLOOKUP(D2985,'[1]Task list &amp; Maintenace plan'!$B:$G,6,FALSE)</f>
        <v>100522</v>
      </c>
      <c r="F2985" s="565" t="s">
        <v>4258</v>
      </c>
      <c r="G2985" s="566" t="s">
        <v>1403</v>
      </c>
      <c r="H2985" s="566" t="s">
        <v>4266</v>
      </c>
      <c r="I2985" s="567">
        <v>30</v>
      </c>
      <c r="J2985" s="754">
        <v>1</v>
      </c>
      <c r="K2985" s="754">
        <f>VLOOKUP(D2985,[2]PC50MZ!$C$6:$J$325,7,FALSE)</f>
        <v>120</v>
      </c>
      <c r="L2985" s="754">
        <v>2</v>
      </c>
      <c r="M2985" s="754">
        <f t="shared" si="18"/>
        <v>240</v>
      </c>
      <c r="N2985" s="754"/>
      <c r="O2985" s="624"/>
      <c r="P2985" s="624"/>
      <c r="Q2985" s="624"/>
      <c r="R2985" s="568"/>
      <c r="S2985" s="567"/>
    </row>
    <row r="2986" spans="1:19" x14ac:dyDescent="0.25">
      <c r="A2986" t="s">
        <v>3317</v>
      </c>
      <c r="B2986" s="559" t="s">
        <v>1391</v>
      </c>
      <c r="C2986" s="225"/>
      <c r="D2986" s="573">
        <v>351883</v>
      </c>
      <c r="E2986" s="573">
        <f>VLOOKUP(D2986,'[1]Task list &amp; Maintenace plan'!$B:$G,6,FALSE)</f>
        <v>1424</v>
      </c>
      <c r="F2986" s="573" t="s">
        <v>4267</v>
      </c>
      <c r="G2986" s="574" t="s">
        <v>1392</v>
      </c>
      <c r="H2986" s="574" t="s">
        <v>4268</v>
      </c>
      <c r="I2986" s="575">
        <v>90</v>
      </c>
      <c r="J2986" s="576">
        <v>1</v>
      </c>
      <c r="K2986" s="576">
        <f>VLOOKUP(D2986,[2]PC50MZ!$C$6:$J$325,7,FALSE)</f>
        <v>120</v>
      </c>
      <c r="L2986" s="576">
        <v>4</v>
      </c>
      <c r="M2986" s="576">
        <f t="shared" si="18"/>
        <v>480</v>
      </c>
      <c r="N2986" s="576" t="s">
        <v>468</v>
      </c>
      <c r="O2986" s="624"/>
      <c r="P2986" s="624"/>
      <c r="Q2986" s="624"/>
      <c r="R2986" s="577"/>
      <c r="S2986" s="575"/>
    </row>
    <row r="2987" spans="1:19" x14ac:dyDescent="0.25">
      <c r="A2987" t="s">
        <v>3317</v>
      </c>
      <c r="B2987" s="559" t="s">
        <v>1391</v>
      </c>
      <c r="C2987" s="225"/>
      <c r="D2987" s="573">
        <v>351884</v>
      </c>
      <c r="E2987" s="573">
        <f>VLOOKUP(D2987,'[1]Task list &amp; Maintenace plan'!$B:$G,6,FALSE)</f>
        <v>1425</v>
      </c>
      <c r="F2987" s="573" t="s">
        <v>4269</v>
      </c>
      <c r="G2987" s="574" t="s">
        <v>1396</v>
      </c>
      <c r="H2987" s="574" t="s">
        <v>4270</v>
      </c>
      <c r="I2987" s="575">
        <v>90</v>
      </c>
      <c r="J2987" s="576">
        <v>1</v>
      </c>
      <c r="K2987" s="576">
        <f>VLOOKUP(D2987,[2]PC50MZ!$C$6:$J$325,7,FALSE)</f>
        <v>120</v>
      </c>
      <c r="L2987" s="576">
        <v>4</v>
      </c>
      <c r="M2987" s="576">
        <f t="shared" si="18"/>
        <v>480</v>
      </c>
      <c r="N2987" s="576" t="s">
        <v>468</v>
      </c>
      <c r="O2987" s="563"/>
      <c r="P2987" s="563"/>
      <c r="Q2987" s="563"/>
      <c r="R2987" s="577"/>
      <c r="S2987" s="575"/>
    </row>
    <row r="2988" spans="1:19" x14ac:dyDescent="0.25">
      <c r="A2988" t="s">
        <v>3317</v>
      </c>
      <c r="B2988" s="559" t="s">
        <v>1391</v>
      </c>
      <c r="C2988" s="225"/>
      <c r="D2988" s="573">
        <v>351885</v>
      </c>
      <c r="E2988" s="573">
        <f>VLOOKUP(D2988,'[1]Task list &amp; Maintenace plan'!$B:$G,6,FALSE)</f>
        <v>1426</v>
      </c>
      <c r="F2988" s="573" t="s">
        <v>4271</v>
      </c>
      <c r="G2988" s="574" t="s">
        <v>1399</v>
      </c>
      <c r="H2988" s="574" t="s">
        <v>4272</v>
      </c>
      <c r="I2988" s="575">
        <v>90</v>
      </c>
      <c r="J2988" s="576">
        <v>1</v>
      </c>
      <c r="K2988" s="576">
        <f>VLOOKUP(D2988,[2]PC50MZ!$C$6:$J$325,7,FALSE)</f>
        <v>120</v>
      </c>
      <c r="L2988" s="576">
        <v>4</v>
      </c>
      <c r="M2988" s="576">
        <f t="shared" si="18"/>
        <v>480</v>
      </c>
      <c r="N2988" s="576" t="s">
        <v>468</v>
      </c>
      <c r="O2988" s="563"/>
      <c r="P2988" s="563"/>
      <c r="Q2988" s="563"/>
      <c r="R2988" s="577"/>
      <c r="S2988" s="575"/>
    </row>
    <row r="2989" spans="1:19" x14ac:dyDescent="0.25">
      <c r="A2989" t="s">
        <v>3317</v>
      </c>
      <c r="B2989" s="559" t="s">
        <v>1391</v>
      </c>
      <c r="C2989" s="225"/>
      <c r="D2989" s="573">
        <v>351886</v>
      </c>
      <c r="E2989" s="573">
        <f>VLOOKUP(D2989,'[1]Task list &amp; Maintenace plan'!$B:$G,6,FALSE)</f>
        <v>1427</v>
      </c>
      <c r="F2989" s="573" t="s">
        <v>4273</v>
      </c>
      <c r="G2989" s="574" t="s">
        <v>1402</v>
      </c>
      <c r="H2989" s="574" t="s">
        <v>4274</v>
      </c>
      <c r="I2989" s="575">
        <v>90</v>
      </c>
      <c r="J2989" s="576">
        <v>1</v>
      </c>
      <c r="K2989" s="576">
        <f>VLOOKUP(D2989,[2]PC50MZ!$C$6:$J$325,7,FALSE)</f>
        <v>120</v>
      </c>
      <c r="L2989" s="576">
        <v>4</v>
      </c>
      <c r="M2989" s="576">
        <f t="shared" si="18"/>
        <v>480</v>
      </c>
      <c r="N2989" s="576" t="s">
        <v>468</v>
      </c>
      <c r="O2989" s="563"/>
      <c r="P2989" s="563"/>
      <c r="Q2989" s="563"/>
      <c r="R2989" s="577"/>
      <c r="S2989" s="575"/>
    </row>
    <row r="2990" spans="1:19" x14ac:dyDescent="0.25">
      <c r="A2990" t="s">
        <v>3317</v>
      </c>
      <c r="B2990" s="559" t="s">
        <v>1391</v>
      </c>
      <c r="C2990" s="225"/>
      <c r="D2990" s="607">
        <v>610000004089</v>
      </c>
      <c r="E2990" s="607">
        <f>VLOOKUP(D2990,'[1]Task list &amp; Maintenace plan'!$B:$G,6,FALSE)</f>
        <v>100523</v>
      </c>
      <c r="F2990" s="607" t="s">
        <v>4275</v>
      </c>
      <c r="G2990" s="608" t="s">
        <v>4236</v>
      </c>
      <c r="H2990" s="608" t="s">
        <v>4276</v>
      </c>
      <c r="I2990" s="609">
        <v>180</v>
      </c>
      <c r="J2990" s="610">
        <v>1</v>
      </c>
      <c r="K2990" s="610">
        <f>VLOOKUP(D2990,[2]PC50MZ!$C$6:$J$325,7,FALSE)</f>
        <v>60</v>
      </c>
      <c r="L2990" s="610">
        <v>1</v>
      </c>
      <c r="M2990" s="610">
        <f t="shared" si="18"/>
        <v>60</v>
      </c>
      <c r="N2990" s="610" t="s">
        <v>468</v>
      </c>
      <c r="O2990" s="563"/>
      <c r="P2990" s="563"/>
      <c r="Q2990" s="563"/>
      <c r="R2990" s="611" t="s">
        <v>4277</v>
      </c>
      <c r="S2990" s="609"/>
    </row>
    <row r="2991" spans="1:19" x14ac:dyDescent="0.25">
      <c r="A2991" t="s">
        <v>3317</v>
      </c>
      <c r="B2991" s="559" t="s">
        <v>1391</v>
      </c>
      <c r="C2991" s="225"/>
      <c r="D2991" s="569">
        <v>610000004090</v>
      </c>
      <c r="E2991" s="569">
        <f>VLOOKUP(D2991,'[1]Task list &amp; Maintenace plan'!$B:$G,6,FALSE)</f>
        <v>100524</v>
      </c>
      <c r="F2991" s="569" t="s">
        <v>4278</v>
      </c>
      <c r="G2991" s="570" t="s">
        <v>4246</v>
      </c>
      <c r="H2991" s="570" t="s">
        <v>4279</v>
      </c>
      <c r="I2991" s="571">
        <v>180</v>
      </c>
      <c r="J2991" s="752">
        <v>1</v>
      </c>
      <c r="K2991" s="752">
        <f>VLOOKUP(D2991,[2]PC50MZ!$C$6:$J$325,7,FALSE)</f>
        <v>180</v>
      </c>
      <c r="L2991" s="752">
        <v>3</v>
      </c>
      <c r="M2991" s="752">
        <f t="shared" si="18"/>
        <v>540</v>
      </c>
      <c r="N2991" s="752" t="s">
        <v>3174</v>
      </c>
      <c r="O2991" s="563"/>
      <c r="P2991" s="563"/>
      <c r="Q2991" s="563"/>
      <c r="R2991" s="572" t="s">
        <v>3642</v>
      </c>
      <c r="S2991" s="571" t="s">
        <v>3984</v>
      </c>
    </row>
    <row r="2992" spans="1:19" x14ac:dyDescent="0.25">
      <c r="A2992" t="s">
        <v>3317</v>
      </c>
      <c r="B2992" s="559" t="s">
        <v>1391</v>
      </c>
      <c r="C2992" s="225"/>
      <c r="D2992" s="560">
        <v>610000004090</v>
      </c>
      <c r="E2992" s="560">
        <f>VLOOKUP(D2992,'[1]Task list &amp; Maintenace plan'!$B:$G,6,FALSE)</f>
        <v>100524</v>
      </c>
      <c r="F2992" s="560" t="s">
        <v>4278</v>
      </c>
      <c r="G2992" s="561" t="s">
        <v>4248</v>
      </c>
      <c r="H2992" s="561" t="s">
        <v>4280</v>
      </c>
      <c r="I2992" s="562">
        <v>180</v>
      </c>
      <c r="J2992" s="753">
        <v>1</v>
      </c>
      <c r="K2992" s="753">
        <f>VLOOKUP(D2992,[2]PC50MZ!$C$6:$J$325,7,FALSE)</f>
        <v>180</v>
      </c>
      <c r="L2992" s="753">
        <v>3</v>
      </c>
      <c r="M2992" s="753">
        <f t="shared" si="18"/>
        <v>540</v>
      </c>
      <c r="N2992" s="753"/>
      <c r="O2992" s="563"/>
      <c r="P2992" s="563"/>
      <c r="Q2992" s="563"/>
      <c r="R2992" s="564" t="s">
        <v>3642</v>
      </c>
      <c r="S2992" s="562" t="s">
        <v>3984</v>
      </c>
    </row>
    <row r="2993" spans="1:19" x14ac:dyDescent="0.25">
      <c r="A2993" t="s">
        <v>3317</v>
      </c>
      <c r="B2993" s="559" t="s">
        <v>1391</v>
      </c>
      <c r="C2993" s="225"/>
      <c r="D2993" s="560">
        <v>610000004090</v>
      </c>
      <c r="E2993" s="560">
        <f>VLOOKUP(D2993,'[1]Task list &amp; Maintenace plan'!$B:$G,6,FALSE)</f>
        <v>100524</v>
      </c>
      <c r="F2993" s="560" t="s">
        <v>4278</v>
      </c>
      <c r="G2993" s="561" t="s">
        <v>1426</v>
      </c>
      <c r="H2993" s="561" t="s">
        <v>4281</v>
      </c>
      <c r="I2993" s="562">
        <v>180</v>
      </c>
      <c r="J2993" s="753">
        <v>1</v>
      </c>
      <c r="K2993" s="753">
        <f>VLOOKUP(D2993,[2]PC50MZ!$C$6:$J$325,7,FALSE)</f>
        <v>180</v>
      </c>
      <c r="L2993" s="753">
        <v>3</v>
      </c>
      <c r="M2993" s="753">
        <f t="shared" si="18"/>
        <v>540</v>
      </c>
      <c r="N2993" s="753"/>
      <c r="O2993" s="563"/>
      <c r="P2993" s="563"/>
      <c r="Q2993" s="563"/>
      <c r="R2993" s="564" t="s">
        <v>3642</v>
      </c>
      <c r="S2993" s="562" t="s">
        <v>4282</v>
      </c>
    </row>
    <row r="2994" spans="1:19" x14ac:dyDescent="0.25">
      <c r="A2994" t="s">
        <v>3317</v>
      </c>
      <c r="B2994" s="559" t="s">
        <v>1391</v>
      </c>
      <c r="C2994" s="225"/>
      <c r="D2994" s="560">
        <v>610000004090</v>
      </c>
      <c r="E2994" s="560">
        <f>VLOOKUP(D2994,'[1]Task list &amp; Maintenace plan'!$B:$G,6,FALSE)</f>
        <v>100524</v>
      </c>
      <c r="F2994" s="560" t="s">
        <v>4278</v>
      </c>
      <c r="G2994" s="561" t="s">
        <v>1429</v>
      </c>
      <c r="H2994" s="561" t="s">
        <v>4283</v>
      </c>
      <c r="I2994" s="562">
        <v>180</v>
      </c>
      <c r="J2994" s="753">
        <v>1</v>
      </c>
      <c r="K2994" s="753">
        <f>VLOOKUP(D2994,[2]PC50MZ!$C$6:$J$325,7,FALSE)</f>
        <v>180</v>
      </c>
      <c r="L2994" s="753">
        <v>3</v>
      </c>
      <c r="M2994" s="753">
        <f t="shared" si="18"/>
        <v>540</v>
      </c>
      <c r="N2994" s="753"/>
      <c r="O2994" s="563"/>
      <c r="P2994" s="563"/>
      <c r="Q2994" s="563"/>
      <c r="R2994" s="564" t="s">
        <v>3642</v>
      </c>
      <c r="S2994" s="562" t="s">
        <v>4282</v>
      </c>
    </row>
    <row r="2995" spans="1:19" x14ac:dyDescent="0.25">
      <c r="A2995" t="s">
        <v>3317</v>
      </c>
      <c r="B2995" s="559" t="s">
        <v>1391</v>
      </c>
      <c r="C2995" s="225"/>
      <c r="D2995" s="565">
        <v>610000004090</v>
      </c>
      <c r="E2995" s="565">
        <f>VLOOKUP(D2995,'[1]Task list &amp; Maintenace plan'!$B:$G,6,FALSE)</f>
        <v>100524</v>
      </c>
      <c r="F2995" s="565" t="s">
        <v>4278</v>
      </c>
      <c r="G2995" s="566" t="s">
        <v>1432</v>
      </c>
      <c r="H2995" s="566" t="s">
        <v>4284</v>
      </c>
      <c r="I2995" s="567">
        <v>180</v>
      </c>
      <c r="J2995" s="754">
        <v>1</v>
      </c>
      <c r="K2995" s="754">
        <f>VLOOKUP(D2995,[2]PC50MZ!$C$6:$J$325,7,FALSE)</f>
        <v>180</v>
      </c>
      <c r="L2995" s="754">
        <v>3</v>
      </c>
      <c r="M2995" s="754">
        <f t="shared" si="18"/>
        <v>540</v>
      </c>
      <c r="N2995" s="754"/>
      <c r="O2995" s="563"/>
      <c r="P2995" s="563"/>
      <c r="Q2995" s="563"/>
      <c r="R2995" s="568" t="s">
        <v>3642</v>
      </c>
      <c r="S2995" s="567" t="s">
        <v>4282</v>
      </c>
    </row>
    <row r="2996" spans="1:19" x14ac:dyDescent="0.25">
      <c r="A2996" t="s">
        <v>3317</v>
      </c>
      <c r="B2996" s="559" t="s">
        <v>1391</v>
      </c>
      <c r="C2996" s="225"/>
      <c r="D2996" s="573">
        <v>342596</v>
      </c>
      <c r="E2996" s="573">
        <f>VLOOKUP(D2996,'[1]Task list &amp; Maintenace plan'!$B:$G,6,FALSE)</f>
        <v>596</v>
      </c>
      <c r="F2996" s="573" t="s">
        <v>4285</v>
      </c>
      <c r="G2996" s="574" t="s">
        <v>4236</v>
      </c>
      <c r="H2996" s="574" t="s">
        <v>4286</v>
      </c>
      <c r="I2996" s="575">
        <v>180</v>
      </c>
      <c r="J2996" s="576">
        <v>1</v>
      </c>
      <c r="K2996" s="576">
        <f>VLOOKUP(D2996,[2]PC50MZ!$C$6:$J$325,7,FALSE)</f>
        <v>240</v>
      </c>
      <c r="L2996" s="576">
        <v>4</v>
      </c>
      <c r="M2996" s="576">
        <f t="shared" si="18"/>
        <v>960</v>
      </c>
      <c r="N2996" s="576" t="s">
        <v>468</v>
      </c>
      <c r="O2996" s="563"/>
      <c r="P2996" s="563"/>
      <c r="Q2996" s="563"/>
      <c r="R2996" s="577" t="s">
        <v>4240</v>
      </c>
      <c r="S2996" s="575"/>
    </row>
    <row r="2997" spans="1:19" x14ac:dyDescent="0.25">
      <c r="A2997" t="s">
        <v>3317</v>
      </c>
      <c r="B2997" s="559" t="s">
        <v>1391</v>
      </c>
      <c r="C2997" s="225"/>
      <c r="D2997" s="583">
        <v>342587</v>
      </c>
      <c r="E2997" s="583">
        <f>VLOOKUP(D2997,'[1]Task list &amp; Maintenace plan'!$B:$G,6,FALSE)</f>
        <v>592</v>
      </c>
      <c r="F2997" s="583" t="s">
        <v>4287</v>
      </c>
      <c r="G2997" s="584" t="s">
        <v>1392</v>
      </c>
      <c r="H2997" s="584" t="s">
        <v>4288</v>
      </c>
      <c r="I2997" s="585">
        <v>180</v>
      </c>
      <c r="J2997" s="752">
        <v>1</v>
      </c>
      <c r="K2997" s="752">
        <f>VLOOKUP(D2997,[2]PC50MZ!$C$6:$J$325,7,FALSE)</f>
        <v>60</v>
      </c>
      <c r="L2997" s="752">
        <v>1</v>
      </c>
      <c r="M2997" s="752">
        <f t="shared" si="18"/>
        <v>60</v>
      </c>
      <c r="N2997" s="752" t="s">
        <v>20</v>
      </c>
      <c r="O2997" s="563"/>
      <c r="P2997" s="563"/>
      <c r="Q2997" s="563"/>
      <c r="R2997" s="587"/>
      <c r="S2997" s="585"/>
    </row>
    <row r="2998" spans="1:19" x14ac:dyDescent="0.25">
      <c r="A2998" t="s">
        <v>3317</v>
      </c>
      <c r="B2998" s="559" t="s">
        <v>1391</v>
      </c>
      <c r="C2998" s="225"/>
      <c r="D2998" s="602">
        <v>342587</v>
      </c>
      <c r="E2998" s="602">
        <f>VLOOKUP(D2998,'[1]Task list &amp; Maintenace plan'!$B:$G,6,FALSE)</f>
        <v>592</v>
      </c>
      <c r="F2998" s="602" t="s">
        <v>4287</v>
      </c>
      <c r="G2998" s="603" t="s">
        <v>1396</v>
      </c>
      <c r="H2998" s="603" t="s">
        <v>4288</v>
      </c>
      <c r="I2998" s="604">
        <v>180</v>
      </c>
      <c r="J2998" s="753">
        <v>1</v>
      </c>
      <c r="K2998" s="753">
        <f>VLOOKUP(D2998,[2]PC50MZ!$C$6:$J$325,7,FALSE)</f>
        <v>60</v>
      </c>
      <c r="L2998" s="753">
        <v>1</v>
      </c>
      <c r="M2998" s="753">
        <f t="shared" si="18"/>
        <v>60</v>
      </c>
      <c r="N2998" s="753"/>
      <c r="O2998" s="563"/>
      <c r="P2998" s="563"/>
      <c r="Q2998" s="563"/>
      <c r="R2998" s="605"/>
      <c r="S2998" s="604"/>
    </row>
    <row r="2999" spans="1:19" x14ac:dyDescent="0.25">
      <c r="A2999" t="s">
        <v>3317</v>
      </c>
      <c r="B2999" s="559" t="s">
        <v>1391</v>
      </c>
      <c r="C2999" s="225"/>
      <c r="D2999" s="602">
        <v>342587</v>
      </c>
      <c r="E2999" s="602">
        <f>VLOOKUP(D2999,'[1]Task list &amp; Maintenace plan'!$B:$G,6,FALSE)</f>
        <v>592</v>
      </c>
      <c r="F2999" s="602" t="s">
        <v>4287</v>
      </c>
      <c r="G2999" s="603" t="s">
        <v>1399</v>
      </c>
      <c r="H2999" s="603" t="s">
        <v>4288</v>
      </c>
      <c r="I2999" s="604">
        <v>180</v>
      </c>
      <c r="J2999" s="753">
        <v>1</v>
      </c>
      <c r="K2999" s="753">
        <f>VLOOKUP(D2999,[2]PC50MZ!$C$6:$J$325,7,FALSE)</f>
        <v>60</v>
      </c>
      <c r="L2999" s="753">
        <v>1</v>
      </c>
      <c r="M2999" s="753">
        <f t="shared" si="18"/>
        <v>60</v>
      </c>
      <c r="N2999" s="753"/>
      <c r="O2999" s="563"/>
      <c r="P2999" s="563"/>
      <c r="Q2999" s="563"/>
      <c r="R2999" s="605"/>
      <c r="S2999" s="604"/>
    </row>
    <row r="3000" spans="1:19" x14ac:dyDescent="0.25">
      <c r="A3000" t="s">
        <v>3317</v>
      </c>
      <c r="B3000" s="559" t="s">
        <v>1391</v>
      </c>
      <c r="C3000" s="225"/>
      <c r="D3000" s="565">
        <v>342587</v>
      </c>
      <c r="E3000" s="565">
        <f>VLOOKUP(D3000,'[1]Task list &amp; Maintenace plan'!$B:$G,6,FALSE)</f>
        <v>592</v>
      </c>
      <c r="F3000" s="565" t="s">
        <v>4287</v>
      </c>
      <c r="G3000" s="566" t="s">
        <v>1402</v>
      </c>
      <c r="H3000" s="566" t="s">
        <v>4288</v>
      </c>
      <c r="I3000" s="567">
        <v>180</v>
      </c>
      <c r="J3000" s="754">
        <v>1</v>
      </c>
      <c r="K3000" s="754">
        <f>VLOOKUP(D3000,[2]PC50MZ!$C$6:$J$325,7,FALSE)</f>
        <v>60</v>
      </c>
      <c r="L3000" s="754">
        <v>1</v>
      </c>
      <c r="M3000" s="754">
        <f t="shared" si="18"/>
        <v>60</v>
      </c>
      <c r="N3000" s="754"/>
      <c r="O3000" s="563"/>
      <c r="P3000" s="563"/>
      <c r="Q3000" s="563"/>
      <c r="R3000" s="568"/>
      <c r="S3000" s="567"/>
    </row>
    <row r="3001" spans="1:19" ht="15.75" thickBot="1" x14ac:dyDescent="0.3">
      <c r="A3001" t="s">
        <v>3317</v>
      </c>
      <c r="B3001" s="559" t="s">
        <v>1391</v>
      </c>
      <c r="C3001" s="578"/>
      <c r="D3001" s="588">
        <v>356121</v>
      </c>
      <c r="E3001" s="588">
        <f>VLOOKUP(D3001,'[1]Task list &amp; Maintenace plan'!$B:$G,6,FALSE)</f>
        <v>1546</v>
      </c>
      <c r="F3001" s="588" t="s">
        <v>4289</v>
      </c>
      <c r="G3001" s="589" t="s">
        <v>1392</v>
      </c>
      <c r="H3001" s="589" t="s">
        <v>4290</v>
      </c>
      <c r="I3001" s="590">
        <v>180</v>
      </c>
      <c r="J3001" s="591">
        <v>1</v>
      </c>
      <c r="K3001" s="591">
        <v>120</v>
      </c>
      <c r="L3001" s="591">
        <v>2</v>
      </c>
      <c r="M3001" s="591">
        <f t="shared" si="18"/>
        <v>240</v>
      </c>
      <c r="N3001" s="591" t="s">
        <v>468</v>
      </c>
      <c r="O3001" s="563"/>
      <c r="P3001" s="563"/>
      <c r="Q3001" s="563"/>
      <c r="R3001" s="592"/>
      <c r="S3001" s="590"/>
    </row>
    <row r="3002" spans="1:19" x14ac:dyDescent="0.25">
      <c r="A3002" t="s">
        <v>3317</v>
      </c>
      <c r="B3002" s="559" t="s">
        <v>1391</v>
      </c>
      <c r="C3002" s="225"/>
      <c r="D3002" s="625"/>
      <c r="E3002" s="573" t="e">
        <f>VLOOKUP(D3002,'[1]Task list &amp; Maintenace plan'!$B:$G,6,FALSE)</f>
        <v>#N/A</v>
      </c>
      <c r="F3002" s="573" t="s">
        <v>4291</v>
      </c>
      <c r="G3002" s="574" t="s">
        <v>1396</v>
      </c>
      <c r="H3002" s="574" t="s">
        <v>4292</v>
      </c>
      <c r="I3002" s="575">
        <v>365</v>
      </c>
      <c r="J3002" s="626">
        <v>1</v>
      </c>
      <c r="K3002" s="626" t="e">
        <f>VLOOKUP(D3002,[2]PC50MZ!$C$6:$I$325,7,FALSE)</f>
        <v>#N/A</v>
      </c>
      <c r="L3002" s="626" t="e">
        <v>#N/A</v>
      </c>
      <c r="M3002" s="626" t="e">
        <f t="shared" si="18"/>
        <v>#N/A</v>
      </c>
      <c r="N3002" s="626"/>
      <c r="O3002" s="563"/>
      <c r="P3002" s="563"/>
      <c r="Q3002" s="563"/>
      <c r="R3002" s="577"/>
      <c r="S3002" s="575"/>
    </row>
    <row r="3003" spans="1:19" x14ac:dyDescent="0.25">
      <c r="A3003" t="s">
        <v>3317</v>
      </c>
      <c r="B3003" s="559" t="s">
        <v>1391</v>
      </c>
      <c r="C3003" s="225"/>
      <c r="D3003" s="627"/>
      <c r="E3003" s="607" t="e">
        <f>VLOOKUP(D3003,'[1]Task list &amp; Maintenace plan'!$B:$G,6,FALSE)</f>
        <v>#N/A</v>
      </c>
      <c r="F3003" s="607" t="s">
        <v>4293</v>
      </c>
      <c r="G3003" s="608" t="s">
        <v>1399</v>
      </c>
      <c r="H3003" s="608" t="s">
        <v>4294</v>
      </c>
      <c r="I3003" s="609">
        <v>365</v>
      </c>
      <c r="J3003" s="628">
        <v>1</v>
      </c>
      <c r="K3003" s="628" t="e">
        <f>VLOOKUP(D3003,[2]PC50MZ!$C$6:$I$325,7,FALSE)</f>
        <v>#N/A</v>
      </c>
      <c r="L3003" s="628" t="e">
        <v>#N/A</v>
      </c>
      <c r="M3003" s="628" t="e">
        <f t="shared" si="18"/>
        <v>#N/A</v>
      </c>
      <c r="N3003" s="628"/>
      <c r="O3003" s="563"/>
      <c r="P3003" s="563"/>
      <c r="Q3003" s="563"/>
      <c r="R3003" s="611"/>
      <c r="S3003" s="609"/>
    </row>
    <row r="3004" spans="1:19" ht="15.75" thickBot="1" x14ac:dyDescent="0.3">
      <c r="A3004" t="s">
        <v>3317</v>
      </c>
      <c r="B3004" s="559" t="s">
        <v>1391</v>
      </c>
      <c r="C3004" s="578"/>
      <c r="D3004" s="629"/>
      <c r="E3004" s="588" t="e">
        <f>VLOOKUP(D3004,'[1]Task list &amp; Maintenace plan'!$B:$G,6,FALSE)</f>
        <v>#N/A</v>
      </c>
      <c r="F3004" s="588" t="s">
        <v>4295</v>
      </c>
      <c r="G3004" s="589" t="s">
        <v>1402</v>
      </c>
      <c r="H3004" s="589" t="s">
        <v>4296</v>
      </c>
      <c r="I3004" s="590">
        <v>365</v>
      </c>
      <c r="J3004" s="630">
        <v>1</v>
      </c>
      <c r="K3004" s="630" t="e">
        <f>VLOOKUP(D3004,[2]PC50MZ!$C$6:$I$325,7,FALSE)</f>
        <v>#N/A</v>
      </c>
      <c r="L3004" s="630" t="e">
        <v>#N/A</v>
      </c>
      <c r="M3004" s="630" t="e">
        <f t="shared" si="18"/>
        <v>#N/A</v>
      </c>
      <c r="N3004" s="630"/>
      <c r="O3004" s="563"/>
      <c r="P3004" s="563"/>
      <c r="Q3004" s="563"/>
      <c r="R3004" s="592"/>
      <c r="S3004" s="590"/>
    </row>
    <row r="3005" spans="1:19" x14ac:dyDescent="0.25">
      <c r="A3005" t="s">
        <v>3317</v>
      </c>
      <c r="B3005" s="559" t="s">
        <v>1640</v>
      </c>
      <c r="C3005" s="225"/>
      <c r="D3005" s="569">
        <v>610000004091</v>
      </c>
      <c r="E3005" s="569">
        <f>VLOOKUP(D3005,'[1]Task list &amp; Maintenace plan'!$B:$G,6,FALSE)</f>
        <v>100525</v>
      </c>
      <c r="F3005" s="569" t="s">
        <v>4297</v>
      </c>
      <c r="G3005" s="570" t="s">
        <v>1641</v>
      </c>
      <c r="H3005" s="570" t="s">
        <v>4298</v>
      </c>
      <c r="I3005" s="571">
        <v>15</v>
      </c>
      <c r="J3005" s="755"/>
      <c r="K3005" s="755">
        <f>VLOOKUP(D3005,[2]PC50MZ!$C$6:$J$325,7,FALSE)</f>
        <v>30</v>
      </c>
      <c r="L3005" s="755">
        <v>1</v>
      </c>
      <c r="M3005" s="755">
        <f t="shared" si="18"/>
        <v>30</v>
      </c>
      <c r="N3005" s="755" t="s">
        <v>3174</v>
      </c>
      <c r="O3005" s="563"/>
      <c r="P3005" s="563"/>
      <c r="Q3005" s="563"/>
      <c r="R3005" s="572" t="s">
        <v>3159</v>
      </c>
      <c r="S3005" s="571"/>
    </row>
    <row r="3006" spans="1:19" x14ac:dyDescent="0.25">
      <c r="A3006" t="s">
        <v>3317</v>
      </c>
      <c r="B3006" s="559" t="s">
        <v>1640</v>
      </c>
      <c r="C3006" s="225"/>
      <c r="D3006" s="560">
        <v>610000004091</v>
      </c>
      <c r="E3006" s="560">
        <f>VLOOKUP(D3006,'[1]Task list &amp; Maintenace plan'!$B:$G,6,FALSE)</f>
        <v>100525</v>
      </c>
      <c r="F3006" s="560" t="s">
        <v>4297</v>
      </c>
      <c r="G3006" s="561" t="s">
        <v>1645</v>
      </c>
      <c r="H3006" s="561" t="s">
        <v>4299</v>
      </c>
      <c r="I3006" s="562">
        <v>15</v>
      </c>
      <c r="J3006" s="753"/>
      <c r="K3006" s="753">
        <f>VLOOKUP(D3006,[2]PC50MZ!$C$6:$J$325,7,FALSE)</f>
        <v>30</v>
      </c>
      <c r="L3006" s="753">
        <v>1</v>
      </c>
      <c r="M3006" s="753">
        <f t="shared" si="18"/>
        <v>30</v>
      </c>
      <c r="N3006" s="753"/>
      <c r="O3006" s="563"/>
      <c r="P3006" s="563"/>
      <c r="Q3006" s="563"/>
      <c r="R3006" s="564" t="s">
        <v>3159</v>
      </c>
      <c r="S3006" s="562"/>
    </row>
    <row r="3007" spans="1:19" x14ac:dyDescent="0.25">
      <c r="A3007" t="s">
        <v>3317</v>
      </c>
      <c r="B3007" s="559" t="s">
        <v>1640</v>
      </c>
      <c r="C3007" s="225"/>
      <c r="D3007" s="560">
        <v>610000004091</v>
      </c>
      <c r="E3007" s="560">
        <f>VLOOKUP(D3007,'[1]Task list &amp; Maintenace plan'!$B:$G,6,FALSE)</f>
        <v>100525</v>
      </c>
      <c r="F3007" s="560" t="s">
        <v>4297</v>
      </c>
      <c r="G3007" s="561" t="s">
        <v>1648</v>
      </c>
      <c r="H3007" s="561" t="s">
        <v>4300</v>
      </c>
      <c r="I3007" s="562">
        <v>15</v>
      </c>
      <c r="J3007" s="753"/>
      <c r="K3007" s="753">
        <f>VLOOKUP(D3007,[2]PC50MZ!$C$6:$J$325,7,FALSE)</f>
        <v>30</v>
      </c>
      <c r="L3007" s="753">
        <v>1</v>
      </c>
      <c r="M3007" s="753">
        <f t="shared" si="18"/>
        <v>30</v>
      </c>
      <c r="N3007" s="753"/>
      <c r="O3007" s="563"/>
      <c r="P3007" s="563"/>
      <c r="Q3007" s="563"/>
      <c r="R3007" s="564" t="s">
        <v>3159</v>
      </c>
      <c r="S3007" s="562"/>
    </row>
    <row r="3008" spans="1:19" x14ac:dyDescent="0.25">
      <c r="A3008" t="s">
        <v>3317</v>
      </c>
      <c r="B3008" s="559" t="s">
        <v>1640</v>
      </c>
      <c r="C3008" s="225"/>
      <c r="D3008" s="560">
        <v>610000004091</v>
      </c>
      <c r="E3008" s="560">
        <f>VLOOKUP(D3008,'[1]Task list &amp; Maintenace plan'!$B:$G,6,FALSE)</f>
        <v>100525</v>
      </c>
      <c r="F3008" s="560" t="s">
        <v>4297</v>
      </c>
      <c r="G3008" s="561" t="s">
        <v>1651</v>
      </c>
      <c r="H3008" s="561" t="s">
        <v>4301</v>
      </c>
      <c r="I3008" s="562">
        <v>15</v>
      </c>
      <c r="J3008" s="753"/>
      <c r="K3008" s="753">
        <f>VLOOKUP(D3008,[2]PC50MZ!$C$6:$J$325,7,FALSE)</f>
        <v>30</v>
      </c>
      <c r="L3008" s="753">
        <v>1</v>
      </c>
      <c r="M3008" s="753">
        <f t="shared" si="18"/>
        <v>30</v>
      </c>
      <c r="N3008" s="753"/>
      <c r="O3008" s="563"/>
      <c r="P3008" s="563"/>
      <c r="Q3008" s="563"/>
      <c r="R3008" s="564" t="s">
        <v>3159</v>
      </c>
      <c r="S3008" s="562"/>
    </row>
    <row r="3009" spans="1:19" x14ac:dyDescent="0.25">
      <c r="A3009" t="s">
        <v>3317</v>
      </c>
      <c r="B3009" s="559" t="s">
        <v>1640</v>
      </c>
      <c r="C3009" s="225"/>
      <c r="D3009" s="565">
        <v>610000004091</v>
      </c>
      <c r="E3009" s="565">
        <f>VLOOKUP(D3009,'[1]Task list &amp; Maintenace plan'!$B:$G,6,FALSE)</f>
        <v>100525</v>
      </c>
      <c r="F3009" s="565" t="s">
        <v>4297</v>
      </c>
      <c r="G3009" s="566" t="s">
        <v>1656</v>
      </c>
      <c r="H3009" s="566" t="s">
        <v>4302</v>
      </c>
      <c r="I3009" s="567">
        <v>15</v>
      </c>
      <c r="J3009" s="754"/>
      <c r="K3009" s="754">
        <f>VLOOKUP(D3009,[2]PC50MZ!$C$6:$J$325,7,FALSE)</f>
        <v>30</v>
      </c>
      <c r="L3009" s="754">
        <v>1</v>
      </c>
      <c r="M3009" s="754">
        <f t="shared" si="18"/>
        <v>30</v>
      </c>
      <c r="N3009" s="754"/>
      <c r="O3009" s="563"/>
      <c r="P3009" s="563"/>
      <c r="Q3009" s="563"/>
      <c r="R3009" s="568" t="s">
        <v>3159</v>
      </c>
      <c r="S3009" s="567"/>
    </row>
    <row r="3010" spans="1:19" x14ac:dyDescent="0.25">
      <c r="A3010" t="s">
        <v>3317</v>
      </c>
      <c r="B3010" s="559" t="s">
        <v>1640</v>
      </c>
      <c r="C3010" s="225"/>
      <c r="D3010" s="569">
        <v>610000004092</v>
      </c>
      <c r="E3010" s="569">
        <f>VLOOKUP(D3010,'[1]Task list &amp; Maintenace plan'!$B:$G,6,FALSE)</f>
        <v>100526</v>
      </c>
      <c r="F3010" s="569" t="s">
        <v>4304</v>
      </c>
      <c r="G3010" s="570" t="s">
        <v>4305</v>
      </c>
      <c r="H3010" s="570" t="s">
        <v>4306</v>
      </c>
      <c r="I3010" s="571">
        <v>30</v>
      </c>
      <c r="J3010" s="752"/>
      <c r="K3010" s="752">
        <f>VLOOKUP(D3010,[2]PC50MZ!$C$6:$J$325,7,FALSE)</f>
        <v>15</v>
      </c>
      <c r="L3010" s="752">
        <v>1</v>
      </c>
      <c r="M3010" s="752">
        <f t="shared" si="18"/>
        <v>15</v>
      </c>
      <c r="N3010" s="752" t="s">
        <v>20</v>
      </c>
      <c r="O3010" s="563"/>
      <c r="P3010" s="563"/>
      <c r="Q3010" s="563"/>
      <c r="R3010" s="572"/>
      <c r="S3010" s="571"/>
    </row>
    <row r="3011" spans="1:19" x14ac:dyDescent="0.25">
      <c r="A3011" t="s">
        <v>3317</v>
      </c>
      <c r="B3011" s="559" t="s">
        <v>1640</v>
      </c>
      <c r="C3011" s="225"/>
      <c r="D3011" s="565">
        <v>610000004092</v>
      </c>
      <c r="E3011" s="565">
        <f>VLOOKUP(D3011,'[1]Task list &amp; Maintenace plan'!$B:$G,6,FALSE)</f>
        <v>100526</v>
      </c>
      <c r="F3011" s="565" t="s">
        <v>4304</v>
      </c>
      <c r="G3011" s="566" t="s">
        <v>4303</v>
      </c>
      <c r="H3011" s="566" t="s">
        <v>4307</v>
      </c>
      <c r="I3011" s="567">
        <v>30</v>
      </c>
      <c r="J3011" s="754"/>
      <c r="K3011" s="754">
        <f>VLOOKUP(D3011,[2]PC50MZ!$C$6:$J$325,7,FALSE)</f>
        <v>15</v>
      </c>
      <c r="L3011" s="754">
        <v>1</v>
      </c>
      <c r="M3011" s="754">
        <f t="shared" si="18"/>
        <v>15</v>
      </c>
      <c r="N3011" s="754"/>
      <c r="O3011" s="563"/>
      <c r="P3011" s="563"/>
      <c r="Q3011" s="563"/>
      <c r="R3011" s="568"/>
      <c r="S3011" s="567"/>
    </row>
    <row r="3012" spans="1:19" x14ac:dyDescent="0.25">
      <c r="A3012" t="s">
        <v>3317</v>
      </c>
      <c r="B3012" s="559" t="s">
        <v>1640</v>
      </c>
      <c r="C3012" s="225"/>
      <c r="D3012" s="569">
        <v>610000004093</v>
      </c>
      <c r="E3012" s="569">
        <f>VLOOKUP(D3012,'[1]Task list &amp; Maintenace plan'!$B:$G,6,FALSE)</f>
        <v>100527</v>
      </c>
      <c r="F3012" s="569" t="s">
        <v>4308</v>
      </c>
      <c r="G3012" s="570" t="s">
        <v>1641</v>
      </c>
      <c r="H3012" s="570" t="s">
        <v>4309</v>
      </c>
      <c r="I3012" s="571">
        <v>180</v>
      </c>
      <c r="J3012" s="752">
        <v>1</v>
      </c>
      <c r="K3012" s="752">
        <f>VLOOKUP(D3012,[2]PC50MZ!$C$6:$J$325,7,FALSE)</f>
        <v>120</v>
      </c>
      <c r="L3012" s="752">
        <v>2</v>
      </c>
      <c r="M3012" s="752">
        <f t="shared" si="18"/>
        <v>240</v>
      </c>
      <c r="N3012" s="752" t="s">
        <v>3174</v>
      </c>
      <c r="O3012" s="563"/>
      <c r="P3012" s="563"/>
      <c r="Q3012" s="563"/>
      <c r="R3012" s="572" t="s">
        <v>3642</v>
      </c>
      <c r="S3012" s="571" t="s">
        <v>3872</v>
      </c>
    </row>
    <row r="3013" spans="1:19" x14ac:dyDescent="0.25">
      <c r="A3013" t="s">
        <v>3317</v>
      </c>
      <c r="B3013" s="559" t="s">
        <v>1640</v>
      </c>
      <c r="C3013" s="225"/>
      <c r="D3013" s="560">
        <v>610000004093</v>
      </c>
      <c r="E3013" s="560">
        <f>VLOOKUP(D3013,'[1]Task list &amp; Maintenace plan'!$B:$G,6,FALSE)</f>
        <v>100527</v>
      </c>
      <c r="F3013" s="560" t="s">
        <v>4308</v>
      </c>
      <c r="G3013" s="561" t="s">
        <v>1645</v>
      </c>
      <c r="H3013" s="561" t="s">
        <v>4310</v>
      </c>
      <c r="I3013" s="562">
        <v>180</v>
      </c>
      <c r="J3013" s="753">
        <v>1</v>
      </c>
      <c r="K3013" s="753">
        <f>VLOOKUP(D3013,[2]PC50MZ!$C$6:$J$325,7,FALSE)</f>
        <v>120</v>
      </c>
      <c r="L3013" s="753">
        <v>2</v>
      </c>
      <c r="M3013" s="753">
        <f t="shared" si="18"/>
        <v>240</v>
      </c>
      <c r="N3013" s="753"/>
      <c r="O3013" s="563"/>
      <c r="P3013" s="563"/>
      <c r="Q3013" s="563"/>
      <c r="R3013" s="564" t="s">
        <v>3642</v>
      </c>
      <c r="S3013" s="562" t="s">
        <v>3872</v>
      </c>
    </row>
    <row r="3014" spans="1:19" x14ac:dyDescent="0.25">
      <c r="A3014" t="s">
        <v>3317</v>
      </c>
      <c r="B3014" s="559" t="s">
        <v>1640</v>
      </c>
      <c r="C3014" s="225"/>
      <c r="D3014" s="560">
        <v>610000004093</v>
      </c>
      <c r="E3014" s="560">
        <f>VLOOKUP(D3014,'[1]Task list &amp; Maintenace plan'!$B:$G,6,FALSE)</f>
        <v>100527</v>
      </c>
      <c r="F3014" s="560" t="s">
        <v>4308</v>
      </c>
      <c r="G3014" s="561" t="s">
        <v>1648</v>
      </c>
      <c r="H3014" s="561" t="s">
        <v>4311</v>
      </c>
      <c r="I3014" s="562">
        <v>180</v>
      </c>
      <c r="J3014" s="753">
        <v>1</v>
      </c>
      <c r="K3014" s="753">
        <f>VLOOKUP(D3014,[2]PC50MZ!$C$6:$J$325,7,FALSE)</f>
        <v>120</v>
      </c>
      <c r="L3014" s="753">
        <v>2</v>
      </c>
      <c r="M3014" s="753">
        <f t="shared" si="18"/>
        <v>240</v>
      </c>
      <c r="N3014" s="753"/>
      <c r="O3014" s="563"/>
      <c r="P3014" s="563"/>
      <c r="Q3014" s="563"/>
      <c r="R3014" s="564" t="s">
        <v>3642</v>
      </c>
      <c r="S3014" s="562" t="s">
        <v>3872</v>
      </c>
    </row>
    <row r="3015" spans="1:19" x14ac:dyDescent="0.25">
      <c r="A3015" t="s">
        <v>3317</v>
      </c>
      <c r="B3015" s="559" t="s">
        <v>1640</v>
      </c>
      <c r="C3015" s="225"/>
      <c r="D3015" s="560">
        <v>610000004093</v>
      </c>
      <c r="E3015" s="560">
        <f>VLOOKUP(D3015,'[1]Task list &amp; Maintenace plan'!$B:$G,6,FALSE)</f>
        <v>100527</v>
      </c>
      <c r="F3015" s="560" t="s">
        <v>4308</v>
      </c>
      <c r="G3015" s="561" t="s">
        <v>1651</v>
      </c>
      <c r="H3015" s="561" t="s">
        <v>4312</v>
      </c>
      <c r="I3015" s="562">
        <v>180</v>
      </c>
      <c r="J3015" s="753">
        <v>1</v>
      </c>
      <c r="K3015" s="753">
        <f>VLOOKUP(D3015,[2]PC50MZ!$C$6:$J$325,7,FALSE)</f>
        <v>120</v>
      </c>
      <c r="L3015" s="753">
        <v>2</v>
      </c>
      <c r="M3015" s="753">
        <f t="shared" si="18"/>
        <v>240</v>
      </c>
      <c r="N3015" s="753"/>
      <c r="O3015" s="563"/>
      <c r="P3015" s="563"/>
      <c r="Q3015" s="563"/>
      <c r="R3015" s="564" t="s">
        <v>3642</v>
      </c>
      <c r="S3015" s="562" t="s">
        <v>3995</v>
      </c>
    </row>
    <row r="3016" spans="1:19" ht="15.75" thickBot="1" x14ac:dyDescent="0.3">
      <c r="A3016" t="s">
        <v>3317</v>
      </c>
      <c r="B3016" s="559" t="s">
        <v>1640</v>
      </c>
      <c r="C3016" s="578"/>
      <c r="D3016" s="579">
        <v>610000004093</v>
      </c>
      <c r="E3016" s="579">
        <f>VLOOKUP(D3016,'[1]Task list &amp; Maintenace plan'!$B:$G,6,FALSE)</f>
        <v>100527</v>
      </c>
      <c r="F3016" s="579" t="s">
        <v>4308</v>
      </c>
      <c r="G3016" s="580" t="s">
        <v>1656</v>
      </c>
      <c r="H3016" s="580" t="s">
        <v>4313</v>
      </c>
      <c r="I3016" s="581">
        <v>180</v>
      </c>
      <c r="J3016" s="756">
        <v>1</v>
      </c>
      <c r="K3016" s="756">
        <f>VLOOKUP(D3016,[2]PC50MZ!$C$6:$J$325,7,FALSE)</f>
        <v>120</v>
      </c>
      <c r="L3016" s="756">
        <v>2</v>
      </c>
      <c r="M3016" s="756">
        <v>240</v>
      </c>
      <c r="N3016" s="756"/>
      <c r="O3016" s="563"/>
      <c r="P3016" s="563"/>
      <c r="Q3016" s="563"/>
      <c r="R3016" s="582" t="s">
        <v>3642</v>
      </c>
      <c r="S3016" s="581" t="s">
        <v>3995</v>
      </c>
    </row>
    <row r="3017" spans="1:19" x14ac:dyDescent="0.25">
      <c r="A3017" t="s">
        <v>3317</v>
      </c>
      <c r="B3017" s="50" t="s">
        <v>2094</v>
      </c>
      <c r="C3017" s="51"/>
      <c r="D3017" s="352">
        <v>610000004515</v>
      </c>
      <c r="E3017" s="352">
        <f>VLOOKUP(D3017,'[1]Task list &amp; Maintenace plan'!$B:$G,6,FALSE)</f>
        <v>100949</v>
      </c>
      <c r="F3017" s="353" t="s">
        <v>4314</v>
      </c>
      <c r="G3017" s="61" t="s">
        <v>2095</v>
      </c>
      <c r="H3017" s="61" t="s">
        <v>4315</v>
      </c>
      <c r="I3017" s="353">
        <v>15</v>
      </c>
      <c r="J3017" s="412">
        <v>1</v>
      </c>
      <c r="K3017" s="412">
        <v>15</v>
      </c>
      <c r="L3017" s="412">
        <v>1</v>
      </c>
      <c r="M3017" s="412">
        <f>K3017*L3017</f>
        <v>15</v>
      </c>
      <c r="N3017" s="412" t="s">
        <v>34</v>
      </c>
      <c r="O3017" s="544"/>
      <c r="P3017" s="544"/>
      <c r="Q3017" s="544"/>
      <c r="R3017" s="411"/>
      <c r="S3017" s="353"/>
    </row>
    <row r="3018" spans="1:19" x14ac:dyDescent="0.25">
      <c r="A3018" t="s">
        <v>3317</v>
      </c>
      <c r="B3018" s="50" t="s">
        <v>2094</v>
      </c>
      <c r="C3018" s="51"/>
      <c r="D3018" s="343">
        <v>610000004516</v>
      </c>
      <c r="E3018" s="343">
        <f>VLOOKUP(D3018,'[1]Task list &amp; Maintenace plan'!$B:$G,6,FALSE)</f>
        <v>100950</v>
      </c>
      <c r="F3018" s="344" t="s">
        <v>4316</v>
      </c>
      <c r="G3018" s="345" t="s">
        <v>2095</v>
      </c>
      <c r="H3018" s="345" t="s">
        <v>4317</v>
      </c>
      <c r="I3018" s="344">
        <v>30</v>
      </c>
      <c r="J3018" s="733"/>
      <c r="K3018" s="733">
        <v>30</v>
      </c>
      <c r="L3018" s="733">
        <v>1</v>
      </c>
      <c r="M3018" s="733">
        <f t="shared" ref="M3018:M3081" si="19">K3018*L3018</f>
        <v>30</v>
      </c>
      <c r="N3018" s="733" t="s">
        <v>20</v>
      </c>
      <c r="O3018" s="544"/>
      <c r="P3018" s="544"/>
      <c r="Q3018" s="544"/>
      <c r="R3018" s="418"/>
      <c r="S3018" s="344"/>
    </row>
    <row r="3019" spans="1:19" x14ac:dyDescent="0.25">
      <c r="A3019" t="s">
        <v>3317</v>
      </c>
      <c r="B3019" s="50" t="s">
        <v>2094</v>
      </c>
      <c r="C3019" s="51"/>
      <c r="D3019" s="346">
        <v>610000004516</v>
      </c>
      <c r="E3019" s="346">
        <f>VLOOKUP(D3019,'[1]Task list &amp; Maintenace plan'!$B:$G,6,FALSE)</f>
        <v>100950</v>
      </c>
      <c r="F3019" s="347" t="s">
        <v>4316</v>
      </c>
      <c r="G3019" s="348" t="s">
        <v>2095</v>
      </c>
      <c r="H3019" s="348" t="s">
        <v>4318</v>
      </c>
      <c r="I3019" s="347">
        <v>30</v>
      </c>
      <c r="J3019" s="736"/>
      <c r="K3019" s="736">
        <v>30</v>
      </c>
      <c r="L3019" s="736">
        <v>1</v>
      </c>
      <c r="M3019" s="736">
        <f t="shared" si="19"/>
        <v>30</v>
      </c>
      <c r="N3019" s="736"/>
      <c r="O3019" s="544"/>
      <c r="P3019" s="544"/>
      <c r="Q3019" s="544"/>
      <c r="R3019" s="413"/>
      <c r="S3019" s="347"/>
    </row>
    <row r="3020" spans="1:19" x14ac:dyDescent="0.25">
      <c r="A3020" t="s">
        <v>3317</v>
      </c>
      <c r="B3020" s="50" t="s">
        <v>2094</v>
      </c>
      <c r="C3020" s="51"/>
      <c r="D3020" s="346">
        <v>610000004516</v>
      </c>
      <c r="E3020" s="346">
        <f>VLOOKUP(D3020,'[1]Task list &amp; Maintenace plan'!$B:$G,6,FALSE)</f>
        <v>100950</v>
      </c>
      <c r="F3020" s="347" t="s">
        <v>4316</v>
      </c>
      <c r="G3020" s="348" t="s">
        <v>2095</v>
      </c>
      <c r="H3020" s="348" t="s">
        <v>4319</v>
      </c>
      <c r="I3020" s="347">
        <v>30</v>
      </c>
      <c r="J3020" s="736"/>
      <c r="K3020" s="736">
        <v>30</v>
      </c>
      <c r="L3020" s="736">
        <v>1</v>
      </c>
      <c r="M3020" s="736">
        <f t="shared" si="19"/>
        <v>30</v>
      </c>
      <c r="N3020" s="736"/>
      <c r="O3020" s="544"/>
      <c r="P3020" s="544"/>
      <c r="Q3020" s="544"/>
      <c r="R3020" s="413"/>
      <c r="S3020" s="347"/>
    </row>
    <row r="3021" spans="1:19" x14ac:dyDescent="0.25">
      <c r="A3021" t="s">
        <v>3317</v>
      </c>
      <c r="B3021" s="50" t="s">
        <v>2094</v>
      </c>
      <c r="C3021" s="51"/>
      <c r="D3021" s="346">
        <v>610000004516</v>
      </c>
      <c r="E3021" s="346">
        <f>VLOOKUP(D3021,'[1]Task list &amp; Maintenace plan'!$B:$G,6,FALSE)</f>
        <v>100950</v>
      </c>
      <c r="F3021" s="347" t="s">
        <v>4316</v>
      </c>
      <c r="G3021" s="348" t="s">
        <v>2095</v>
      </c>
      <c r="H3021" s="348" t="s">
        <v>4320</v>
      </c>
      <c r="I3021" s="347">
        <v>30</v>
      </c>
      <c r="J3021" s="736"/>
      <c r="K3021" s="736">
        <v>30</v>
      </c>
      <c r="L3021" s="736">
        <v>1</v>
      </c>
      <c r="M3021" s="736">
        <f t="shared" si="19"/>
        <v>30</v>
      </c>
      <c r="N3021" s="736"/>
      <c r="O3021" s="544"/>
      <c r="P3021" s="544"/>
      <c r="Q3021" s="544"/>
      <c r="R3021" s="413"/>
      <c r="S3021" s="347"/>
    </row>
    <row r="3022" spans="1:19" x14ac:dyDescent="0.25">
      <c r="A3022" t="s">
        <v>3317</v>
      </c>
      <c r="B3022" s="50" t="s">
        <v>2094</v>
      </c>
      <c r="C3022" s="51"/>
      <c r="D3022" s="346">
        <v>610000004516</v>
      </c>
      <c r="E3022" s="346">
        <f>VLOOKUP(D3022,'[1]Task list &amp; Maintenace plan'!$B:$G,6,FALSE)</f>
        <v>100950</v>
      </c>
      <c r="F3022" s="347" t="s">
        <v>4316</v>
      </c>
      <c r="G3022" s="348" t="s">
        <v>2102</v>
      </c>
      <c r="H3022" s="348" t="s">
        <v>4321</v>
      </c>
      <c r="I3022" s="347">
        <v>30</v>
      </c>
      <c r="J3022" s="736"/>
      <c r="K3022" s="736">
        <v>30</v>
      </c>
      <c r="L3022" s="736">
        <v>1</v>
      </c>
      <c r="M3022" s="736">
        <f t="shared" si="19"/>
        <v>30</v>
      </c>
      <c r="N3022" s="736"/>
      <c r="O3022" s="544"/>
      <c r="P3022" s="544"/>
      <c r="Q3022" s="544"/>
      <c r="R3022" s="413"/>
      <c r="S3022" s="347"/>
    </row>
    <row r="3023" spans="1:19" x14ac:dyDescent="0.25">
      <c r="A3023" t="s">
        <v>3317</v>
      </c>
      <c r="B3023" s="50" t="s">
        <v>2094</v>
      </c>
      <c r="C3023" s="51"/>
      <c r="D3023" s="346">
        <v>610000004516</v>
      </c>
      <c r="E3023" s="346">
        <f>VLOOKUP(D3023,'[1]Task list &amp; Maintenace plan'!$B:$G,6,FALSE)</f>
        <v>100950</v>
      </c>
      <c r="F3023" s="347" t="s">
        <v>4316</v>
      </c>
      <c r="G3023" s="348" t="s">
        <v>2108</v>
      </c>
      <c r="H3023" s="348" t="s">
        <v>4322</v>
      </c>
      <c r="I3023" s="347">
        <v>30</v>
      </c>
      <c r="J3023" s="736"/>
      <c r="K3023" s="736">
        <v>30</v>
      </c>
      <c r="L3023" s="736">
        <v>1</v>
      </c>
      <c r="M3023" s="736">
        <f t="shared" si="19"/>
        <v>30</v>
      </c>
      <c r="N3023" s="736"/>
      <c r="O3023" s="544"/>
      <c r="P3023" s="544"/>
      <c r="Q3023" s="544"/>
      <c r="R3023" s="413"/>
      <c r="S3023" s="347"/>
    </row>
    <row r="3024" spans="1:19" x14ac:dyDescent="0.25">
      <c r="A3024" t="s">
        <v>3317</v>
      </c>
      <c r="B3024" s="50" t="s">
        <v>2094</v>
      </c>
      <c r="C3024" s="51"/>
      <c r="D3024" s="346">
        <v>610000004516</v>
      </c>
      <c r="E3024" s="346">
        <f>VLOOKUP(D3024,'[1]Task list &amp; Maintenace plan'!$B:$G,6,FALSE)</f>
        <v>100950</v>
      </c>
      <c r="F3024" s="347" t="s">
        <v>4316</v>
      </c>
      <c r="G3024" s="348" t="s">
        <v>2108</v>
      </c>
      <c r="H3024" s="348" t="s">
        <v>4323</v>
      </c>
      <c r="I3024" s="347">
        <v>30</v>
      </c>
      <c r="J3024" s="736"/>
      <c r="K3024" s="736">
        <v>30</v>
      </c>
      <c r="L3024" s="736">
        <v>1</v>
      </c>
      <c r="M3024" s="736">
        <f t="shared" si="19"/>
        <v>30</v>
      </c>
      <c r="N3024" s="736"/>
      <c r="O3024" s="544"/>
      <c r="P3024" s="544"/>
      <c r="Q3024" s="544"/>
      <c r="R3024" s="413"/>
      <c r="S3024" s="347"/>
    </row>
    <row r="3025" spans="1:19" x14ac:dyDescent="0.25">
      <c r="A3025" t="s">
        <v>3317</v>
      </c>
      <c r="B3025" s="50" t="s">
        <v>2094</v>
      </c>
      <c r="C3025" s="51"/>
      <c r="D3025" s="346">
        <v>610000004516</v>
      </c>
      <c r="E3025" s="346">
        <f>VLOOKUP(D3025,'[1]Task list &amp; Maintenace plan'!$B:$G,6,FALSE)</f>
        <v>100950</v>
      </c>
      <c r="F3025" s="347" t="s">
        <v>4316</v>
      </c>
      <c r="G3025" s="348" t="s">
        <v>2108</v>
      </c>
      <c r="H3025" s="348" t="s">
        <v>4324</v>
      </c>
      <c r="I3025" s="347">
        <v>30</v>
      </c>
      <c r="J3025" s="736"/>
      <c r="K3025" s="736">
        <v>30</v>
      </c>
      <c r="L3025" s="736">
        <v>1</v>
      </c>
      <c r="M3025" s="736">
        <f t="shared" si="19"/>
        <v>30</v>
      </c>
      <c r="N3025" s="736"/>
      <c r="O3025" s="544"/>
      <c r="P3025" s="544"/>
      <c r="Q3025" s="544"/>
      <c r="R3025" s="413"/>
      <c r="S3025" s="347"/>
    </row>
    <row r="3026" spans="1:19" x14ac:dyDescent="0.25">
      <c r="A3026" t="s">
        <v>3317</v>
      </c>
      <c r="B3026" s="50" t="s">
        <v>2094</v>
      </c>
      <c r="C3026" s="51"/>
      <c r="D3026" s="346">
        <v>610000004516</v>
      </c>
      <c r="E3026" s="346">
        <f>VLOOKUP(D3026,'[1]Task list &amp; Maintenace plan'!$B:$G,6,FALSE)</f>
        <v>100950</v>
      </c>
      <c r="F3026" s="347" t="s">
        <v>4316</v>
      </c>
      <c r="G3026" s="348" t="s">
        <v>2104</v>
      </c>
      <c r="H3026" s="348" t="s">
        <v>4325</v>
      </c>
      <c r="I3026" s="347">
        <v>30</v>
      </c>
      <c r="J3026" s="736"/>
      <c r="K3026" s="736">
        <v>30</v>
      </c>
      <c r="L3026" s="736">
        <v>1</v>
      </c>
      <c r="M3026" s="736">
        <f t="shared" si="19"/>
        <v>30</v>
      </c>
      <c r="N3026" s="736"/>
      <c r="O3026" s="544"/>
      <c r="P3026" s="544"/>
      <c r="Q3026" s="544"/>
      <c r="R3026" s="413"/>
      <c r="S3026" s="347"/>
    </row>
    <row r="3027" spans="1:19" x14ac:dyDescent="0.25">
      <c r="A3027" t="s">
        <v>3317</v>
      </c>
      <c r="B3027" s="50" t="s">
        <v>2094</v>
      </c>
      <c r="C3027" s="51"/>
      <c r="D3027" s="346">
        <v>610000004516</v>
      </c>
      <c r="E3027" s="346">
        <f>VLOOKUP(D3027,'[1]Task list &amp; Maintenace plan'!$B:$G,6,FALSE)</f>
        <v>100950</v>
      </c>
      <c r="F3027" s="347" t="s">
        <v>4316</v>
      </c>
      <c r="G3027" s="348" t="s">
        <v>2104</v>
      </c>
      <c r="H3027" s="348" t="s">
        <v>4326</v>
      </c>
      <c r="I3027" s="347">
        <v>30</v>
      </c>
      <c r="J3027" s="736"/>
      <c r="K3027" s="736">
        <v>30</v>
      </c>
      <c r="L3027" s="736">
        <v>1</v>
      </c>
      <c r="M3027" s="736">
        <f t="shared" si="19"/>
        <v>30</v>
      </c>
      <c r="N3027" s="736"/>
      <c r="O3027" s="544"/>
      <c r="P3027" s="544"/>
      <c r="Q3027" s="544"/>
      <c r="R3027" s="413"/>
      <c r="S3027" s="347"/>
    </row>
    <row r="3028" spans="1:19" x14ac:dyDescent="0.25">
      <c r="A3028" t="s">
        <v>3317</v>
      </c>
      <c r="B3028" s="50" t="s">
        <v>2094</v>
      </c>
      <c r="C3028" s="51"/>
      <c r="D3028" s="346">
        <v>610000004516</v>
      </c>
      <c r="E3028" s="346">
        <f>VLOOKUP(D3028,'[1]Task list &amp; Maintenace plan'!$B:$G,6,FALSE)</f>
        <v>100950</v>
      </c>
      <c r="F3028" s="347" t="s">
        <v>4316</v>
      </c>
      <c r="G3028" s="348" t="s">
        <v>2104</v>
      </c>
      <c r="H3028" s="348" t="s">
        <v>4327</v>
      </c>
      <c r="I3028" s="347">
        <v>30</v>
      </c>
      <c r="J3028" s="736"/>
      <c r="K3028" s="736">
        <v>30</v>
      </c>
      <c r="L3028" s="736">
        <v>1</v>
      </c>
      <c r="M3028" s="736">
        <f t="shared" si="19"/>
        <v>30</v>
      </c>
      <c r="N3028" s="736"/>
      <c r="O3028" s="544"/>
      <c r="P3028" s="544"/>
      <c r="Q3028" s="544"/>
      <c r="R3028" s="413"/>
      <c r="S3028" s="347"/>
    </row>
    <row r="3029" spans="1:19" x14ac:dyDescent="0.25">
      <c r="A3029" t="s">
        <v>3317</v>
      </c>
      <c r="B3029" s="50" t="s">
        <v>2094</v>
      </c>
      <c r="C3029" s="51"/>
      <c r="D3029" s="346">
        <v>610000004516</v>
      </c>
      <c r="E3029" s="346">
        <f>VLOOKUP(D3029,'[1]Task list &amp; Maintenace plan'!$B:$G,6,FALSE)</f>
        <v>100950</v>
      </c>
      <c r="F3029" s="347" t="s">
        <v>4316</v>
      </c>
      <c r="G3029" s="348" t="s">
        <v>2104</v>
      </c>
      <c r="H3029" s="348" t="s">
        <v>4328</v>
      </c>
      <c r="I3029" s="347">
        <v>30</v>
      </c>
      <c r="J3029" s="736"/>
      <c r="K3029" s="736">
        <v>30</v>
      </c>
      <c r="L3029" s="736">
        <v>1</v>
      </c>
      <c r="M3029" s="736">
        <f t="shared" si="19"/>
        <v>30</v>
      </c>
      <c r="N3029" s="736"/>
      <c r="O3029" s="544"/>
      <c r="P3029" s="544"/>
      <c r="Q3029" s="544"/>
      <c r="R3029" s="413"/>
      <c r="S3029" s="347"/>
    </row>
    <row r="3030" spans="1:19" x14ac:dyDescent="0.25">
      <c r="A3030" t="s">
        <v>3317</v>
      </c>
      <c r="B3030" s="50" t="s">
        <v>2094</v>
      </c>
      <c r="C3030" s="51"/>
      <c r="D3030" s="346">
        <v>610000004516</v>
      </c>
      <c r="E3030" s="346">
        <f>VLOOKUP(D3030,'[1]Task list &amp; Maintenace plan'!$B:$G,6,FALSE)</f>
        <v>100950</v>
      </c>
      <c r="F3030" s="347" t="s">
        <v>4316</v>
      </c>
      <c r="G3030" s="348" t="s">
        <v>2098</v>
      </c>
      <c r="H3030" s="348" t="s">
        <v>4329</v>
      </c>
      <c r="I3030" s="347">
        <v>30</v>
      </c>
      <c r="J3030" s="736"/>
      <c r="K3030" s="736">
        <v>30</v>
      </c>
      <c r="L3030" s="736">
        <v>1</v>
      </c>
      <c r="M3030" s="736">
        <f t="shared" si="19"/>
        <v>30</v>
      </c>
      <c r="N3030" s="736"/>
      <c r="O3030" s="544"/>
      <c r="P3030" s="544"/>
      <c r="Q3030" s="544"/>
      <c r="R3030" s="413"/>
      <c r="S3030" s="347"/>
    </row>
    <row r="3031" spans="1:19" x14ac:dyDescent="0.25">
      <c r="A3031" t="s">
        <v>3317</v>
      </c>
      <c r="B3031" s="50" t="s">
        <v>2094</v>
      </c>
      <c r="C3031" s="51"/>
      <c r="D3031" s="346">
        <v>610000004516</v>
      </c>
      <c r="E3031" s="346">
        <f>VLOOKUP(D3031,'[1]Task list &amp; Maintenace plan'!$B:$G,6,FALSE)</f>
        <v>100950</v>
      </c>
      <c r="F3031" s="347" t="s">
        <v>4316</v>
      </c>
      <c r="G3031" s="348" t="s">
        <v>2098</v>
      </c>
      <c r="H3031" s="348" t="s">
        <v>4330</v>
      </c>
      <c r="I3031" s="347">
        <v>30</v>
      </c>
      <c r="J3031" s="736"/>
      <c r="K3031" s="736">
        <v>30</v>
      </c>
      <c r="L3031" s="736">
        <v>1</v>
      </c>
      <c r="M3031" s="736">
        <f t="shared" si="19"/>
        <v>30</v>
      </c>
      <c r="N3031" s="736"/>
      <c r="O3031" s="544"/>
      <c r="P3031" s="544"/>
      <c r="Q3031" s="544"/>
      <c r="R3031" s="413"/>
      <c r="S3031" s="347"/>
    </row>
    <row r="3032" spans="1:19" x14ac:dyDescent="0.25">
      <c r="A3032" t="s">
        <v>3317</v>
      </c>
      <c r="B3032" s="50" t="s">
        <v>2094</v>
      </c>
      <c r="C3032" s="51"/>
      <c r="D3032" s="346">
        <v>610000004516</v>
      </c>
      <c r="E3032" s="346">
        <f>VLOOKUP(D3032,'[1]Task list &amp; Maintenace plan'!$B:$G,6,FALSE)</f>
        <v>100950</v>
      </c>
      <c r="F3032" s="347" t="s">
        <v>4316</v>
      </c>
      <c r="G3032" s="348" t="s">
        <v>2098</v>
      </c>
      <c r="H3032" s="348" t="s">
        <v>4331</v>
      </c>
      <c r="I3032" s="347">
        <v>30</v>
      </c>
      <c r="J3032" s="736"/>
      <c r="K3032" s="736">
        <v>30</v>
      </c>
      <c r="L3032" s="736">
        <v>1</v>
      </c>
      <c r="M3032" s="736">
        <f t="shared" si="19"/>
        <v>30</v>
      </c>
      <c r="N3032" s="736"/>
      <c r="O3032" s="544"/>
      <c r="P3032" s="544"/>
      <c r="Q3032" s="544"/>
      <c r="R3032" s="413"/>
      <c r="S3032" s="347"/>
    </row>
    <row r="3033" spans="1:19" x14ac:dyDescent="0.25">
      <c r="A3033" t="s">
        <v>3317</v>
      </c>
      <c r="B3033" s="50" t="s">
        <v>2094</v>
      </c>
      <c r="C3033" s="51"/>
      <c r="D3033" s="346">
        <v>610000004516</v>
      </c>
      <c r="E3033" s="346">
        <f>VLOOKUP(D3033,'[1]Task list &amp; Maintenace plan'!$B:$G,6,FALSE)</f>
        <v>100950</v>
      </c>
      <c r="F3033" s="347" t="s">
        <v>4316</v>
      </c>
      <c r="G3033" s="348" t="s">
        <v>2098</v>
      </c>
      <c r="H3033" s="348" t="s">
        <v>4332</v>
      </c>
      <c r="I3033" s="347">
        <v>30</v>
      </c>
      <c r="J3033" s="736"/>
      <c r="K3033" s="736">
        <v>30</v>
      </c>
      <c r="L3033" s="736">
        <v>1</v>
      </c>
      <c r="M3033" s="736">
        <f t="shared" si="19"/>
        <v>30</v>
      </c>
      <c r="N3033" s="736"/>
      <c r="O3033" s="544"/>
      <c r="P3033" s="544"/>
      <c r="Q3033" s="544"/>
      <c r="R3033" s="413"/>
      <c r="S3033" s="347"/>
    </row>
    <row r="3034" spans="1:19" x14ac:dyDescent="0.25">
      <c r="A3034" t="s">
        <v>3317</v>
      </c>
      <c r="B3034" s="50" t="s">
        <v>2094</v>
      </c>
      <c r="C3034" s="51"/>
      <c r="D3034" s="346">
        <v>610000004516</v>
      </c>
      <c r="E3034" s="346">
        <f>VLOOKUP(D3034,'[1]Task list &amp; Maintenace plan'!$B:$G,6,FALSE)</f>
        <v>100950</v>
      </c>
      <c r="F3034" s="347" t="s">
        <v>4316</v>
      </c>
      <c r="G3034" s="348" t="s">
        <v>2100</v>
      </c>
      <c r="H3034" s="348" t="s">
        <v>4333</v>
      </c>
      <c r="I3034" s="347">
        <v>30</v>
      </c>
      <c r="J3034" s="736"/>
      <c r="K3034" s="736">
        <v>30</v>
      </c>
      <c r="L3034" s="736">
        <v>1</v>
      </c>
      <c r="M3034" s="736">
        <f t="shared" si="19"/>
        <v>30</v>
      </c>
      <c r="N3034" s="736"/>
      <c r="O3034" s="544"/>
      <c r="P3034" s="544"/>
      <c r="Q3034" s="544"/>
      <c r="R3034" s="413"/>
      <c r="S3034" s="347"/>
    </row>
    <row r="3035" spans="1:19" x14ac:dyDescent="0.25">
      <c r="A3035" t="s">
        <v>3317</v>
      </c>
      <c r="B3035" s="50" t="s">
        <v>2094</v>
      </c>
      <c r="C3035" s="51"/>
      <c r="D3035" s="346">
        <v>610000004516</v>
      </c>
      <c r="E3035" s="346">
        <f>VLOOKUP(D3035,'[1]Task list &amp; Maintenace plan'!$B:$G,6,FALSE)</f>
        <v>100950</v>
      </c>
      <c r="F3035" s="347" t="s">
        <v>4316</v>
      </c>
      <c r="G3035" s="348" t="s">
        <v>2100</v>
      </c>
      <c r="H3035" s="348" t="s">
        <v>4334</v>
      </c>
      <c r="I3035" s="347">
        <v>30</v>
      </c>
      <c r="J3035" s="736"/>
      <c r="K3035" s="736">
        <v>30</v>
      </c>
      <c r="L3035" s="736">
        <v>1</v>
      </c>
      <c r="M3035" s="736">
        <f t="shared" si="19"/>
        <v>30</v>
      </c>
      <c r="N3035" s="736"/>
      <c r="O3035" s="544"/>
      <c r="P3035" s="544"/>
      <c r="Q3035" s="544"/>
      <c r="R3035" s="413"/>
      <c r="S3035" s="347"/>
    </row>
    <row r="3036" spans="1:19" x14ac:dyDescent="0.25">
      <c r="A3036" t="s">
        <v>3317</v>
      </c>
      <c r="B3036" s="50" t="s">
        <v>2094</v>
      </c>
      <c r="C3036" s="490"/>
      <c r="D3036" s="346">
        <v>610000004516</v>
      </c>
      <c r="E3036" s="346">
        <f>VLOOKUP(D3036,'[1]Task list &amp; Maintenace plan'!$B:$G,6,FALSE)</f>
        <v>100950</v>
      </c>
      <c r="F3036" s="347" t="s">
        <v>4316</v>
      </c>
      <c r="G3036" s="348" t="s">
        <v>2100</v>
      </c>
      <c r="H3036" s="348" t="s">
        <v>4335</v>
      </c>
      <c r="I3036" s="347">
        <v>30</v>
      </c>
      <c r="J3036" s="736"/>
      <c r="K3036" s="736">
        <v>30</v>
      </c>
      <c r="L3036" s="736">
        <v>1</v>
      </c>
      <c r="M3036" s="736">
        <f t="shared" si="19"/>
        <v>30</v>
      </c>
      <c r="N3036" s="736"/>
      <c r="O3036" s="544"/>
      <c r="P3036" s="544"/>
      <c r="Q3036" s="544"/>
      <c r="R3036" s="413"/>
      <c r="S3036" s="347"/>
    </row>
    <row r="3037" spans="1:19" x14ac:dyDescent="0.25">
      <c r="A3037" t="s">
        <v>3317</v>
      </c>
      <c r="B3037" s="50" t="s">
        <v>2094</v>
      </c>
      <c r="C3037" s="51"/>
      <c r="D3037" s="349">
        <v>610000004516</v>
      </c>
      <c r="E3037" s="349">
        <f>VLOOKUP(D3037,'[1]Task list &amp; Maintenace plan'!$B:$G,6,FALSE)</f>
        <v>100950</v>
      </c>
      <c r="F3037" s="350" t="s">
        <v>4316</v>
      </c>
      <c r="G3037" s="351" t="s">
        <v>2100</v>
      </c>
      <c r="H3037" s="351" t="s">
        <v>4336</v>
      </c>
      <c r="I3037" s="350">
        <v>30</v>
      </c>
      <c r="J3037" s="737"/>
      <c r="K3037" s="737">
        <v>30</v>
      </c>
      <c r="L3037" s="737">
        <v>1</v>
      </c>
      <c r="M3037" s="737">
        <f t="shared" si="19"/>
        <v>30</v>
      </c>
      <c r="N3037" s="737"/>
      <c r="O3037" s="544"/>
      <c r="P3037" s="544"/>
      <c r="Q3037" s="544"/>
      <c r="R3037" s="414" t="s">
        <v>4337</v>
      </c>
      <c r="S3037" s="350"/>
    </row>
    <row r="3038" spans="1:19" x14ac:dyDescent="0.25">
      <c r="A3038" t="s">
        <v>3317</v>
      </c>
      <c r="B3038" s="50" t="s">
        <v>2094</v>
      </c>
      <c r="C3038" s="51"/>
      <c r="D3038" s="343">
        <v>610000004517</v>
      </c>
      <c r="E3038" s="343">
        <f>VLOOKUP(D3038,'[1]Task list &amp; Maintenace plan'!$B:$G,6,FALSE)</f>
        <v>100951</v>
      </c>
      <c r="F3038" s="344" t="s">
        <v>4316</v>
      </c>
      <c r="G3038" s="345" t="s">
        <v>2095</v>
      </c>
      <c r="H3038" s="345" t="s">
        <v>4338</v>
      </c>
      <c r="I3038" s="344">
        <v>30</v>
      </c>
      <c r="J3038" s="733"/>
      <c r="K3038" s="733">
        <v>10</v>
      </c>
      <c r="L3038" s="733">
        <v>1</v>
      </c>
      <c r="M3038" s="733">
        <f t="shared" si="19"/>
        <v>10</v>
      </c>
      <c r="N3038" s="733" t="s">
        <v>20</v>
      </c>
      <c r="O3038" s="544"/>
      <c r="P3038" s="544"/>
      <c r="Q3038" s="544"/>
      <c r="R3038" s="418"/>
      <c r="S3038" s="344"/>
    </row>
    <row r="3039" spans="1:19" x14ac:dyDescent="0.25">
      <c r="A3039" t="s">
        <v>3317</v>
      </c>
      <c r="B3039" s="50" t="s">
        <v>2094</v>
      </c>
      <c r="C3039" s="51"/>
      <c r="D3039" s="346">
        <v>610000004517</v>
      </c>
      <c r="E3039" s="346">
        <f>VLOOKUP(D3039,'[1]Task list &amp; Maintenace plan'!$B:$G,6,FALSE)</f>
        <v>100951</v>
      </c>
      <c r="F3039" s="347" t="s">
        <v>4316</v>
      </c>
      <c r="G3039" s="348" t="s">
        <v>2104</v>
      </c>
      <c r="H3039" s="348" t="s">
        <v>4339</v>
      </c>
      <c r="I3039" s="347">
        <v>30</v>
      </c>
      <c r="J3039" s="736"/>
      <c r="K3039" s="736">
        <v>10</v>
      </c>
      <c r="L3039" s="736">
        <v>1</v>
      </c>
      <c r="M3039" s="736">
        <f t="shared" si="19"/>
        <v>10</v>
      </c>
      <c r="N3039" s="736"/>
      <c r="O3039" s="544"/>
      <c r="P3039" s="544"/>
      <c r="Q3039" s="544"/>
      <c r="R3039" s="413"/>
      <c r="S3039" s="347"/>
    </row>
    <row r="3040" spans="1:19" x14ac:dyDescent="0.25">
      <c r="A3040" t="s">
        <v>3317</v>
      </c>
      <c r="B3040" s="50" t="s">
        <v>2094</v>
      </c>
      <c r="C3040" s="51"/>
      <c r="D3040" s="346">
        <v>610000004517</v>
      </c>
      <c r="E3040" s="346">
        <f>VLOOKUP(D3040,'[1]Task list &amp; Maintenace plan'!$B:$G,6,FALSE)</f>
        <v>100951</v>
      </c>
      <c r="F3040" s="347" t="s">
        <v>4316</v>
      </c>
      <c r="G3040" s="348" t="s">
        <v>2104</v>
      </c>
      <c r="H3040" s="348" t="s">
        <v>4340</v>
      </c>
      <c r="I3040" s="347">
        <v>30</v>
      </c>
      <c r="J3040" s="736"/>
      <c r="K3040" s="736">
        <v>10</v>
      </c>
      <c r="L3040" s="736">
        <v>1</v>
      </c>
      <c r="M3040" s="736">
        <f t="shared" si="19"/>
        <v>10</v>
      </c>
      <c r="N3040" s="736"/>
      <c r="O3040" s="544"/>
      <c r="P3040" s="544"/>
      <c r="Q3040" s="544"/>
      <c r="R3040" s="413"/>
      <c r="S3040" s="347"/>
    </row>
    <row r="3041" spans="1:19" x14ac:dyDescent="0.25">
      <c r="A3041" t="s">
        <v>3317</v>
      </c>
      <c r="B3041" s="50" t="s">
        <v>2094</v>
      </c>
      <c r="C3041" s="51"/>
      <c r="D3041" s="349">
        <v>610000004517</v>
      </c>
      <c r="E3041" s="349">
        <f>VLOOKUP(D3041,'[1]Task list &amp; Maintenace plan'!$B:$G,6,FALSE)</f>
        <v>100951</v>
      </c>
      <c r="F3041" s="350" t="s">
        <v>4316</v>
      </c>
      <c r="G3041" s="351" t="s">
        <v>2100</v>
      </c>
      <c r="H3041" s="351" t="s">
        <v>4341</v>
      </c>
      <c r="I3041" s="350">
        <v>30</v>
      </c>
      <c r="J3041" s="737"/>
      <c r="K3041" s="737">
        <v>10</v>
      </c>
      <c r="L3041" s="737">
        <v>1</v>
      </c>
      <c r="M3041" s="737">
        <f t="shared" si="19"/>
        <v>10</v>
      </c>
      <c r="N3041" s="737"/>
      <c r="O3041" s="544"/>
      <c r="P3041" s="544"/>
      <c r="Q3041" s="544"/>
      <c r="R3041" s="414" t="s">
        <v>4342</v>
      </c>
      <c r="S3041" s="350"/>
    </row>
    <row r="3042" spans="1:19" x14ac:dyDescent="0.25">
      <c r="A3042" t="s">
        <v>3317</v>
      </c>
      <c r="B3042" s="50" t="s">
        <v>2094</v>
      </c>
      <c r="C3042" s="51"/>
      <c r="D3042" s="423">
        <v>610000004518</v>
      </c>
      <c r="E3042" s="423">
        <f>VLOOKUP(D3042,'[1]Task list &amp; Maintenace plan'!$B:$G,6,FALSE)</f>
        <v>100952</v>
      </c>
      <c r="F3042" s="434" t="s">
        <v>4343</v>
      </c>
      <c r="G3042" s="433" t="s">
        <v>2104</v>
      </c>
      <c r="H3042" s="433" t="s">
        <v>4344</v>
      </c>
      <c r="I3042" s="434">
        <v>30</v>
      </c>
      <c r="J3042" s="436"/>
      <c r="K3042" s="436">
        <v>10</v>
      </c>
      <c r="L3042" s="436">
        <v>1</v>
      </c>
      <c r="M3042" s="436">
        <f t="shared" si="19"/>
        <v>10</v>
      </c>
      <c r="N3042" s="436" t="s">
        <v>3174</v>
      </c>
      <c r="O3042" s="544"/>
      <c r="P3042" s="544"/>
      <c r="Q3042" s="544"/>
      <c r="R3042" s="435"/>
      <c r="S3042" s="434"/>
    </row>
    <row r="3043" spans="1:19" x14ac:dyDescent="0.25">
      <c r="A3043" t="s">
        <v>3317</v>
      </c>
      <c r="B3043" s="50" t="s">
        <v>2094</v>
      </c>
      <c r="C3043" s="51"/>
      <c r="D3043" s="343">
        <v>610000004519</v>
      </c>
      <c r="E3043" s="343">
        <f>VLOOKUP(D3043,'[1]Task list &amp; Maintenace plan'!$B:$G,6,FALSE)</f>
        <v>100953</v>
      </c>
      <c r="F3043" s="344" t="s">
        <v>4345</v>
      </c>
      <c r="G3043" s="345" t="s">
        <v>2100</v>
      </c>
      <c r="H3043" s="345" t="s">
        <v>4346</v>
      </c>
      <c r="I3043" s="344">
        <v>28</v>
      </c>
      <c r="J3043" s="733">
        <v>1</v>
      </c>
      <c r="K3043" s="733">
        <v>15</v>
      </c>
      <c r="L3043" s="733">
        <v>1</v>
      </c>
      <c r="M3043" s="733">
        <f t="shared" si="19"/>
        <v>15</v>
      </c>
      <c r="N3043" s="733" t="s">
        <v>34</v>
      </c>
      <c r="O3043" s="544"/>
      <c r="P3043" s="544"/>
      <c r="Q3043" s="544"/>
      <c r="R3043" s="418"/>
      <c r="S3043" s="344"/>
    </row>
    <row r="3044" spans="1:19" x14ac:dyDescent="0.25">
      <c r="A3044" t="s">
        <v>3317</v>
      </c>
      <c r="B3044" s="50" t="s">
        <v>2094</v>
      </c>
      <c r="C3044" s="51"/>
      <c r="D3044" s="349">
        <v>610000004519</v>
      </c>
      <c r="E3044" s="349">
        <f>VLOOKUP(D3044,'[1]Task list &amp; Maintenace plan'!$B:$G,6,FALSE)</f>
        <v>100953</v>
      </c>
      <c r="F3044" s="350" t="s">
        <v>4345</v>
      </c>
      <c r="G3044" s="351" t="s">
        <v>2100</v>
      </c>
      <c r="H3044" s="351" t="s">
        <v>4347</v>
      </c>
      <c r="I3044" s="350">
        <v>28</v>
      </c>
      <c r="J3044" s="737">
        <v>1</v>
      </c>
      <c r="K3044" s="737">
        <v>15</v>
      </c>
      <c r="L3044" s="737">
        <v>1</v>
      </c>
      <c r="M3044" s="737">
        <f t="shared" si="19"/>
        <v>15</v>
      </c>
      <c r="N3044" s="737"/>
      <c r="O3044" s="544"/>
      <c r="P3044" s="544"/>
      <c r="Q3044" s="544"/>
      <c r="R3044" s="414"/>
      <c r="S3044" s="350"/>
    </row>
    <row r="3045" spans="1:19" x14ac:dyDescent="0.25">
      <c r="A3045" t="s">
        <v>3317</v>
      </c>
      <c r="B3045" s="50" t="s">
        <v>2094</v>
      </c>
      <c r="C3045" s="51"/>
      <c r="D3045" s="352">
        <v>610000004520</v>
      </c>
      <c r="E3045" s="352">
        <f>VLOOKUP(D3045,'[1]Task list &amp; Maintenace plan'!$B:$G,6,FALSE)</f>
        <v>100954</v>
      </c>
      <c r="F3045" s="353" t="s">
        <v>4348</v>
      </c>
      <c r="G3045" s="61" t="s">
        <v>2100</v>
      </c>
      <c r="H3045" s="61" t="s">
        <v>4349</v>
      </c>
      <c r="I3045" s="353">
        <v>60</v>
      </c>
      <c r="J3045" s="412">
        <v>1</v>
      </c>
      <c r="K3045" s="412">
        <v>30</v>
      </c>
      <c r="L3045" s="412">
        <v>2</v>
      </c>
      <c r="M3045" s="412">
        <f t="shared" si="19"/>
        <v>60</v>
      </c>
      <c r="N3045" s="412" t="s">
        <v>3174</v>
      </c>
      <c r="O3045" s="544"/>
      <c r="P3045" s="544"/>
      <c r="Q3045" s="544"/>
      <c r="R3045" s="411" t="s">
        <v>4350</v>
      </c>
      <c r="S3045" s="353" t="s">
        <v>4351</v>
      </c>
    </row>
    <row r="3046" spans="1:19" x14ac:dyDescent="0.25">
      <c r="A3046" t="s">
        <v>3317</v>
      </c>
      <c r="B3046" s="50" t="s">
        <v>2094</v>
      </c>
      <c r="C3046" s="51"/>
      <c r="D3046" s="352">
        <v>610000004521</v>
      </c>
      <c r="E3046" s="352">
        <f>VLOOKUP(D3046,'[1]Task list &amp; Maintenace plan'!$B:$G,6,FALSE)</f>
        <v>100955</v>
      </c>
      <c r="F3046" s="353" t="s">
        <v>4352</v>
      </c>
      <c r="G3046" s="61" t="s">
        <v>2100</v>
      </c>
      <c r="H3046" s="61" t="s">
        <v>4353</v>
      </c>
      <c r="I3046" s="353">
        <v>60</v>
      </c>
      <c r="J3046" s="412">
        <v>1</v>
      </c>
      <c r="K3046" s="412">
        <v>30</v>
      </c>
      <c r="L3046" s="412">
        <v>1</v>
      </c>
      <c r="M3046" s="412">
        <f t="shared" si="19"/>
        <v>30</v>
      </c>
      <c r="N3046" s="412" t="s">
        <v>468</v>
      </c>
      <c r="O3046" s="544"/>
      <c r="P3046" s="544"/>
      <c r="Q3046" s="544"/>
      <c r="R3046" s="411" t="s">
        <v>4354</v>
      </c>
      <c r="S3046" s="353"/>
    </row>
    <row r="3047" spans="1:19" x14ac:dyDescent="0.25">
      <c r="A3047" t="s">
        <v>3317</v>
      </c>
      <c r="B3047" s="50" t="s">
        <v>2094</v>
      </c>
      <c r="C3047" s="51"/>
      <c r="D3047" s="352">
        <v>610000004522</v>
      </c>
      <c r="E3047" s="352">
        <f>VLOOKUP(D3047,'[1]Task list &amp; Maintenace plan'!$B:$G,6,FALSE)</f>
        <v>100956</v>
      </c>
      <c r="F3047" s="353" t="s">
        <v>4355</v>
      </c>
      <c r="G3047" s="61" t="s">
        <v>2100</v>
      </c>
      <c r="H3047" s="61" t="s">
        <v>4356</v>
      </c>
      <c r="I3047" s="353">
        <v>60</v>
      </c>
      <c r="J3047" s="412">
        <v>1</v>
      </c>
      <c r="K3047" s="412">
        <v>30</v>
      </c>
      <c r="L3047" s="412">
        <v>1</v>
      </c>
      <c r="M3047" s="412">
        <f t="shared" si="19"/>
        <v>30</v>
      </c>
      <c r="N3047" s="412" t="s">
        <v>34</v>
      </c>
      <c r="O3047" s="544"/>
      <c r="P3047" s="544"/>
      <c r="Q3047" s="544"/>
      <c r="R3047" s="411"/>
      <c r="S3047" s="353"/>
    </row>
    <row r="3048" spans="1:19" x14ac:dyDescent="0.25">
      <c r="A3048" t="s">
        <v>3317</v>
      </c>
      <c r="B3048" s="50" t="s">
        <v>2094</v>
      </c>
      <c r="C3048" s="51"/>
      <c r="D3048" s="352">
        <v>610000004523</v>
      </c>
      <c r="E3048" s="352">
        <f>VLOOKUP(D3048,'[1]Task list &amp; Maintenace plan'!$B:$G,6,FALSE)</f>
        <v>100957</v>
      </c>
      <c r="F3048" s="353" t="s">
        <v>4357</v>
      </c>
      <c r="G3048" s="61" t="s">
        <v>2100</v>
      </c>
      <c r="H3048" s="61" t="s">
        <v>4358</v>
      </c>
      <c r="I3048" s="353">
        <v>90</v>
      </c>
      <c r="J3048" s="412">
        <v>1</v>
      </c>
      <c r="K3048" s="412">
        <v>30</v>
      </c>
      <c r="L3048" s="412">
        <v>1</v>
      </c>
      <c r="M3048" s="412">
        <f t="shared" si="19"/>
        <v>30</v>
      </c>
      <c r="N3048" s="412" t="s">
        <v>34</v>
      </c>
      <c r="O3048" s="544"/>
      <c r="P3048" s="544"/>
      <c r="Q3048" s="544"/>
      <c r="R3048" s="411"/>
      <c r="S3048" s="353"/>
    </row>
    <row r="3049" spans="1:19" x14ac:dyDescent="0.25">
      <c r="A3049" t="s">
        <v>3317</v>
      </c>
      <c r="B3049" s="50" t="s">
        <v>2094</v>
      </c>
      <c r="C3049" s="51"/>
      <c r="D3049" s="343">
        <v>610000004524</v>
      </c>
      <c r="E3049" s="343">
        <f>VLOOKUP(D3049,'[1]Task list &amp; Maintenace plan'!$B:$G,6,FALSE)</f>
        <v>100958</v>
      </c>
      <c r="F3049" s="344" t="s">
        <v>4359</v>
      </c>
      <c r="G3049" s="345" t="s">
        <v>2104</v>
      </c>
      <c r="H3049" s="345" t="s">
        <v>4360</v>
      </c>
      <c r="I3049" s="344">
        <v>180</v>
      </c>
      <c r="J3049" s="733">
        <v>1</v>
      </c>
      <c r="K3049" s="733">
        <v>60</v>
      </c>
      <c r="L3049" s="733">
        <v>2</v>
      </c>
      <c r="M3049" s="733">
        <f t="shared" si="19"/>
        <v>120</v>
      </c>
      <c r="N3049" s="733" t="s">
        <v>3174</v>
      </c>
      <c r="O3049" s="544"/>
      <c r="P3049" s="544"/>
      <c r="Q3049" s="544"/>
      <c r="R3049" s="418" t="s">
        <v>4361</v>
      </c>
      <c r="S3049" s="344" t="s">
        <v>4362</v>
      </c>
    </row>
    <row r="3050" spans="1:19" x14ac:dyDescent="0.25">
      <c r="A3050" t="s">
        <v>3317</v>
      </c>
      <c r="B3050" s="50" t="s">
        <v>2094</v>
      </c>
      <c r="C3050" s="51"/>
      <c r="D3050" s="349">
        <v>610000004524</v>
      </c>
      <c r="E3050" s="349">
        <f>VLOOKUP(D3050,'[1]Task list &amp; Maintenace plan'!$B:$G,6,FALSE)</f>
        <v>100958</v>
      </c>
      <c r="F3050" s="350" t="s">
        <v>4359</v>
      </c>
      <c r="G3050" s="351" t="s">
        <v>2104</v>
      </c>
      <c r="H3050" s="351" t="s">
        <v>4363</v>
      </c>
      <c r="I3050" s="350">
        <v>180</v>
      </c>
      <c r="J3050" s="737">
        <v>1</v>
      </c>
      <c r="K3050" s="737">
        <v>60</v>
      </c>
      <c r="L3050" s="737">
        <v>2</v>
      </c>
      <c r="M3050" s="737">
        <f t="shared" si="19"/>
        <v>120</v>
      </c>
      <c r="N3050" s="737"/>
      <c r="O3050" s="544"/>
      <c r="P3050" s="544"/>
      <c r="Q3050" s="544"/>
      <c r="R3050" s="414" t="s">
        <v>4364</v>
      </c>
      <c r="S3050" s="350" t="s">
        <v>4365</v>
      </c>
    </row>
    <row r="3051" spans="1:19" ht="15.75" thickBot="1" x14ac:dyDescent="0.3">
      <c r="A3051" t="s">
        <v>3317</v>
      </c>
      <c r="B3051" s="50" t="s">
        <v>2094</v>
      </c>
      <c r="C3051" s="214"/>
      <c r="D3051" s="363">
        <v>610000004525</v>
      </c>
      <c r="E3051" s="363">
        <f>VLOOKUP(D3051,'[1]Task list &amp; Maintenace plan'!$B:$G,6,FALSE)</f>
        <v>100959</v>
      </c>
      <c r="F3051" s="364" t="s">
        <v>4366</v>
      </c>
      <c r="G3051" s="365" t="s">
        <v>2095</v>
      </c>
      <c r="H3051" s="365" t="s">
        <v>4367</v>
      </c>
      <c r="I3051" s="364">
        <v>365</v>
      </c>
      <c r="J3051" s="437">
        <v>1</v>
      </c>
      <c r="K3051" s="437">
        <v>60</v>
      </c>
      <c r="L3051" s="437">
        <v>2</v>
      </c>
      <c r="M3051" s="437">
        <f t="shared" si="19"/>
        <v>120</v>
      </c>
      <c r="N3051" s="437" t="s">
        <v>3174</v>
      </c>
      <c r="O3051" s="544"/>
      <c r="P3051" s="544"/>
      <c r="Q3051" s="544"/>
      <c r="R3051" s="427" t="s">
        <v>4364</v>
      </c>
      <c r="S3051" s="364" t="s">
        <v>4368</v>
      </c>
    </row>
    <row r="3052" spans="1:19" x14ac:dyDescent="0.25">
      <c r="A3052" t="s">
        <v>3317</v>
      </c>
      <c r="B3052" s="50" t="s">
        <v>2133</v>
      </c>
      <c r="C3052" s="51"/>
      <c r="D3052" s="346">
        <v>610000004526</v>
      </c>
      <c r="E3052" s="346">
        <f>VLOOKUP(D3052,'[1]Task list &amp; Maintenace plan'!$B:$G,6,FALSE)</f>
        <v>100960</v>
      </c>
      <c r="F3052" s="347" t="s">
        <v>4369</v>
      </c>
      <c r="G3052" s="348" t="s">
        <v>562</v>
      </c>
      <c r="H3052" s="348" t="s">
        <v>4370</v>
      </c>
      <c r="I3052" s="347">
        <v>7</v>
      </c>
      <c r="J3052" s="739">
        <v>1</v>
      </c>
      <c r="K3052" s="739">
        <v>15</v>
      </c>
      <c r="L3052" s="739">
        <v>1</v>
      </c>
      <c r="M3052" s="739">
        <f t="shared" si="19"/>
        <v>15</v>
      </c>
      <c r="N3052" s="739" t="s">
        <v>20</v>
      </c>
      <c r="O3052" s="544"/>
      <c r="P3052" s="544"/>
      <c r="Q3052" s="544"/>
      <c r="R3052" s="413"/>
      <c r="S3052" s="347"/>
    </row>
    <row r="3053" spans="1:19" x14ac:dyDescent="0.25">
      <c r="A3053" t="s">
        <v>3317</v>
      </c>
      <c r="B3053" s="50" t="s">
        <v>2133</v>
      </c>
      <c r="C3053" s="51"/>
      <c r="D3053" s="346">
        <v>610000004526</v>
      </c>
      <c r="E3053" s="346">
        <f>VLOOKUP(D3053,'[1]Task list &amp; Maintenace plan'!$B:$G,6,FALSE)</f>
        <v>100960</v>
      </c>
      <c r="F3053" s="347" t="s">
        <v>4369</v>
      </c>
      <c r="G3053" s="348" t="s">
        <v>562</v>
      </c>
      <c r="H3053" s="348" t="s">
        <v>4372</v>
      </c>
      <c r="I3053" s="347">
        <v>7</v>
      </c>
      <c r="J3053" s="736">
        <v>1</v>
      </c>
      <c r="K3053" s="736">
        <v>15</v>
      </c>
      <c r="L3053" s="736">
        <v>1</v>
      </c>
      <c r="M3053" s="736">
        <f t="shared" si="19"/>
        <v>15</v>
      </c>
      <c r="N3053" s="736"/>
      <c r="O3053" s="544"/>
      <c r="P3053" s="544"/>
      <c r="Q3053" s="544"/>
      <c r="R3053" s="413"/>
      <c r="S3053" s="347"/>
    </row>
    <row r="3054" spans="1:19" x14ac:dyDescent="0.25">
      <c r="A3054" t="s">
        <v>3317</v>
      </c>
      <c r="B3054" s="50" t="s">
        <v>2133</v>
      </c>
      <c r="C3054" s="51"/>
      <c r="D3054" s="349">
        <v>610000004526</v>
      </c>
      <c r="E3054" s="349">
        <f>VLOOKUP(D3054,'[1]Task list &amp; Maintenace plan'!$B:$G,6,FALSE)</f>
        <v>100960</v>
      </c>
      <c r="F3054" s="350" t="s">
        <v>4369</v>
      </c>
      <c r="G3054" s="351" t="s">
        <v>2140</v>
      </c>
      <c r="H3054" s="351" t="s">
        <v>4373</v>
      </c>
      <c r="I3054" s="350">
        <v>7</v>
      </c>
      <c r="J3054" s="737">
        <v>1</v>
      </c>
      <c r="K3054" s="737">
        <v>15</v>
      </c>
      <c r="L3054" s="737">
        <v>1</v>
      </c>
      <c r="M3054" s="737">
        <f t="shared" si="19"/>
        <v>15</v>
      </c>
      <c r="N3054" s="737"/>
      <c r="O3054" s="544"/>
      <c r="P3054" s="544"/>
      <c r="Q3054" s="544"/>
      <c r="R3054" s="414"/>
      <c r="S3054" s="350"/>
    </row>
    <row r="3055" spans="1:19" x14ac:dyDescent="0.25">
      <c r="A3055" t="s">
        <v>3317</v>
      </c>
      <c r="B3055" s="50" t="s">
        <v>2133</v>
      </c>
      <c r="C3055" s="51"/>
      <c r="D3055" s="352">
        <v>610000004527</v>
      </c>
      <c r="E3055" s="352">
        <f>VLOOKUP(D3055,'[1]Task list &amp; Maintenace plan'!$B:$G,6,FALSE)</f>
        <v>100961</v>
      </c>
      <c r="F3055" s="353" t="s">
        <v>4374</v>
      </c>
      <c r="G3055" s="61" t="s">
        <v>562</v>
      </c>
      <c r="H3055" s="61" t="s">
        <v>4375</v>
      </c>
      <c r="I3055" s="353">
        <v>15</v>
      </c>
      <c r="J3055" s="412">
        <v>1</v>
      </c>
      <c r="K3055" s="412">
        <v>30</v>
      </c>
      <c r="L3055" s="412">
        <v>1</v>
      </c>
      <c r="M3055" s="412">
        <f t="shared" si="19"/>
        <v>30</v>
      </c>
      <c r="N3055" s="412" t="s">
        <v>34</v>
      </c>
      <c r="O3055" s="544"/>
      <c r="P3055" s="544"/>
      <c r="Q3055" s="544"/>
      <c r="R3055" s="411" t="s">
        <v>4376</v>
      </c>
      <c r="S3055" s="353"/>
    </row>
    <row r="3056" spans="1:19" x14ac:dyDescent="0.25">
      <c r="A3056" t="s">
        <v>3317</v>
      </c>
      <c r="B3056" s="50" t="s">
        <v>2133</v>
      </c>
      <c r="C3056" s="51"/>
      <c r="D3056" s="352">
        <v>352898</v>
      </c>
      <c r="E3056" s="352">
        <f>VLOOKUP(D3056,'[1]Task list &amp; Maintenace plan'!$B:$G,6,FALSE)</f>
        <v>1455</v>
      </c>
      <c r="F3056" s="353" t="s">
        <v>4377</v>
      </c>
      <c r="G3056" s="61" t="s">
        <v>2137</v>
      </c>
      <c r="H3056" s="61" t="s">
        <v>4378</v>
      </c>
      <c r="I3056" s="353">
        <v>15</v>
      </c>
      <c r="J3056" s="412"/>
      <c r="K3056" s="412">
        <v>45</v>
      </c>
      <c r="L3056" s="412">
        <v>1</v>
      </c>
      <c r="M3056" s="412">
        <f t="shared" si="19"/>
        <v>45</v>
      </c>
      <c r="N3056" s="412" t="s">
        <v>34</v>
      </c>
      <c r="O3056" s="544"/>
      <c r="P3056" s="544"/>
      <c r="Q3056" s="544"/>
      <c r="R3056" s="411"/>
      <c r="S3056" s="353"/>
    </row>
    <row r="3057" spans="1:19" x14ac:dyDescent="0.25">
      <c r="A3057" t="s">
        <v>3317</v>
      </c>
      <c r="B3057" s="50" t="s">
        <v>2133</v>
      </c>
      <c r="C3057" s="51"/>
      <c r="D3057" s="352">
        <v>610000004528</v>
      </c>
      <c r="E3057" s="352">
        <f>VLOOKUP(D3057,'[1]Task list &amp; Maintenace plan'!$B:$G,6,FALSE)</f>
        <v>100962</v>
      </c>
      <c r="F3057" s="353" t="s">
        <v>4380</v>
      </c>
      <c r="G3057" s="61" t="s">
        <v>4379</v>
      </c>
      <c r="H3057" s="61" t="s">
        <v>4334</v>
      </c>
      <c r="I3057" s="353">
        <v>15</v>
      </c>
      <c r="J3057" s="412">
        <v>1</v>
      </c>
      <c r="K3057" s="412">
        <v>20</v>
      </c>
      <c r="L3057" s="412">
        <v>1</v>
      </c>
      <c r="M3057" s="412">
        <f t="shared" si="19"/>
        <v>20</v>
      </c>
      <c r="N3057" s="412" t="s">
        <v>20</v>
      </c>
      <c r="O3057" s="544"/>
      <c r="P3057" s="544"/>
      <c r="Q3057" s="544"/>
      <c r="R3057" s="411"/>
      <c r="S3057" s="353"/>
    </row>
    <row r="3058" spans="1:19" x14ac:dyDescent="0.25">
      <c r="A3058" t="s">
        <v>3317</v>
      </c>
      <c r="B3058" s="50" t="s">
        <v>2133</v>
      </c>
      <c r="C3058" s="51"/>
      <c r="D3058" s="343">
        <v>610000004529</v>
      </c>
      <c r="E3058" s="343">
        <f>VLOOKUP(D3058,'[1]Task list &amp; Maintenace plan'!$B:$G,6,FALSE)</f>
        <v>100963</v>
      </c>
      <c r="F3058" s="344" t="s">
        <v>4381</v>
      </c>
      <c r="G3058" s="345" t="s">
        <v>3166</v>
      </c>
      <c r="H3058" s="345" t="s">
        <v>4382</v>
      </c>
      <c r="I3058" s="344">
        <v>15</v>
      </c>
      <c r="J3058" s="733">
        <v>1</v>
      </c>
      <c r="K3058" s="733">
        <v>15</v>
      </c>
      <c r="L3058" s="733">
        <v>1</v>
      </c>
      <c r="M3058" s="733">
        <f t="shared" si="19"/>
        <v>15</v>
      </c>
      <c r="N3058" s="733" t="s">
        <v>20</v>
      </c>
      <c r="O3058" s="544"/>
      <c r="P3058" s="544"/>
      <c r="Q3058" s="544"/>
      <c r="R3058" s="418"/>
      <c r="S3058" s="344"/>
    </row>
    <row r="3059" spans="1:19" x14ac:dyDescent="0.25">
      <c r="A3059" t="s">
        <v>3317</v>
      </c>
      <c r="B3059" s="50" t="s">
        <v>2133</v>
      </c>
      <c r="C3059" s="51"/>
      <c r="D3059" s="346">
        <v>610000004529</v>
      </c>
      <c r="E3059" s="346">
        <f>VLOOKUP(D3059,'[1]Task list &amp; Maintenace plan'!$B:$G,6,FALSE)</f>
        <v>100963</v>
      </c>
      <c r="F3059" s="347" t="s">
        <v>4381</v>
      </c>
      <c r="G3059" s="348" t="s">
        <v>4379</v>
      </c>
      <c r="H3059" s="348" t="s">
        <v>4383</v>
      </c>
      <c r="I3059" s="347">
        <v>15</v>
      </c>
      <c r="J3059" s="736"/>
      <c r="K3059" s="736">
        <v>15</v>
      </c>
      <c r="L3059" s="736">
        <v>1</v>
      </c>
      <c r="M3059" s="736">
        <f t="shared" si="19"/>
        <v>15</v>
      </c>
      <c r="N3059" s="736"/>
      <c r="O3059" s="544"/>
      <c r="P3059" s="544"/>
      <c r="Q3059" s="544"/>
      <c r="R3059" s="413"/>
      <c r="S3059" s="347"/>
    </row>
    <row r="3060" spans="1:19" x14ac:dyDescent="0.25">
      <c r="A3060" t="s">
        <v>3317</v>
      </c>
      <c r="B3060" s="50" t="s">
        <v>2133</v>
      </c>
      <c r="C3060" s="490"/>
      <c r="D3060" s="346">
        <v>610000004529</v>
      </c>
      <c r="E3060" s="346">
        <f>VLOOKUP(D3060,'[1]Task list &amp; Maintenace plan'!$B:$G,6,FALSE)</f>
        <v>100963</v>
      </c>
      <c r="F3060" s="347" t="s">
        <v>4381</v>
      </c>
      <c r="G3060" s="348" t="s">
        <v>4379</v>
      </c>
      <c r="H3060" s="348" t="s">
        <v>4336</v>
      </c>
      <c r="I3060" s="347">
        <v>15</v>
      </c>
      <c r="J3060" s="736"/>
      <c r="K3060" s="736">
        <v>15</v>
      </c>
      <c r="L3060" s="736">
        <v>1</v>
      </c>
      <c r="M3060" s="736">
        <f t="shared" si="19"/>
        <v>15</v>
      </c>
      <c r="N3060" s="736"/>
      <c r="O3060" s="544"/>
      <c r="P3060" s="544"/>
      <c r="Q3060" s="544"/>
      <c r="R3060" s="413" t="s">
        <v>4337</v>
      </c>
      <c r="S3060" s="347"/>
    </row>
    <row r="3061" spans="1:19" x14ac:dyDescent="0.25">
      <c r="A3061" t="s">
        <v>3317</v>
      </c>
      <c r="B3061" s="50" t="s">
        <v>2133</v>
      </c>
      <c r="C3061" s="51"/>
      <c r="D3061" s="349">
        <v>610000004529</v>
      </c>
      <c r="E3061" s="349">
        <f>VLOOKUP(D3061,'[1]Task list &amp; Maintenace plan'!$B:$G,6,FALSE)</f>
        <v>100963</v>
      </c>
      <c r="F3061" s="350" t="s">
        <v>4381</v>
      </c>
      <c r="G3061" s="351" t="s">
        <v>2155</v>
      </c>
      <c r="H3061" s="351" t="s">
        <v>4384</v>
      </c>
      <c r="I3061" s="350">
        <v>15</v>
      </c>
      <c r="J3061" s="737"/>
      <c r="K3061" s="737">
        <v>15</v>
      </c>
      <c r="L3061" s="737">
        <v>1</v>
      </c>
      <c r="M3061" s="737">
        <f t="shared" si="19"/>
        <v>15</v>
      </c>
      <c r="N3061" s="737"/>
      <c r="O3061" s="544"/>
      <c r="P3061" s="544"/>
      <c r="Q3061" s="544"/>
      <c r="R3061" s="414"/>
      <c r="S3061" s="350"/>
    </row>
    <row r="3062" spans="1:19" x14ac:dyDescent="0.25">
      <c r="A3062" t="s">
        <v>3317</v>
      </c>
      <c r="B3062" s="50" t="s">
        <v>2133</v>
      </c>
      <c r="C3062" s="51"/>
      <c r="D3062" s="343">
        <v>610000004530</v>
      </c>
      <c r="E3062" s="343">
        <f>VLOOKUP(D3062,'[1]Task list &amp; Maintenace plan'!$B:$G,6,FALSE)</f>
        <v>100964</v>
      </c>
      <c r="F3062" s="344" t="s">
        <v>4385</v>
      </c>
      <c r="G3062" s="345" t="s">
        <v>3166</v>
      </c>
      <c r="H3062" s="345" t="s">
        <v>4386</v>
      </c>
      <c r="I3062" s="344">
        <v>30</v>
      </c>
      <c r="J3062" s="733">
        <v>1</v>
      </c>
      <c r="K3062" s="733">
        <v>15</v>
      </c>
      <c r="L3062" s="733">
        <v>1</v>
      </c>
      <c r="M3062" s="733">
        <f t="shared" si="19"/>
        <v>15</v>
      </c>
      <c r="N3062" s="733" t="s">
        <v>20</v>
      </c>
      <c r="O3062" s="544"/>
      <c r="P3062" s="544"/>
      <c r="Q3062" s="544"/>
      <c r="R3062" s="418"/>
      <c r="S3062" s="344"/>
    </row>
    <row r="3063" spans="1:19" x14ac:dyDescent="0.25">
      <c r="A3063" t="s">
        <v>3317</v>
      </c>
      <c r="B3063" s="50" t="s">
        <v>2133</v>
      </c>
      <c r="C3063" s="51"/>
      <c r="D3063" s="343">
        <v>610000004530</v>
      </c>
      <c r="E3063" s="343">
        <f>VLOOKUP(D3063,'[1]Task list &amp; Maintenace plan'!$B:$G,6,FALSE)</f>
        <v>100964</v>
      </c>
      <c r="F3063" s="344" t="s">
        <v>4385</v>
      </c>
      <c r="G3063" s="345" t="s">
        <v>4371</v>
      </c>
      <c r="H3063" s="345" t="s">
        <v>4387</v>
      </c>
      <c r="I3063" s="344">
        <v>30</v>
      </c>
      <c r="J3063" s="736">
        <v>1</v>
      </c>
      <c r="K3063" s="736">
        <v>15</v>
      </c>
      <c r="L3063" s="736">
        <v>1</v>
      </c>
      <c r="M3063" s="736">
        <f t="shared" si="19"/>
        <v>15</v>
      </c>
      <c r="N3063" s="736"/>
      <c r="O3063" s="544"/>
      <c r="P3063" s="544"/>
      <c r="Q3063" s="544"/>
      <c r="R3063" s="418"/>
      <c r="S3063" s="344"/>
    </row>
    <row r="3064" spans="1:19" x14ac:dyDescent="0.25">
      <c r="A3064" t="s">
        <v>3317</v>
      </c>
      <c r="B3064" s="50" t="s">
        <v>2133</v>
      </c>
      <c r="C3064" s="51"/>
      <c r="D3064" s="346">
        <v>610000004530</v>
      </c>
      <c r="E3064" s="346">
        <f>VLOOKUP(D3064,'[1]Task list &amp; Maintenace plan'!$B:$G,6,FALSE)</f>
        <v>100964</v>
      </c>
      <c r="F3064" s="347" t="s">
        <v>4385</v>
      </c>
      <c r="G3064" s="348" t="s">
        <v>3166</v>
      </c>
      <c r="H3064" s="348" t="s">
        <v>4388</v>
      </c>
      <c r="I3064" s="347">
        <v>30</v>
      </c>
      <c r="J3064" s="736">
        <v>1</v>
      </c>
      <c r="K3064" s="736">
        <v>15</v>
      </c>
      <c r="L3064" s="736">
        <v>1</v>
      </c>
      <c r="M3064" s="736">
        <f t="shared" si="19"/>
        <v>15</v>
      </c>
      <c r="N3064" s="736"/>
      <c r="O3064" s="544"/>
      <c r="P3064" s="544"/>
      <c r="Q3064" s="544"/>
      <c r="R3064" s="413"/>
      <c r="S3064" s="347"/>
    </row>
    <row r="3065" spans="1:19" x14ac:dyDescent="0.25">
      <c r="A3065" t="s">
        <v>3317</v>
      </c>
      <c r="B3065" s="50" t="s">
        <v>2133</v>
      </c>
      <c r="C3065" s="51"/>
      <c r="D3065" s="346">
        <v>610000004530</v>
      </c>
      <c r="E3065" s="346">
        <f>VLOOKUP(D3065,'[1]Task list &amp; Maintenace plan'!$B:$G,6,FALSE)</f>
        <v>100964</v>
      </c>
      <c r="F3065" s="347" t="s">
        <v>4385</v>
      </c>
      <c r="G3065" s="348" t="s">
        <v>2137</v>
      </c>
      <c r="H3065" s="348" t="s">
        <v>4389</v>
      </c>
      <c r="I3065" s="347">
        <v>30</v>
      </c>
      <c r="J3065" s="736">
        <v>1</v>
      </c>
      <c r="K3065" s="736">
        <v>15</v>
      </c>
      <c r="L3065" s="736">
        <v>1</v>
      </c>
      <c r="M3065" s="736">
        <f t="shared" si="19"/>
        <v>15</v>
      </c>
      <c r="N3065" s="736"/>
      <c r="O3065" s="544"/>
      <c r="P3065" s="544"/>
      <c r="Q3065" s="544"/>
      <c r="R3065" s="413"/>
      <c r="S3065" s="347"/>
    </row>
    <row r="3066" spans="1:19" x14ac:dyDescent="0.25">
      <c r="A3066" t="s">
        <v>3317</v>
      </c>
      <c r="B3066" s="50" t="s">
        <v>2133</v>
      </c>
      <c r="C3066" s="51"/>
      <c r="D3066" s="346">
        <v>610000004530</v>
      </c>
      <c r="E3066" s="346">
        <f>VLOOKUP(D3066,'[1]Task list &amp; Maintenace plan'!$B:$G,6,FALSE)</f>
        <v>100964</v>
      </c>
      <c r="F3066" s="347" t="s">
        <v>4385</v>
      </c>
      <c r="G3066" s="348" t="s">
        <v>2134</v>
      </c>
      <c r="H3066" s="348" t="s">
        <v>4390</v>
      </c>
      <c r="I3066" s="347">
        <v>30</v>
      </c>
      <c r="J3066" s="736">
        <v>1</v>
      </c>
      <c r="K3066" s="736">
        <v>15</v>
      </c>
      <c r="L3066" s="736">
        <v>1</v>
      </c>
      <c r="M3066" s="736">
        <f t="shared" si="19"/>
        <v>15</v>
      </c>
      <c r="N3066" s="736"/>
      <c r="O3066" s="544"/>
      <c r="P3066" s="544"/>
      <c r="Q3066" s="544"/>
      <c r="R3066" s="413"/>
      <c r="S3066" s="347"/>
    </row>
    <row r="3067" spans="1:19" x14ac:dyDescent="0.25">
      <c r="A3067" t="s">
        <v>3317</v>
      </c>
      <c r="B3067" s="50" t="s">
        <v>2133</v>
      </c>
      <c r="C3067" s="51"/>
      <c r="D3067" s="349">
        <v>610000004530</v>
      </c>
      <c r="E3067" s="349">
        <f>VLOOKUP(D3067,'[1]Task list &amp; Maintenace plan'!$B:$G,6,FALSE)</f>
        <v>100964</v>
      </c>
      <c r="F3067" s="350" t="s">
        <v>4385</v>
      </c>
      <c r="G3067" s="351" t="s">
        <v>4379</v>
      </c>
      <c r="H3067" s="351" t="s">
        <v>4391</v>
      </c>
      <c r="I3067" s="350">
        <v>30</v>
      </c>
      <c r="J3067" s="737">
        <v>1</v>
      </c>
      <c r="K3067" s="737">
        <v>15</v>
      </c>
      <c r="L3067" s="737">
        <v>1</v>
      </c>
      <c r="M3067" s="737">
        <f t="shared" si="19"/>
        <v>15</v>
      </c>
      <c r="N3067" s="737"/>
      <c r="O3067" s="544"/>
      <c r="P3067" s="544"/>
      <c r="Q3067" s="544"/>
      <c r="R3067" s="414" t="s">
        <v>4342</v>
      </c>
      <c r="S3067" s="350"/>
    </row>
    <row r="3068" spans="1:19" x14ac:dyDescent="0.25">
      <c r="A3068" t="s">
        <v>3317</v>
      </c>
      <c r="B3068" s="50" t="s">
        <v>2133</v>
      </c>
      <c r="C3068" s="51"/>
      <c r="D3068" s="417">
        <v>610000004531</v>
      </c>
      <c r="E3068" s="417">
        <f>VLOOKUP(D3068,'[1]Task list &amp; Maintenace plan'!$B:$G,6,FALSE)</f>
        <v>100965</v>
      </c>
      <c r="F3068" s="421" t="s">
        <v>4392</v>
      </c>
      <c r="G3068" s="420" t="s">
        <v>4379</v>
      </c>
      <c r="H3068" s="420" t="s">
        <v>4346</v>
      </c>
      <c r="I3068" s="421">
        <v>30</v>
      </c>
      <c r="J3068" s="733">
        <v>1</v>
      </c>
      <c r="K3068" s="733">
        <v>60</v>
      </c>
      <c r="L3068" s="733">
        <v>2</v>
      </c>
      <c r="M3068" s="733">
        <f t="shared" si="19"/>
        <v>120</v>
      </c>
      <c r="N3068" s="733" t="s">
        <v>34</v>
      </c>
      <c r="O3068" s="544"/>
      <c r="P3068" s="544"/>
      <c r="Q3068" s="544"/>
      <c r="R3068" s="422"/>
      <c r="S3068" s="421"/>
    </row>
    <row r="3069" spans="1:19" x14ac:dyDescent="0.25">
      <c r="A3069" t="s">
        <v>3317</v>
      </c>
      <c r="B3069" s="50" t="s">
        <v>2133</v>
      </c>
      <c r="C3069" s="51"/>
      <c r="D3069" s="349">
        <v>610000004531</v>
      </c>
      <c r="E3069" s="349">
        <f>VLOOKUP(D3069,'[1]Task list &amp; Maintenace plan'!$B:$G,6,FALSE)</f>
        <v>100965</v>
      </c>
      <c r="F3069" s="350" t="s">
        <v>4392</v>
      </c>
      <c r="G3069" s="351" t="s">
        <v>4379</v>
      </c>
      <c r="H3069" s="351" t="s">
        <v>4347</v>
      </c>
      <c r="I3069" s="350">
        <v>30</v>
      </c>
      <c r="J3069" s="737">
        <v>1</v>
      </c>
      <c r="K3069" s="737">
        <v>60</v>
      </c>
      <c r="L3069" s="737">
        <v>2</v>
      </c>
      <c r="M3069" s="737">
        <f t="shared" si="19"/>
        <v>120</v>
      </c>
      <c r="N3069" s="737"/>
      <c r="O3069" s="544"/>
      <c r="P3069" s="544"/>
      <c r="Q3069" s="544"/>
      <c r="R3069" s="414"/>
      <c r="S3069" s="350"/>
    </row>
    <row r="3070" spans="1:19" x14ac:dyDescent="0.25">
      <c r="A3070" t="s">
        <v>3317</v>
      </c>
      <c r="B3070" s="50" t="s">
        <v>2133</v>
      </c>
      <c r="C3070" s="51"/>
      <c r="D3070" s="352">
        <v>610000004532</v>
      </c>
      <c r="E3070" s="352">
        <f>VLOOKUP(D3070,'[1]Task list &amp; Maintenace plan'!$B:$G,6,FALSE)</f>
        <v>100966</v>
      </c>
      <c r="F3070" s="353" t="s">
        <v>4393</v>
      </c>
      <c r="G3070" s="61" t="s">
        <v>4379</v>
      </c>
      <c r="H3070" s="61" t="s">
        <v>4394</v>
      </c>
      <c r="I3070" s="353">
        <v>60</v>
      </c>
      <c r="J3070" s="412">
        <v>1</v>
      </c>
      <c r="K3070" s="412">
        <v>60</v>
      </c>
      <c r="L3070" s="412">
        <v>2</v>
      </c>
      <c r="M3070" s="412">
        <f t="shared" si="19"/>
        <v>120</v>
      </c>
      <c r="N3070" s="412" t="s">
        <v>3174</v>
      </c>
      <c r="O3070" s="544"/>
      <c r="P3070" s="544"/>
      <c r="Q3070" s="544"/>
      <c r="R3070" s="411" t="s">
        <v>4350</v>
      </c>
      <c r="S3070" s="353" t="s">
        <v>4351</v>
      </c>
    </row>
    <row r="3071" spans="1:19" x14ac:dyDescent="0.25">
      <c r="A3071" t="s">
        <v>3317</v>
      </c>
      <c r="B3071" s="50" t="s">
        <v>2133</v>
      </c>
      <c r="C3071" s="51"/>
      <c r="D3071" s="352">
        <v>610000004533</v>
      </c>
      <c r="E3071" s="352">
        <f>VLOOKUP(D3071,'[1]Task list &amp; Maintenace plan'!$B:$G,6,FALSE)</f>
        <v>100967</v>
      </c>
      <c r="F3071" s="353" t="s">
        <v>4395</v>
      </c>
      <c r="G3071" s="61" t="s">
        <v>4379</v>
      </c>
      <c r="H3071" s="61" t="s">
        <v>4396</v>
      </c>
      <c r="I3071" s="353">
        <v>60</v>
      </c>
      <c r="J3071" s="412">
        <v>1</v>
      </c>
      <c r="K3071" s="412">
        <v>60</v>
      </c>
      <c r="L3071" s="412">
        <v>1</v>
      </c>
      <c r="M3071" s="412">
        <f t="shared" si="19"/>
        <v>60</v>
      </c>
      <c r="N3071" s="412" t="s">
        <v>468</v>
      </c>
      <c r="O3071" s="544"/>
      <c r="P3071" s="544"/>
      <c r="Q3071" s="544"/>
      <c r="R3071" s="411" t="s">
        <v>4354</v>
      </c>
      <c r="S3071" s="353"/>
    </row>
    <row r="3072" spans="1:19" x14ac:dyDescent="0.25">
      <c r="A3072" t="s">
        <v>3317</v>
      </c>
      <c r="B3072" s="50" t="s">
        <v>2133</v>
      </c>
      <c r="C3072" s="51"/>
      <c r="D3072" s="352">
        <v>610000004534</v>
      </c>
      <c r="E3072" s="352">
        <f>VLOOKUP(D3072,'[1]Task list &amp; Maintenace plan'!$B:$G,6,FALSE)</f>
        <v>100968</v>
      </c>
      <c r="F3072" s="353" t="s">
        <v>4397</v>
      </c>
      <c r="G3072" s="61" t="s">
        <v>4379</v>
      </c>
      <c r="H3072" s="61" t="s">
        <v>4356</v>
      </c>
      <c r="I3072" s="353">
        <v>60</v>
      </c>
      <c r="J3072" s="412">
        <v>1</v>
      </c>
      <c r="K3072" s="412">
        <v>30</v>
      </c>
      <c r="L3072" s="412">
        <v>1</v>
      </c>
      <c r="M3072" s="412">
        <f t="shared" si="19"/>
        <v>30</v>
      </c>
      <c r="N3072" s="412" t="s">
        <v>34</v>
      </c>
      <c r="O3072" s="544"/>
      <c r="P3072" s="544"/>
      <c r="Q3072" s="544"/>
      <c r="R3072" s="411"/>
      <c r="S3072" s="353"/>
    </row>
    <row r="3073" spans="1:19" x14ac:dyDescent="0.25">
      <c r="A3073" t="s">
        <v>3317</v>
      </c>
      <c r="B3073" s="50" t="s">
        <v>2133</v>
      </c>
      <c r="C3073" s="51"/>
      <c r="D3073" s="352">
        <v>610000004535</v>
      </c>
      <c r="E3073" s="352">
        <f>VLOOKUP(D3073,'[1]Task list &amp; Maintenace plan'!$B:$G,6,FALSE)</f>
        <v>100969</v>
      </c>
      <c r="F3073" s="353" t="s">
        <v>4398</v>
      </c>
      <c r="G3073" s="61" t="s">
        <v>562</v>
      </c>
      <c r="H3073" s="61" t="s">
        <v>4399</v>
      </c>
      <c r="I3073" s="353">
        <v>30</v>
      </c>
      <c r="J3073" s="412">
        <v>1</v>
      </c>
      <c r="K3073" s="412">
        <v>30</v>
      </c>
      <c r="L3073" s="412">
        <v>1</v>
      </c>
      <c r="M3073" s="412">
        <f t="shared" si="19"/>
        <v>30</v>
      </c>
      <c r="N3073" s="412" t="s">
        <v>468</v>
      </c>
      <c r="O3073" s="544"/>
      <c r="P3073" s="544"/>
      <c r="Q3073" s="544"/>
      <c r="R3073" s="411" t="s">
        <v>4376</v>
      </c>
      <c r="S3073" s="353"/>
    </row>
    <row r="3074" spans="1:19" x14ac:dyDescent="0.25">
      <c r="A3074" t="s">
        <v>3317</v>
      </c>
      <c r="B3074" s="50" t="s">
        <v>2133</v>
      </c>
      <c r="C3074" s="51"/>
      <c r="D3074" s="352">
        <v>610000004536</v>
      </c>
      <c r="E3074" s="352">
        <f>VLOOKUP(D3074,'[1]Task list &amp; Maintenace plan'!$B:$G,6,FALSE)</f>
        <v>100970</v>
      </c>
      <c r="F3074" s="353" t="s">
        <v>4400</v>
      </c>
      <c r="G3074" s="61" t="s">
        <v>4379</v>
      </c>
      <c r="H3074" s="61" t="s">
        <v>4401</v>
      </c>
      <c r="I3074" s="353">
        <v>90</v>
      </c>
      <c r="J3074" s="412">
        <v>1</v>
      </c>
      <c r="K3074" s="412">
        <v>60</v>
      </c>
      <c r="L3074" s="412">
        <v>1</v>
      </c>
      <c r="M3074" s="412">
        <f t="shared" si="19"/>
        <v>60</v>
      </c>
      <c r="N3074" s="412" t="s">
        <v>34</v>
      </c>
      <c r="O3074" s="544"/>
      <c r="P3074" s="544"/>
      <c r="Q3074" s="544"/>
      <c r="R3074" s="411"/>
      <c r="S3074" s="353"/>
    </row>
    <row r="3075" spans="1:19" x14ac:dyDescent="0.25">
      <c r="A3075" t="s">
        <v>3317</v>
      </c>
      <c r="B3075" s="50" t="s">
        <v>2133</v>
      </c>
      <c r="C3075" s="51"/>
      <c r="D3075" s="352">
        <v>344486</v>
      </c>
      <c r="E3075" s="352">
        <f>VLOOKUP(D3075,'[1]Task list &amp; Maintenace plan'!$B:$G,6,FALSE)</f>
        <v>813</v>
      </c>
      <c r="F3075" s="353" t="s">
        <v>4402</v>
      </c>
      <c r="G3075" s="61" t="s">
        <v>562</v>
      </c>
      <c r="H3075" s="61" t="s">
        <v>4403</v>
      </c>
      <c r="I3075" s="353">
        <v>180</v>
      </c>
      <c r="J3075" s="412">
        <v>1</v>
      </c>
      <c r="K3075" s="412">
        <v>30</v>
      </c>
      <c r="L3075" s="412">
        <v>1</v>
      </c>
      <c r="M3075" s="412">
        <f t="shared" si="19"/>
        <v>30</v>
      </c>
      <c r="N3075" s="412" t="s">
        <v>34</v>
      </c>
      <c r="O3075" s="544"/>
      <c r="P3075" s="544"/>
      <c r="Q3075" s="544"/>
      <c r="R3075" s="411" t="s">
        <v>4404</v>
      </c>
      <c r="S3075" s="353"/>
    </row>
    <row r="3076" spans="1:19" x14ac:dyDescent="0.25">
      <c r="A3076" t="s">
        <v>3317</v>
      </c>
      <c r="B3076" s="50" t="s">
        <v>2133</v>
      </c>
      <c r="C3076" s="51"/>
      <c r="D3076" s="352">
        <v>342110</v>
      </c>
      <c r="E3076" s="352">
        <f>VLOOKUP(D3076,'[1]Task list &amp; Maintenace plan'!$B:$G,6,FALSE)</f>
        <v>443</v>
      </c>
      <c r="F3076" s="353" t="s">
        <v>4405</v>
      </c>
      <c r="G3076" s="61" t="s">
        <v>562</v>
      </c>
      <c r="H3076" s="61" t="s">
        <v>3190</v>
      </c>
      <c r="I3076" s="353">
        <v>180</v>
      </c>
      <c r="J3076" s="412"/>
      <c r="K3076" s="412">
        <v>15</v>
      </c>
      <c r="L3076" s="412">
        <v>1</v>
      </c>
      <c r="M3076" s="412">
        <f t="shared" si="19"/>
        <v>15</v>
      </c>
      <c r="N3076" s="412" t="s">
        <v>3191</v>
      </c>
      <c r="O3076" s="544"/>
      <c r="P3076" s="544"/>
      <c r="Q3076" s="544"/>
      <c r="R3076" s="411"/>
      <c r="S3076" s="353"/>
    </row>
    <row r="3077" spans="1:19" x14ac:dyDescent="0.25">
      <c r="A3077" t="s">
        <v>3317</v>
      </c>
      <c r="B3077" s="50" t="s">
        <v>2133</v>
      </c>
      <c r="C3077" s="51"/>
      <c r="D3077" s="343">
        <v>610000004538</v>
      </c>
      <c r="E3077" s="343">
        <f>VLOOKUP(D3077,'[1]Task list &amp; Maintenace plan'!$B:$G,6,FALSE)</f>
        <v>100972</v>
      </c>
      <c r="F3077" s="344" t="s">
        <v>4406</v>
      </c>
      <c r="G3077" s="345" t="s">
        <v>3166</v>
      </c>
      <c r="H3077" s="345" t="s">
        <v>4407</v>
      </c>
      <c r="I3077" s="344">
        <v>180</v>
      </c>
      <c r="J3077" s="733">
        <v>1</v>
      </c>
      <c r="K3077" s="733">
        <v>60</v>
      </c>
      <c r="L3077" s="733">
        <v>2</v>
      </c>
      <c r="M3077" s="733">
        <f t="shared" si="19"/>
        <v>120</v>
      </c>
      <c r="N3077" s="733" t="s">
        <v>3174</v>
      </c>
      <c r="O3077" s="544"/>
      <c r="P3077" s="544"/>
      <c r="Q3077" s="544"/>
      <c r="R3077" s="418" t="s">
        <v>4361</v>
      </c>
      <c r="S3077" s="344" t="s">
        <v>4408</v>
      </c>
    </row>
    <row r="3078" spans="1:19" x14ac:dyDescent="0.25">
      <c r="A3078" t="s">
        <v>3317</v>
      </c>
      <c r="B3078" s="50" t="s">
        <v>2133</v>
      </c>
      <c r="C3078" s="51"/>
      <c r="D3078" s="346">
        <v>610000004538</v>
      </c>
      <c r="E3078" s="346">
        <f>VLOOKUP(D3078,'[1]Task list &amp; Maintenace plan'!$B:$G,6,FALSE)</f>
        <v>100972</v>
      </c>
      <c r="F3078" s="347" t="s">
        <v>4406</v>
      </c>
      <c r="G3078" s="348" t="s">
        <v>2137</v>
      </c>
      <c r="H3078" s="348" t="s">
        <v>4409</v>
      </c>
      <c r="I3078" s="347">
        <v>180</v>
      </c>
      <c r="J3078" s="736">
        <v>1</v>
      </c>
      <c r="K3078" s="736">
        <v>60</v>
      </c>
      <c r="L3078" s="736">
        <v>2</v>
      </c>
      <c r="M3078" s="736">
        <f t="shared" si="19"/>
        <v>120</v>
      </c>
      <c r="N3078" s="736"/>
      <c r="O3078" s="544"/>
      <c r="P3078" s="544"/>
      <c r="Q3078" s="544"/>
      <c r="R3078" s="413" t="s">
        <v>4144</v>
      </c>
      <c r="S3078" s="347" t="s">
        <v>4410</v>
      </c>
    </row>
    <row r="3079" spans="1:19" ht="15.75" thickBot="1" x14ac:dyDescent="0.3">
      <c r="A3079" t="s">
        <v>3317</v>
      </c>
      <c r="B3079" s="50" t="s">
        <v>2133</v>
      </c>
      <c r="C3079" s="214"/>
      <c r="D3079" s="466">
        <v>610000004538</v>
      </c>
      <c r="E3079" s="466">
        <f>VLOOKUP(D3079,'[1]Task list &amp; Maintenace plan'!$B:$G,6,FALSE)</f>
        <v>100972</v>
      </c>
      <c r="F3079" s="467" t="s">
        <v>4406</v>
      </c>
      <c r="G3079" s="468" t="s">
        <v>2134</v>
      </c>
      <c r="H3079" s="468" t="s">
        <v>4411</v>
      </c>
      <c r="I3079" s="467">
        <v>180</v>
      </c>
      <c r="J3079" s="738">
        <v>1</v>
      </c>
      <c r="K3079" s="738">
        <v>60</v>
      </c>
      <c r="L3079" s="738">
        <v>2</v>
      </c>
      <c r="M3079" s="738">
        <f t="shared" si="19"/>
        <v>120</v>
      </c>
      <c r="N3079" s="738"/>
      <c r="O3079" s="544"/>
      <c r="P3079" s="544"/>
      <c r="Q3079" s="544"/>
      <c r="R3079" s="543" t="s">
        <v>4144</v>
      </c>
      <c r="S3079" s="467" t="s">
        <v>4410</v>
      </c>
    </row>
    <row r="3080" spans="1:19" x14ac:dyDescent="0.25">
      <c r="A3080" t="s">
        <v>3317</v>
      </c>
      <c r="B3080" s="50" t="s">
        <v>2158</v>
      </c>
      <c r="C3080" s="51"/>
      <c r="D3080" s="346">
        <v>610000004539</v>
      </c>
      <c r="E3080" s="346">
        <f>VLOOKUP(D3080,'[1]Task list &amp; Maintenace plan'!$B:$G,6,FALSE)</f>
        <v>100973</v>
      </c>
      <c r="F3080" s="347" t="s">
        <v>4412</v>
      </c>
      <c r="G3080" s="348" t="s">
        <v>2159</v>
      </c>
      <c r="H3080" s="348" t="s">
        <v>4413</v>
      </c>
      <c r="I3080" s="347">
        <v>15</v>
      </c>
      <c r="J3080" s="739"/>
      <c r="K3080" s="739">
        <v>10</v>
      </c>
      <c r="L3080" s="739">
        <v>1</v>
      </c>
      <c r="M3080" s="739">
        <f t="shared" si="19"/>
        <v>10</v>
      </c>
      <c r="N3080" s="739" t="s">
        <v>20</v>
      </c>
      <c r="O3080" s="544"/>
      <c r="P3080" s="544"/>
      <c r="Q3080" s="544"/>
      <c r="R3080" s="413"/>
      <c r="S3080" s="347"/>
    </row>
    <row r="3081" spans="1:19" x14ac:dyDescent="0.25">
      <c r="A3081" t="s">
        <v>3317</v>
      </c>
      <c r="B3081" s="50" t="s">
        <v>2158</v>
      </c>
      <c r="C3081" s="51"/>
      <c r="D3081" s="349">
        <v>610000004539</v>
      </c>
      <c r="E3081" s="349">
        <f>VLOOKUP(D3081,'[1]Task list &amp; Maintenace plan'!$B:$G,6,FALSE)</f>
        <v>100973</v>
      </c>
      <c r="F3081" s="350" t="s">
        <v>4412</v>
      </c>
      <c r="G3081" s="351" t="s">
        <v>2162</v>
      </c>
      <c r="H3081" s="351" t="s">
        <v>4414</v>
      </c>
      <c r="I3081" s="350">
        <v>15</v>
      </c>
      <c r="J3081" s="737"/>
      <c r="K3081" s="737">
        <v>10</v>
      </c>
      <c r="L3081" s="737">
        <v>1</v>
      </c>
      <c r="M3081" s="737">
        <f t="shared" si="19"/>
        <v>10</v>
      </c>
      <c r="N3081" s="737"/>
      <c r="O3081" s="544"/>
      <c r="P3081" s="544"/>
      <c r="Q3081" s="544"/>
      <c r="R3081" s="414"/>
      <c r="S3081" s="350"/>
    </row>
    <row r="3082" spans="1:19" x14ac:dyDescent="0.25">
      <c r="A3082" t="s">
        <v>3317</v>
      </c>
      <c r="B3082" s="50" t="s">
        <v>2158</v>
      </c>
      <c r="C3082" s="51"/>
      <c r="D3082" s="417">
        <v>610000004540</v>
      </c>
      <c r="E3082" s="417">
        <f>VLOOKUP(D3082,'[1]Task list &amp; Maintenace plan'!$B:$G,6,FALSE)</f>
        <v>100974</v>
      </c>
      <c r="F3082" s="421" t="s">
        <v>4415</v>
      </c>
      <c r="G3082" s="420" t="s">
        <v>2159</v>
      </c>
      <c r="H3082" s="420" t="s">
        <v>4416</v>
      </c>
      <c r="I3082" s="421">
        <v>30</v>
      </c>
      <c r="J3082" s="733"/>
      <c r="K3082" s="733">
        <v>15</v>
      </c>
      <c r="L3082" s="733">
        <v>1</v>
      </c>
      <c r="M3082" s="733">
        <f t="shared" ref="M3082:M3145" si="20">K3082*L3082</f>
        <v>15</v>
      </c>
      <c r="N3082" s="733" t="s">
        <v>3174</v>
      </c>
      <c r="O3082" s="544"/>
      <c r="P3082" s="544"/>
      <c r="Q3082" s="544"/>
      <c r="R3082" s="422" t="s">
        <v>3159</v>
      </c>
      <c r="S3082" s="421" t="s">
        <v>4417</v>
      </c>
    </row>
    <row r="3083" spans="1:19" x14ac:dyDescent="0.25">
      <c r="A3083" t="s">
        <v>3317</v>
      </c>
      <c r="B3083" s="50" t="s">
        <v>2158</v>
      </c>
      <c r="C3083" s="51"/>
      <c r="D3083" s="349">
        <v>610000004540</v>
      </c>
      <c r="E3083" s="349">
        <f>VLOOKUP(D3083,'[1]Task list &amp; Maintenace plan'!$B:$G,6,FALSE)</f>
        <v>100974</v>
      </c>
      <c r="F3083" s="350" t="s">
        <v>4415</v>
      </c>
      <c r="G3083" s="351" t="s">
        <v>2162</v>
      </c>
      <c r="H3083" s="351" t="s">
        <v>4418</v>
      </c>
      <c r="I3083" s="350">
        <v>30</v>
      </c>
      <c r="J3083" s="737"/>
      <c r="K3083" s="737">
        <v>15</v>
      </c>
      <c r="L3083" s="737">
        <v>1</v>
      </c>
      <c r="M3083" s="737">
        <f t="shared" si="20"/>
        <v>15</v>
      </c>
      <c r="N3083" s="737"/>
      <c r="O3083" s="544"/>
      <c r="P3083" s="544"/>
      <c r="Q3083" s="544"/>
      <c r="R3083" s="414" t="s">
        <v>3159</v>
      </c>
      <c r="S3083" s="350" t="s">
        <v>4417</v>
      </c>
    </row>
    <row r="3084" spans="1:19" x14ac:dyDescent="0.25">
      <c r="A3084" t="s">
        <v>3317</v>
      </c>
      <c r="B3084" s="50" t="s">
        <v>2158</v>
      </c>
      <c r="C3084" s="51"/>
      <c r="D3084" s="343">
        <v>610000004541</v>
      </c>
      <c r="E3084" s="343">
        <f>VLOOKUP(D3084,'[1]Task list &amp; Maintenace plan'!$B:$G,6,FALSE)</f>
        <v>100975</v>
      </c>
      <c r="F3084" s="344" t="s">
        <v>4419</v>
      </c>
      <c r="G3084" s="345" t="s">
        <v>2159</v>
      </c>
      <c r="H3084" s="345" t="s">
        <v>4420</v>
      </c>
      <c r="I3084" s="344">
        <v>30</v>
      </c>
      <c r="J3084" s="733">
        <v>1</v>
      </c>
      <c r="K3084" s="733">
        <v>15</v>
      </c>
      <c r="L3084" s="733">
        <v>1</v>
      </c>
      <c r="M3084" s="733">
        <f t="shared" si="20"/>
        <v>15</v>
      </c>
      <c r="N3084" s="733" t="s">
        <v>20</v>
      </c>
      <c r="O3084" s="544"/>
      <c r="P3084" s="544"/>
      <c r="Q3084" s="544"/>
      <c r="R3084" s="418"/>
      <c r="S3084" s="344"/>
    </row>
    <row r="3085" spans="1:19" x14ac:dyDescent="0.25">
      <c r="A3085" t="s">
        <v>3317</v>
      </c>
      <c r="B3085" s="50" t="s">
        <v>2158</v>
      </c>
      <c r="C3085" s="51"/>
      <c r="D3085" s="346">
        <v>610000004541</v>
      </c>
      <c r="E3085" s="346">
        <f>VLOOKUP(D3085,'[1]Task list &amp; Maintenace plan'!$B:$G,6,FALSE)</f>
        <v>100975</v>
      </c>
      <c r="F3085" s="347" t="s">
        <v>4419</v>
      </c>
      <c r="G3085" s="348" t="s">
        <v>2159</v>
      </c>
      <c r="H3085" s="348" t="s">
        <v>4421</v>
      </c>
      <c r="I3085" s="347">
        <v>30</v>
      </c>
      <c r="J3085" s="736">
        <v>1</v>
      </c>
      <c r="K3085" s="736">
        <v>15</v>
      </c>
      <c r="L3085" s="736">
        <v>1</v>
      </c>
      <c r="M3085" s="736">
        <f t="shared" si="20"/>
        <v>15</v>
      </c>
      <c r="N3085" s="736"/>
      <c r="O3085" s="544"/>
      <c r="P3085" s="544"/>
      <c r="Q3085" s="544"/>
      <c r="R3085" s="413"/>
      <c r="S3085" s="347"/>
    </row>
    <row r="3086" spans="1:19" x14ac:dyDescent="0.25">
      <c r="A3086" t="s">
        <v>3317</v>
      </c>
      <c r="B3086" s="50" t="s">
        <v>2158</v>
      </c>
      <c r="C3086" s="51"/>
      <c r="D3086" s="346">
        <v>610000004541</v>
      </c>
      <c r="E3086" s="346">
        <f>VLOOKUP(D3086,'[1]Task list &amp; Maintenace plan'!$B:$G,6,FALSE)</f>
        <v>100975</v>
      </c>
      <c r="F3086" s="347" t="s">
        <v>4419</v>
      </c>
      <c r="G3086" s="348" t="s">
        <v>2162</v>
      </c>
      <c r="H3086" s="348" t="s">
        <v>4422</v>
      </c>
      <c r="I3086" s="347">
        <v>30</v>
      </c>
      <c r="J3086" s="736">
        <v>1</v>
      </c>
      <c r="K3086" s="736">
        <v>15</v>
      </c>
      <c r="L3086" s="736">
        <v>1</v>
      </c>
      <c r="M3086" s="736">
        <f t="shared" si="20"/>
        <v>15</v>
      </c>
      <c r="N3086" s="736"/>
      <c r="O3086" s="544"/>
      <c r="P3086" s="544"/>
      <c r="Q3086" s="544"/>
      <c r="R3086" s="413"/>
      <c r="S3086" s="347"/>
    </row>
    <row r="3087" spans="1:19" x14ac:dyDescent="0.25">
      <c r="A3087" t="s">
        <v>3317</v>
      </c>
      <c r="B3087" s="50" t="s">
        <v>2158</v>
      </c>
      <c r="C3087" s="51"/>
      <c r="D3087" s="346">
        <v>610000004541</v>
      </c>
      <c r="E3087" s="346">
        <f>VLOOKUP(D3087,'[1]Task list &amp; Maintenace plan'!$B:$G,6,FALSE)</f>
        <v>100975</v>
      </c>
      <c r="F3087" s="347" t="s">
        <v>4419</v>
      </c>
      <c r="G3087" s="348" t="s">
        <v>2162</v>
      </c>
      <c r="H3087" s="348" t="s">
        <v>4423</v>
      </c>
      <c r="I3087" s="347">
        <v>30</v>
      </c>
      <c r="J3087" s="736">
        <v>1</v>
      </c>
      <c r="K3087" s="736">
        <v>15</v>
      </c>
      <c r="L3087" s="736">
        <v>1</v>
      </c>
      <c r="M3087" s="736">
        <f t="shared" si="20"/>
        <v>15</v>
      </c>
      <c r="N3087" s="736"/>
      <c r="O3087" s="544"/>
      <c r="P3087" s="544"/>
      <c r="Q3087" s="544"/>
      <c r="R3087" s="413"/>
      <c r="S3087" s="347"/>
    </row>
    <row r="3088" spans="1:19" x14ac:dyDescent="0.25">
      <c r="A3088" t="s">
        <v>3317</v>
      </c>
      <c r="B3088" s="50" t="s">
        <v>2158</v>
      </c>
      <c r="C3088" s="51"/>
      <c r="D3088" s="349">
        <v>610000004541</v>
      </c>
      <c r="E3088" s="349">
        <f>VLOOKUP(D3088,'[1]Task list &amp; Maintenace plan'!$B:$G,6,FALSE)</f>
        <v>100975</v>
      </c>
      <c r="F3088" s="350" t="s">
        <v>4419</v>
      </c>
      <c r="G3088" s="351" t="s">
        <v>2162</v>
      </c>
      <c r="H3088" s="351" t="s">
        <v>4424</v>
      </c>
      <c r="I3088" s="350">
        <v>30</v>
      </c>
      <c r="J3088" s="737">
        <v>1</v>
      </c>
      <c r="K3088" s="737">
        <v>15</v>
      </c>
      <c r="L3088" s="737">
        <v>1</v>
      </c>
      <c r="M3088" s="737">
        <f t="shared" si="20"/>
        <v>15</v>
      </c>
      <c r="N3088" s="737"/>
      <c r="O3088" s="544"/>
      <c r="P3088" s="544"/>
      <c r="Q3088" s="544"/>
      <c r="R3088" s="414"/>
      <c r="S3088" s="350"/>
    </row>
    <row r="3089" spans="1:19" x14ac:dyDescent="0.25">
      <c r="A3089" t="s">
        <v>3317</v>
      </c>
      <c r="B3089" s="50" t="s">
        <v>2158</v>
      </c>
      <c r="C3089" s="51"/>
      <c r="D3089" s="343">
        <v>610000004542</v>
      </c>
      <c r="E3089" s="343">
        <f>VLOOKUP(D3089,'[1]Task list &amp; Maintenace plan'!$B:$G,6,FALSE)</f>
        <v>100976</v>
      </c>
      <c r="F3089" s="344" t="s">
        <v>4425</v>
      </c>
      <c r="G3089" s="345" t="s">
        <v>2159</v>
      </c>
      <c r="H3089" s="345" t="s">
        <v>4426</v>
      </c>
      <c r="I3089" s="344">
        <v>180</v>
      </c>
      <c r="J3089" s="733">
        <v>1</v>
      </c>
      <c r="K3089" s="733">
        <v>60</v>
      </c>
      <c r="L3089" s="733">
        <v>2</v>
      </c>
      <c r="M3089" s="733">
        <f t="shared" si="20"/>
        <v>120</v>
      </c>
      <c r="N3089" s="733" t="s">
        <v>3174</v>
      </c>
      <c r="O3089" s="544"/>
      <c r="P3089" s="544"/>
      <c r="Q3089" s="544"/>
      <c r="R3089" s="418" t="s">
        <v>4364</v>
      </c>
      <c r="S3089" s="344" t="s">
        <v>4427</v>
      </c>
    </row>
    <row r="3090" spans="1:19" x14ac:dyDescent="0.25">
      <c r="A3090" t="s">
        <v>3317</v>
      </c>
      <c r="B3090" s="50" t="s">
        <v>2158</v>
      </c>
      <c r="C3090" s="51"/>
      <c r="D3090" s="346">
        <v>610000004542</v>
      </c>
      <c r="E3090" s="346">
        <f>VLOOKUP(D3090,'[1]Task list &amp; Maintenace plan'!$B:$G,6,FALSE)</f>
        <v>100976</v>
      </c>
      <c r="F3090" s="347" t="s">
        <v>4425</v>
      </c>
      <c r="G3090" s="348" t="s">
        <v>2162</v>
      </c>
      <c r="H3090" s="348" t="s">
        <v>4428</v>
      </c>
      <c r="I3090" s="347">
        <v>180</v>
      </c>
      <c r="J3090" s="736">
        <v>1</v>
      </c>
      <c r="K3090" s="736">
        <v>60</v>
      </c>
      <c r="L3090" s="736">
        <v>2</v>
      </c>
      <c r="M3090" s="736">
        <f t="shared" si="20"/>
        <v>120</v>
      </c>
      <c r="N3090" s="736"/>
      <c r="O3090" s="544"/>
      <c r="P3090" s="544"/>
      <c r="Q3090" s="544"/>
      <c r="R3090" s="413" t="s">
        <v>4364</v>
      </c>
      <c r="S3090" s="347" t="s">
        <v>4429</v>
      </c>
    </row>
    <row r="3091" spans="1:19" ht="15.75" thickBot="1" x14ac:dyDescent="0.3">
      <c r="A3091" t="s">
        <v>3317</v>
      </c>
      <c r="B3091" s="50" t="s">
        <v>2158</v>
      </c>
      <c r="C3091" s="214"/>
      <c r="D3091" s="466">
        <v>610000004542</v>
      </c>
      <c r="E3091" s="466">
        <f>VLOOKUP(D3091,'[1]Task list &amp; Maintenace plan'!$B:$G,6,FALSE)</f>
        <v>100976</v>
      </c>
      <c r="F3091" s="467" t="s">
        <v>4425</v>
      </c>
      <c r="G3091" s="468" t="s">
        <v>2162</v>
      </c>
      <c r="H3091" s="468" t="s">
        <v>4430</v>
      </c>
      <c r="I3091" s="467">
        <v>180</v>
      </c>
      <c r="J3091" s="738">
        <v>1</v>
      </c>
      <c r="K3091" s="738">
        <v>60</v>
      </c>
      <c r="L3091" s="738">
        <v>2</v>
      </c>
      <c r="M3091" s="738">
        <f t="shared" si="20"/>
        <v>120</v>
      </c>
      <c r="N3091" s="738"/>
      <c r="O3091" s="544"/>
      <c r="P3091" s="544"/>
      <c r="Q3091" s="544"/>
      <c r="R3091" s="543" t="s">
        <v>4364</v>
      </c>
      <c r="S3091" s="467" t="s">
        <v>4431</v>
      </c>
    </row>
    <row r="3092" spans="1:19" x14ac:dyDescent="0.25">
      <c r="A3092" t="s">
        <v>3317</v>
      </c>
      <c r="B3092" s="50" t="s">
        <v>2173</v>
      </c>
      <c r="C3092" s="51"/>
      <c r="D3092" s="346">
        <v>610000004543</v>
      </c>
      <c r="E3092" s="346">
        <f>VLOOKUP(D3092,'[1]Task list &amp; Maintenace plan'!$B:$G,6,FALSE)</f>
        <v>100977</v>
      </c>
      <c r="F3092" s="347" t="s">
        <v>4432</v>
      </c>
      <c r="G3092" s="348" t="s">
        <v>620</v>
      </c>
      <c r="H3092" s="348" t="s">
        <v>4433</v>
      </c>
      <c r="I3092" s="347">
        <v>7</v>
      </c>
      <c r="J3092" s="739">
        <v>1</v>
      </c>
      <c r="K3092" s="739">
        <v>15</v>
      </c>
      <c r="L3092" s="739">
        <v>1</v>
      </c>
      <c r="M3092" s="739">
        <f t="shared" si="20"/>
        <v>15</v>
      </c>
      <c r="N3092" s="739" t="s">
        <v>34</v>
      </c>
      <c r="O3092" s="544"/>
      <c r="P3092" s="544"/>
      <c r="Q3092" s="544"/>
      <c r="R3092" s="413"/>
      <c r="S3092" s="347"/>
    </row>
    <row r="3093" spans="1:19" x14ac:dyDescent="0.25">
      <c r="A3093" t="s">
        <v>3317</v>
      </c>
      <c r="B3093" s="50" t="s">
        <v>2173</v>
      </c>
      <c r="C3093" s="51"/>
      <c r="D3093" s="349">
        <v>610000004543</v>
      </c>
      <c r="E3093" s="349">
        <f>VLOOKUP(D3093,'[1]Task list &amp; Maintenace plan'!$B:$G,6,FALSE)</f>
        <v>100977</v>
      </c>
      <c r="F3093" s="350" t="s">
        <v>4432</v>
      </c>
      <c r="G3093" s="351" t="s">
        <v>2195</v>
      </c>
      <c r="H3093" s="351" t="s">
        <v>4434</v>
      </c>
      <c r="I3093" s="350">
        <v>7</v>
      </c>
      <c r="J3093" s="737">
        <v>1</v>
      </c>
      <c r="K3093" s="737">
        <v>15</v>
      </c>
      <c r="L3093" s="737">
        <v>1</v>
      </c>
      <c r="M3093" s="737">
        <f t="shared" si="20"/>
        <v>15</v>
      </c>
      <c r="N3093" s="737"/>
      <c r="O3093" s="544"/>
      <c r="P3093" s="544"/>
      <c r="Q3093" s="544"/>
      <c r="R3093" s="414"/>
      <c r="S3093" s="350"/>
    </row>
    <row r="3094" spans="1:19" x14ac:dyDescent="0.25">
      <c r="A3094" t="s">
        <v>3317</v>
      </c>
      <c r="B3094" s="50" t="s">
        <v>2173</v>
      </c>
      <c r="C3094" s="51"/>
      <c r="D3094" s="343">
        <v>610000004544</v>
      </c>
      <c r="E3094" s="343">
        <f>VLOOKUP(D3094,'[1]Task list &amp; Maintenace plan'!$B:$G,6,FALSE)</f>
        <v>100978</v>
      </c>
      <c r="F3094" s="344" t="s">
        <v>4436</v>
      </c>
      <c r="G3094" s="345" t="s">
        <v>4435</v>
      </c>
      <c r="H3094" s="345" t="s">
        <v>4437</v>
      </c>
      <c r="I3094" s="344">
        <v>15</v>
      </c>
      <c r="J3094" s="733"/>
      <c r="K3094" s="733">
        <v>20</v>
      </c>
      <c r="L3094" s="733">
        <v>1</v>
      </c>
      <c r="M3094" s="733">
        <f t="shared" si="20"/>
        <v>20</v>
      </c>
      <c r="N3094" s="733" t="s">
        <v>20</v>
      </c>
      <c r="O3094" s="544"/>
      <c r="P3094" s="544"/>
      <c r="Q3094" s="544"/>
      <c r="R3094" s="418"/>
      <c r="S3094" s="344"/>
    </row>
    <row r="3095" spans="1:19" x14ac:dyDescent="0.25">
      <c r="A3095" t="s">
        <v>3317</v>
      </c>
      <c r="B3095" s="50" t="s">
        <v>2173</v>
      </c>
      <c r="C3095" s="51"/>
      <c r="D3095" s="346">
        <v>610000004544</v>
      </c>
      <c r="E3095" s="346">
        <f>VLOOKUP(D3095,'[1]Task list &amp; Maintenace plan'!$B:$G,6,FALSE)</f>
        <v>100978</v>
      </c>
      <c r="F3095" s="347" t="s">
        <v>4436</v>
      </c>
      <c r="G3095" s="348" t="s">
        <v>2181</v>
      </c>
      <c r="H3095" s="348" t="s">
        <v>4438</v>
      </c>
      <c r="I3095" s="347">
        <v>15</v>
      </c>
      <c r="J3095" s="736"/>
      <c r="K3095" s="736">
        <v>20</v>
      </c>
      <c r="L3095" s="736">
        <v>1</v>
      </c>
      <c r="M3095" s="736">
        <f t="shared" si="20"/>
        <v>20</v>
      </c>
      <c r="N3095" s="736"/>
      <c r="O3095" s="544"/>
      <c r="P3095" s="544"/>
      <c r="Q3095" s="544"/>
      <c r="R3095" s="413"/>
      <c r="S3095" s="347"/>
    </row>
    <row r="3096" spans="1:19" x14ac:dyDescent="0.25">
      <c r="A3096" t="s">
        <v>3317</v>
      </c>
      <c r="B3096" s="50" t="s">
        <v>2173</v>
      </c>
      <c r="C3096" s="51"/>
      <c r="D3096" s="346">
        <v>610000004544</v>
      </c>
      <c r="E3096" s="346">
        <f>VLOOKUP(D3096,'[1]Task list &amp; Maintenace plan'!$B:$G,6,FALSE)</f>
        <v>100978</v>
      </c>
      <c r="F3096" s="347" t="s">
        <v>4436</v>
      </c>
      <c r="G3096" s="348" t="s">
        <v>2185</v>
      </c>
      <c r="H3096" s="348" t="s">
        <v>4439</v>
      </c>
      <c r="I3096" s="347">
        <v>15</v>
      </c>
      <c r="J3096" s="736"/>
      <c r="K3096" s="736">
        <v>20</v>
      </c>
      <c r="L3096" s="736">
        <v>1</v>
      </c>
      <c r="M3096" s="736">
        <f t="shared" si="20"/>
        <v>20</v>
      </c>
      <c r="N3096" s="736"/>
      <c r="O3096" s="544"/>
      <c r="P3096" s="544"/>
      <c r="Q3096" s="544"/>
      <c r="R3096" s="413"/>
      <c r="S3096" s="347"/>
    </row>
    <row r="3097" spans="1:19" x14ac:dyDescent="0.25">
      <c r="A3097" t="s">
        <v>3317</v>
      </c>
      <c r="B3097" s="50" t="s">
        <v>2173</v>
      </c>
      <c r="C3097" s="51"/>
      <c r="D3097" s="346">
        <v>610000004544</v>
      </c>
      <c r="E3097" s="346">
        <f>VLOOKUP(D3097,'[1]Task list &amp; Maintenace plan'!$B:$G,6,FALSE)</f>
        <v>100978</v>
      </c>
      <c r="F3097" s="347" t="s">
        <v>4436</v>
      </c>
      <c r="G3097" s="348" t="s">
        <v>2189</v>
      </c>
      <c r="H3097" s="348" t="s">
        <v>4440</v>
      </c>
      <c r="I3097" s="347">
        <v>15</v>
      </c>
      <c r="J3097" s="736"/>
      <c r="K3097" s="736">
        <v>20</v>
      </c>
      <c r="L3097" s="736">
        <v>1</v>
      </c>
      <c r="M3097" s="736">
        <f t="shared" si="20"/>
        <v>20</v>
      </c>
      <c r="N3097" s="736"/>
      <c r="O3097" s="544"/>
      <c r="P3097" s="544"/>
      <c r="Q3097" s="544"/>
      <c r="R3097" s="413"/>
      <c r="S3097" s="347"/>
    </row>
    <row r="3098" spans="1:19" x14ac:dyDescent="0.25">
      <c r="A3098" t="s">
        <v>3317</v>
      </c>
      <c r="B3098" s="50" t="s">
        <v>2173</v>
      </c>
      <c r="C3098" s="51"/>
      <c r="D3098" s="346">
        <v>610000004544</v>
      </c>
      <c r="E3098" s="346">
        <f>VLOOKUP(D3098,'[1]Task list &amp; Maintenace plan'!$B:$G,6,FALSE)</f>
        <v>100978</v>
      </c>
      <c r="F3098" s="347" t="s">
        <v>4436</v>
      </c>
      <c r="G3098" s="348" t="s">
        <v>620</v>
      </c>
      <c r="H3098" s="348" t="s">
        <v>4441</v>
      </c>
      <c r="I3098" s="347">
        <v>15</v>
      </c>
      <c r="J3098" s="736"/>
      <c r="K3098" s="736">
        <v>20</v>
      </c>
      <c r="L3098" s="736">
        <v>1</v>
      </c>
      <c r="M3098" s="736">
        <f t="shared" si="20"/>
        <v>20</v>
      </c>
      <c r="N3098" s="736"/>
      <c r="O3098" s="544"/>
      <c r="P3098" s="544"/>
      <c r="Q3098" s="544"/>
      <c r="R3098" s="413"/>
      <c r="S3098" s="347"/>
    </row>
    <row r="3099" spans="1:19" x14ac:dyDescent="0.25">
      <c r="A3099" t="s">
        <v>3317</v>
      </c>
      <c r="B3099" s="50" t="s">
        <v>2173</v>
      </c>
      <c r="C3099" s="51"/>
      <c r="D3099" s="346">
        <v>610000004544</v>
      </c>
      <c r="E3099" s="346">
        <f>VLOOKUP(D3099,'[1]Task list &amp; Maintenace plan'!$B:$G,6,FALSE)</f>
        <v>100978</v>
      </c>
      <c r="F3099" s="347" t="s">
        <v>4436</v>
      </c>
      <c r="G3099" s="348" t="s">
        <v>2195</v>
      </c>
      <c r="H3099" s="348" t="s">
        <v>4442</v>
      </c>
      <c r="I3099" s="347">
        <v>15</v>
      </c>
      <c r="J3099" s="736"/>
      <c r="K3099" s="736">
        <v>20</v>
      </c>
      <c r="L3099" s="736">
        <v>1</v>
      </c>
      <c r="M3099" s="736">
        <f t="shared" si="20"/>
        <v>20</v>
      </c>
      <c r="N3099" s="736"/>
      <c r="O3099" s="544"/>
      <c r="P3099" s="544"/>
      <c r="Q3099" s="544"/>
      <c r="R3099" s="413"/>
      <c r="S3099" s="347"/>
    </row>
    <row r="3100" spans="1:19" x14ac:dyDescent="0.25">
      <c r="A3100" t="s">
        <v>3317</v>
      </c>
      <c r="B3100" s="50" t="s">
        <v>2173</v>
      </c>
      <c r="C3100" s="51"/>
      <c r="D3100" s="346">
        <v>610000004544</v>
      </c>
      <c r="E3100" s="346">
        <f>VLOOKUP(D3100,'[1]Task list &amp; Maintenace plan'!$B:$G,6,FALSE)</f>
        <v>100978</v>
      </c>
      <c r="F3100" s="347" t="s">
        <v>4436</v>
      </c>
      <c r="G3100" s="348" t="s">
        <v>2195</v>
      </c>
      <c r="H3100" s="348" t="s">
        <v>4443</v>
      </c>
      <c r="I3100" s="347">
        <v>15</v>
      </c>
      <c r="J3100" s="736"/>
      <c r="K3100" s="736">
        <v>20</v>
      </c>
      <c r="L3100" s="736">
        <v>1</v>
      </c>
      <c r="M3100" s="736">
        <f t="shared" si="20"/>
        <v>20</v>
      </c>
      <c r="N3100" s="736"/>
      <c r="O3100" s="544"/>
      <c r="P3100" s="544"/>
      <c r="Q3100" s="544"/>
      <c r="R3100" s="413"/>
      <c r="S3100" s="347"/>
    </row>
    <row r="3101" spans="1:19" x14ac:dyDescent="0.25">
      <c r="A3101" t="s">
        <v>3317</v>
      </c>
      <c r="B3101" s="50" t="s">
        <v>2173</v>
      </c>
      <c r="C3101" s="51"/>
      <c r="D3101" s="349">
        <v>610000004544</v>
      </c>
      <c r="E3101" s="349">
        <f>VLOOKUP(D3101,'[1]Task list &amp; Maintenace plan'!$B:$G,6,FALSE)</f>
        <v>100978</v>
      </c>
      <c r="F3101" s="350" t="s">
        <v>4436</v>
      </c>
      <c r="G3101" s="351" t="s">
        <v>2238</v>
      </c>
      <c r="H3101" s="351" t="s">
        <v>4444</v>
      </c>
      <c r="I3101" s="350">
        <v>15</v>
      </c>
      <c r="J3101" s="737"/>
      <c r="K3101" s="737">
        <v>20</v>
      </c>
      <c r="L3101" s="737">
        <v>1</v>
      </c>
      <c r="M3101" s="737">
        <f t="shared" si="20"/>
        <v>20</v>
      </c>
      <c r="N3101" s="737"/>
      <c r="O3101" s="544"/>
      <c r="P3101" s="544"/>
      <c r="Q3101" s="544"/>
      <c r="R3101" s="414"/>
      <c r="S3101" s="350"/>
    </row>
    <row r="3102" spans="1:19" x14ac:dyDescent="0.25">
      <c r="A3102" t="s">
        <v>3317</v>
      </c>
      <c r="B3102" s="50" t="s">
        <v>2173</v>
      </c>
      <c r="C3102" s="51"/>
      <c r="D3102" s="343">
        <v>610000004545</v>
      </c>
      <c r="E3102" s="343">
        <f>VLOOKUP(D3102,'[1]Task list &amp; Maintenace plan'!$B:$G,6,FALSE)</f>
        <v>100979</v>
      </c>
      <c r="F3102" s="344" t="s">
        <v>4445</v>
      </c>
      <c r="G3102" s="348" t="s">
        <v>2238</v>
      </c>
      <c r="H3102" s="348" t="s">
        <v>4446</v>
      </c>
      <c r="I3102" s="347">
        <v>30</v>
      </c>
      <c r="J3102" s="733"/>
      <c r="K3102" s="733">
        <v>30</v>
      </c>
      <c r="L3102" s="733">
        <v>2</v>
      </c>
      <c r="M3102" s="733">
        <f t="shared" si="20"/>
        <v>60</v>
      </c>
      <c r="N3102" s="733" t="s">
        <v>3174</v>
      </c>
      <c r="O3102" s="544"/>
      <c r="P3102" s="544"/>
      <c r="Q3102" s="544"/>
      <c r="R3102" s="413" t="s">
        <v>3159</v>
      </c>
      <c r="S3102" s="347" t="s">
        <v>4417</v>
      </c>
    </row>
    <row r="3103" spans="1:19" x14ac:dyDescent="0.25">
      <c r="A3103" t="s">
        <v>3317</v>
      </c>
      <c r="B3103" s="50" t="s">
        <v>2173</v>
      </c>
      <c r="C3103" s="51"/>
      <c r="D3103" s="346">
        <v>610000004545</v>
      </c>
      <c r="E3103" s="346">
        <f>VLOOKUP(D3103,'[1]Task list &amp; Maintenace plan'!$B:$G,6,FALSE)</f>
        <v>100979</v>
      </c>
      <c r="F3103" s="347" t="s">
        <v>4445</v>
      </c>
      <c r="G3103" s="348" t="s">
        <v>2238</v>
      </c>
      <c r="H3103" s="348" t="s">
        <v>4447</v>
      </c>
      <c r="I3103" s="347">
        <v>30</v>
      </c>
      <c r="J3103" s="736"/>
      <c r="K3103" s="736">
        <v>30</v>
      </c>
      <c r="L3103" s="736">
        <v>2</v>
      </c>
      <c r="M3103" s="736">
        <f t="shared" si="20"/>
        <v>60</v>
      </c>
      <c r="N3103" s="736"/>
      <c r="O3103" s="544"/>
      <c r="P3103" s="544"/>
      <c r="Q3103" s="544"/>
      <c r="R3103" s="413"/>
      <c r="S3103" s="347"/>
    </row>
    <row r="3104" spans="1:19" x14ac:dyDescent="0.25">
      <c r="A3104" t="s">
        <v>3317</v>
      </c>
      <c r="B3104" s="50" t="s">
        <v>2173</v>
      </c>
      <c r="C3104" s="51"/>
      <c r="D3104" s="346">
        <v>610000004545</v>
      </c>
      <c r="E3104" s="346">
        <f>VLOOKUP(D3104,'[1]Task list &amp; Maintenace plan'!$B:$G,6,FALSE)</f>
        <v>100979</v>
      </c>
      <c r="F3104" s="347" t="s">
        <v>4445</v>
      </c>
      <c r="G3104" s="348" t="s">
        <v>2238</v>
      </c>
      <c r="H3104" s="348" t="s">
        <v>4448</v>
      </c>
      <c r="I3104" s="347">
        <v>30</v>
      </c>
      <c r="J3104" s="736"/>
      <c r="K3104" s="736">
        <v>30</v>
      </c>
      <c r="L3104" s="736">
        <v>2</v>
      </c>
      <c r="M3104" s="736">
        <f t="shared" si="20"/>
        <v>60</v>
      </c>
      <c r="N3104" s="736"/>
      <c r="O3104" s="544"/>
      <c r="P3104" s="544"/>
      <c r="Q3104" s="544"/>
      <c r="R3104" s="413"/>
      <c r="S3104" s="347"/>
    </row>
    <row r="3105" spans="1:19" x14ac:dyDescent="0.25">
      <c r="A3105" t="s">
        <v>3317</v>
      </c>
      <c r="B3105" s="50" t="s">
        <v>2173</v>
      </c>
      <c r="C3105" s="51"/>
      <c r="D3105" s="346">
        <v>610000004545</v>
      </c>
      <c r="E3105" s="346">
        <f>VLOOKUP(D3105,'[1]Task list &amp; Maintenace plan'!$B:$G,6,FALSE)</f>
        <v>100979</v>
      </c>
      <c r="F3105" s="347" t="s">
        <v>4445</v>
      </c>
      <c r="G3105" s="348" t="s">
        <v>2238</v>
      </c>
      <c r="H3105" s="348" t="s">
        <v>4449</v>
      </c>
      <c r="I3105" s="347">
        <v>30</v>
      </c>
      <c r="J3105" s="736"/>
      <c r="K3105" s="736">
        <v>30</v>
      </c>
      <c r="L3105" s="736">
        <v>2</v>
      </c>
      <c r="M3105" s="736">
        <f t="shared" si="20"/>
        <v>60</v>
      </c>
      <c r="N3105" s="736"/>
      <c r="O3105" s="544"/>
      <c r="P3105" s="544"/>
      <c r="Q3105" s="544"/>
      <c r="R3105" s="413"/>
      <c r="S3105" s="347"/>
    </row>
    <row r="3106" spans="1:19" x14ac:dyDescent="0.25">
      <c r="A3106" t="s">
        <v>3317</v>
      </c>
      <c r="B3106" s="50" t="s">
        <v>2173</v>
      </c>
      <c r="C3106" s="51"/>
      <c r="D3106" s="343">
        <v>610000004545</v>
      </c>
      <c r="E3106" s="343">
        <f>VLOOKUP(D3106,'[1]Task list &amp; Maintenace plan'!$B:$G,6,FALSE)</f>
        <v>100979</v>
      </c>
      <c r="F3106" s="344" t="s">
        <v>4445</v>
      </c>
      <c r="G3106" s="345" t="s">
        <v>4435</v>
      </c>
      <c r="H3106" s="345" t="s">
        <v>4450</v>
      </c>
      <c r="I3106" s="344">
        <v>30</v>
      </c>
      <c r="J3106" s="736"/>
      <c r="K3106" s="736">
        <v>30</v>
      </c>
      <c r="L3106" s="736">
        <v>2</v>
      </c>
      <c r="M3106" s="736">
        <f t="shared" si="20"/>
        <v>60</v>
      </c>
      <c r="N3106" s="736"/>
      <c r="O3106" s="544"/>
      <c r="P3106" s="544"/>
      <c r="Q3106" s="544"/>
      <c r="R3106" s="418"/>
      <c r="S3106" s="344"/>
    </row>
    <row r="3107" spans="1:19" x14ac:dyDescent="0.25">
      <c r="A3107" t="s">
        <v>3317</v>
      </c>
      <c r="B3107" s="50" t="s">
        <v>2173</v>
      </c>
      <c r="C3107" s="51"/>
      <c r="D3107" s="346">
        <v>610000004545</v>
      </c>
      <c r="E3107" s="346">
        <f>VLOOKUP(D3107,'[1]Task list &amp; Maintenace plan'!$B:$G,6,FALSE)</f>
        <v>100979</v>
      </c>
      <c r="F3107" s="347" t="s">
        <v>4445</v>
      </c>
      <c r="G3107" s="348" t="s">
        <v>4435</v>
      </c>
      <c r="H3107" s="348" t="s">
        <v>4451</v>
      </c>
      <c r="I3107" s="347">
        <v>30</v>
      </c>
      <c r="J3107" s="736"/>
      <c r="K3107" s="736">
        <v>30</v>
      </c>
      <c r="L3107" s="736">
        <v>2</v>
      </c>
      <c r="M3107" s="736">
        <f t="shared" si="20"/>
        <v>60</v>
      </c>
      <c r="N3107" s="736"/>
      <c r="O3107" s="544"/>
      <c r="P3107" s="544"/>
      <c r="Q3107" s="544"/>
      <c r="R3107" s="413"/>
      <c r="S3107" s="347"/>
    </row>
    <row r="3108" spans="1:19" x14ac:dyDescent="0.25">
      <c r="A3108" t="s">
        <v>3317</v>
      </c>
      <c r="B3108" s="50" t="s">
        <v>2173</v>
      </c>
      <c r="C3108" s="51"/>
      <c r="D3108" s="346">
        <v>610000004545</v>
      </c>
      <c r="E3108" s="346">
        <f>VLOOKUP(D3108,'[1]Task list &amp; Maintenace plan'!$B:$G,6,FALSE)</f>
        <v>100979</v>
      </c>
      <c r="F3108" s="347" t="s">
        <v>4445</v>
      </c>
      <c r="G3108" s="348" t="s">
        <v>4435</v>
      </c>
      <c r="H3108" s="348" t="s">
        <v>4452</v>
      </c>
      <c r="I3108" s="347">
        <v>30</v>
      </c>
      <c r="J3108" s="736"/>
      <c r="K3108" s="736">
        <v>30</v>
      </c>
      <c r="L3108" s="736">
        <v>2</v>
      </c>
      <c r="M3108" s="736">
        <f t="shared" si="20"/>
        <v>60</v>
      </c>
      <c r="N3108" s="736"/>
      <c r="O3108" s="544"/>
      <c r="P3108" s="544"/>
      <c r="Q3108" s="544"/>
      <c r="R3108" s="413"/>
      <c r="S3108" s="347"/>
    </row>
    <row r="3109" spans="1:19" x14ac:dyDescent="0.25">
      <c r="A3109" t="s">
        <v>3317</v>
      </c>
      <c r="B3109" s="50" t="s">
        <v>2173</v>
      </c>
      <c r="C3109" s="51"/>
      <c r="D3109" s="346">
        <v>610000004545</v>
      </c>
      <c r="E3109" s="346">
        <f>VLOOKUP(D3109,'[1]Task list &amp; Maintenace plan'!$B:$G,6,FALSE)</f>
        <v>100979</v>
      </c>
      <c r="F3109" s="347" t="s">
        <v>4445</v>
      </c>
      <c r="G3109" s="348" t="s">
        <v>2183</v>
      </c>
      <c r="H3109" s="348" t="s">
        <v>4453</v>
      </c>
      <c r="I3109" s="347">
        <v>30</v>
      </c>
      <c r="J3109" s="736"/>
      <c r="K3109" s="736">
        <v>30</v>
      </c>
      <c r="L3109" s="736">
        <v>2</v>
      </c>
      <c r="M3109" s="736">
        <f t="shared" si="20"/>
        <v>60</v>
      </c>
      <c r="N3109" s="736"/>
      <c r="O3109" s="544"/>
      <c r="P3109" s="544"/>
      <c r="Q3109" s="544"/>
      <c r="R3109" s="413"/>
      <c r="S3109" s="347"/>
    </row>
    <row r="3110" spans="1:19" x14ac:dyDescent="0.25">
      <c r="A3110" t="s">
        <v>3317</v>
      </c>
      <c r="B3110" s="50" t="s">
        <v>2173</v>
      </c>
      <c r="C3110" s="51"/>
      <c r="D3110" s="346">
        <v>610000004545</v>
      </c>
      <c r="E3110" s="346">
        <f>VLOOKUP(D3110,'[1]Task list &amp; Maintenace plan'!$B:$G,6,FALSE)</f>
        <v>100979</v>
      </c>
      <c r="F3110" s="347" t="s">
        <v>4445</v>
      </c>
      <c r="G3110" s="348" t="s">
        <v>2183</v>
      </c>
      <c r="H3110" s="348" t="s">
        <v>4454</v>
      </c>
      <c r="I3110" s="347">
        <v>30</v>
      </c>
      <c r="J3110" s="736"/>
      <c r="K3110" s="736">
        <v>30</v>
      </c>
      <c r="L3110" s="736">
        <v>2</v>
      </c>
      <c r="M3110" s="736">
        <f t="shared" si="20"/>
        <v>60</v>
      </c>
      <c r="N3110" s="736"/>
      <c r="O3110" s="544"/>
      <c r="P3110" s="544"/>
      <c r="Q3110" s="544"/>
      <c r="R3110" s="413"/>
      <c r="S3110" s="347"/>
    </row>
    <row r="3111" spans="1:19" x14ac:dyDescent="0.25">
      <c r="A3111" t="s">
        <v>3317</v>
      </c>
      <c r="B3111" s="50" t="s">
        <v>2173</v>
      </c>
      <c r="C3111" s="51"/>
      <c r="D3111" s="346">
        <v>610000004545</v>
      </c>
      <c r="E3111" s="346">
        <f>VLOOKUP(D3111,'[1]Task list &amp; Maintenace plan'!$B:$G,6,FALSE)</f>
        <v>100979</v>
      </c>
      <c r="F3111" s="347" t="s">
        <v>4445</v>
      </c>
      <c r="G3111" s="348" t="s">
        <v>2183</v>
      </c>
      <c r="H3111" s="348" t="s">
        <v>4449</v>
      </c>
      <c r="I3111" s="347">
        <v>30</v>
      </c>
      <c r="J3111" s="736"/>
      <c r="K3111" s="736">
        <v>30</v>
      </c>
      <c r="L3111" s="736">
        <v>2</v>
      </c>
      <c r="M3111" s="736">
        <f t="shared" si="20"/>
        <v>60</v>
      </c>
      <c r="N3111" s="736"/>
      <c r="O3111" s="544"/>
      <c r="P3111" s="544"/>
      <c r="Q3111" s="544"/>
      <c r="R3111" s="413"/>
      <c r="S3111" s="347"/>
    </row>
    <row r="3112" spans="1:19" x14ac:dyDescent="0.25">
      <c r="A3112" t="s">
        <v>3317</v>
      </c>
      <c r="B3112" s="50" t="s">
        <v>2173</v>
      </c>
      <c r="C3112" s="51"/>
      <c r="D3112" s="346">
        <v>610000004545</v>
      </c>
      <c r="E3112" s="346">
        <f>VLOOKUP(D3112,'[1]Task list &amp; Maintenace plan'!$B:$G,6,FALSE)</f>
        <v>100979</v>
      </c>
      <c r="F3112" s="347" t="s">
        <v>4445</v>
      </c>
      <c r="G3112" s="348" t="s">
        <v>2185</v>
      </c>
      <c r="H3112" s="348" t="s">
        <v>4455</v>
      </c>
      <c r="I3112" s="347">
        <v>30</v>
      </c>
      <c r="J3112" s="736"/>
      <c r="K3112" s="736">
        <v>30</v>
      </c>
      <c r="L3112" s="736">
        <v>2</v>
      </c>
      <c r="M3112" s="736">
        <f t="shared" si="20"/>
        <v>60</v>
      </c>
      <c r="N3112" s="736"/>
      <c r="O3112" s="544"/>
      <c r="P3112" s="544"/>
      <c r="Q3112" s="544"/>
      <c r="R3112" s="413"/>
      <c r="S3112" s="347"/>
    </row>
    <row r="3113" spans="1:19" x14ac:dyDescent="0.25">
      <c r="A3113" t="s">
        <v>3317</v>
      </c>
      <c r="B3113" s="50" t="s">
        <v>2173</v>
      </c>
      <c r="C3113" s="51"/>
      <c r="D3113" s="346">
        <v>610000004545</v>
      </c>
      <c r="E3113" s="346">
        <f>VLOOKUP(D3113,'[1]Task list &amp; Maintenace plan'!$B:$G,6,FALSE)</f>
        <v>100979</v>
      </c>
      <c r="F3113" s="347" t="s">
        <v>4445</v>
      </c>
      <c r="G3113" s="348" t="s">
        <v>2185</v>
      </c>
      <c r="H3113" s="348" t="s">
        <v>4456</v>
      </c>
      <c r="I3113" s="347">
        <v>30</v>
      </c>
      <c r="J3113" s="736"/>
      <c r="K3113" s="736">
        <v>30</v>
      </c>
      <c r="L3113" s="736">
        <v>2</v>
      </c>
      <c r="M3113" s="736">
        <f t="shared" si="20"/>
        <v>60</v>
      </c>
      <c r="N3113" s="736"/>
      <c r="O3113" s="544"/>
      <c r="P3113" s="544"/>
      <c r="Q3113" s="544"/>
      <c r="R3113" s="413"/>
      <c r="S3113" s="347"/>
    </row>
    <row r="3114" spans="1:19" x14ac:dyDescent="0.25">
      <c r="A3114" t="s">
        <v>3317</v>
      </c>
      <c r="B3114" s="50" t="s">
        <v>2173</v>
      </c>
      <c r="C3114" s="51"/>
      <c r="D3114" s="346">
        <v>610000004545</v>
      </c>
      <c r="E3114" s="346">
        <f>VLOOKUP(D3114,'[1]Task list &amp; Maintenace plan'!$B:$G,6,FALSE)</f>
        <v>100979</v>
      </c>
      <c r="F3114" s="347" t="s">
        <v>4445</v>
      </c>
      <c r="G3114" s="348" t="s">
        <v>2185</v>
      </c>
      <c r="H3114" s="348" t="s">
        <v>4457</v>
      </c>
      <c r="I3114" s="347">
        <v>30</v>
      </c>
      <c r="J3114" s="736"/>
      <c r="K3114" s="736">
        <v>30</v>
      </c>
      <c r="L3114" s="736">
        <v>2</v>
      </c>
      <c r="M3114" s="736">
        <f t="shared" si="20"/>
        <v>60</v>
      </c>
      <c r="N3114" s="736"/>
      <c r="O3114" s="544"/>
      <c r="P3114" s="544"/>
      <c r="Q3114" s="544"/>
      <c r="R3114" s="413"/>
      <c r="S3114" s="347"/>
    </row>
    <row r="3115" spans="1:19" x14ac:dyDescent="0.25">
      <c r="A3115" t="s">
        <v>3317</v>
      </c>
      <c r="B3115" s="50" t="s">
        <v>2173</v>
      </c>
      <c r="C3115" s="51"/>
      <c r="D3115" s="343">
        <v>610000004545</v>
      </c>
      <c r="E3115" s="343">
        <f>VLOOKUP(D3115,'[1]Task list &amp; Maintenace plan'!$B:$G,6,FALSE)</f>
        <v>100979</v>
      </c>
      <c r="F3115" s="344" t="s">
        <v>4445</v>
      </c>
      <c r="G3115" s="345" t="s">
        <v>2179</v>
      </c>
      <c r="H3115" s="345" t="s">
        <v>4458</v>
      </c>
      <c r="I3115" s="344">
        <v>30</v>
      </c>
      <c r="J3115" s="736"/>
      <c r="K3115" s="736">
        <v>30</v>
      </c>
      <c r="L3115" s="736">
        <v>2</v>
      </c>
      <c r="M3115" s="736">
        <f t="shared" si="20"/>
        <v>60</v>
      </c>
      <c r="N3115" s="736"/>
      <c r="O3115" s="544"/>
      <c r="P3115" s="544"/>
      <c r="Q3115" s="544"/>
      <c r="R3115" s="418"/>
      <c r="S3115" s="344"/>
    </row>
    <row r="3116" spans="1:19" x14ac:dyDescent="0.25">
      <c r="A3116" t="s">
        <v>3317</v>
      </c>
      <c r="B3116" s="50" t="s">
        <v>2173</v>
      </c>
      <c r="C3116" s="51"/>
      <c r="D3116" s="346">
        <v>610000004545</v>
      </c>
      <c r="E3116" s="346">
        <f>VLOOKUP(D3116,'[1]Task list &amp; Maintenace plan'!$B:$G,6,FALSE)</f>
        <v>100979</v>
      </c>
      <c r="F3116" s="347" t="s">
        <v>4445</v>
      </c>
      <c r="G3116" s="348" t="s">
        <v>2179</v>
      </c>
      <c r="H3116" s="348" t="s">
        <v>4459</v>
      </c>
      <c r="I3116" s="347">
        <v>30</v>
      </c>
      <c r="J3116" s="736"/>
      <c r="K3116" s="736">
        <v>30</v>
      </c>
      <c r="L3116" s="736">
        <v>2</v>
      </c>
      <c r="M3116" s="736">
        <f t="shared" si="20"/>
        <v>60</v>
      </c>
      <c r="N3116" s="736"/>
      <c r="O3116" s="544"/>
      <c r="P3116" s="544"/>
      <c r="Q3116" s="544"/>
      <c r="R3116" s="413"/>
      <c r="S3116" s="347"/>
    </row>
    <row r="3117" spans="1:19" x14ac:dyDescent="0.25">
      <c r="A3117" t="s">
        <v>3317</v>
      </c>
      <c r="B3117" s="50" t="s">
        <v>2173</v>
      </c>
      <c r="C3117" s="51"/>
      <c r="D3117" s="349">
        <v>610000004545</v>
      </c>
      <c r="E3117" s="349">
        <f>VLOOKUP(D3117,'[1]Task list &amp; Maintenace plan'!$B:$G,6,FALSE)</f>
        <v>100979</v>
      </c>
      <c r="F3117" s="350" t="s">
        <v>4445</v>
      </c>
      <c r="G3117" s="351" t="s">
        <v>2179</v>
      </c>
      <c r="H3117" s="351" t="s">
        <v>4449</v>
      </c>
      <c r="I3117" s="350">
        <v>30</v>
      </c>
      <c r="J3117" s="737"/>
      <c r="K3117" s="737">
        <v>30</v>
      </c>
      <c r="L3117" s="737">
        <v>2</v>
      </c>
      <c r="M3117" s="737">
        <f t="shared" si="20"/>
        <v>60</v>
      </c>
      <c r="N3117" s="737"/>
      <c r="O3117" s="544"/>
      <c r="P3117" s="544"/>
      <c r="Q3117" s="544"/>
      <c r="R3117" s="414"/>
      <c r="S3117" s="350"/>
    </row>
    <row r="3118" spans="1:19" x14ac:dyDescent="0.25">
      <c r="A3118" t="s">
        <v>3317</v>
      </c>
      <c r="B3118" s="50" t="s">
        <v>2173</v>
      </c>
      <c r="C3118" s="51"/>
      <c r="D3118" s="343">
        <v>610000004546</v>
      </c>
      <c r="E3118" s="343">
        <f>VLOOKUP(D3118,'[1]Task list &amp; Maintenace plan'!$B:$G,6,FALSE)</f>
        <v>100980</v>
      </c>
      <c r="F3118" s="344" t="s">
        <v>4460</v>
      </c>
      <c r="G3118" s="345" t="s">
        <v>2181</v>
      </c>
      <c r="H3118" s="345" t="s">
        <v>4461</v>
      </c>
      <c r="I3118" s="344">
        <v>30</v>
      </c>
      <c r="J3118" s="733"/>
      <c r="K3118" s="733">
        <v>30</v>
      </c>
      <c r="L3118" s="733">
        <v>2</v>
      </c>
      <c r="M3118" s="733">
        <f t="shared" si="20"/>
        <v>60</v>
      </c>
      <c r="N3118" s="733" t="s">
        <v>3174</v>
      </c>
      <c r="O3118" s="544"/>
      <c r="P3118" s="544"/>
      <c r="Q3118" s="544"/>
      <c r="R3118" s="418" t="s">
        <v>3159</v>
      </c>
      <c r="S3118" s="344" t="s">
        <v>4417</v>
      </c>
    </row>
    <row r="3119" spans="1:19" x14ac:dyDescent="0.25">
      <c r="A3119" t="s">
        <v>3317</v>
      </c>
      <c r="B3119" s="50" t="s">
        <v>2173</v>
      </c>
      <c r="C3119" s="51"/>
      <c r="D3119" s="346">
        <v>610000004546</v>
      </c>
      <c r="E3119" s="346">
        <f>VLOOKUP(D3119,'[1]Task list &amp; Maintenace plan'!$B:$G,6,FALSE)</f>
        <v>100980</v>
      </c>
      <c r="F3119" s="347" t="s">
        <v>4460</v>
      </c>
      <c r="G3119" s="348" t="s">
        <v>2181</v>
      </c>
      <c r="H3119" s="348" t="s">
        <v>4462</v>
      </c>
      <c r="I3119" s="347">
        <v>30</v>
      </c>
      <c r="J3119" s="736"/>
      <c r="K3119" s="736">
        <v>30</v>
      </c>
      <c r="L3119" s="736">
        <v>2</v>
      </c>
      <c r="M3119" s="736">
        <f t="shared" si="20"/>
        <v>60</v>
      </c>
      <c r="N3119" s="736"/>
      <c r="O3119" s="544"/>
      <c r="P3119" s="544"/>
      <c r="Q3119" s="544"/>
      <c r="R3119" s="413"/>
      <c r="S3119" s="347"/>
    </row>
    <row r="3120" spans="1:19" x14ac:dyDescent="0.25">
      <c r="A3120" t="s">
        <v>3317</v>
      </c>
      <c r="B3120" s="50" t="s">
        <v>2173</v>
      </c>
      <c r="C3120" s="51"/>
      <c r="D3120" s="346">
        <v>610000004546</v>
      </c>
      <c r="E3120" s="346">
        <f>VLOOKUP(D3120,'[1]Task list &amp; Maintenace plan'!$B:$G,6,FALSE)</f>
        <v>100980</v>
      </c>
      <c r="F3120" s="347" t="s">
        <v>4460</v>
      </c>
      <c r="G3120" s="348" t="s">
        <v>2181</v>
      </c>
      <c r="H3120" s="348" t="s">
        <v>4463</v>
      </c>
      <c r="I3120" s="347">
        <v>30</v>
      </c>
      <c r="J3120" s="736"/>
      <c r="K3120" s="736">
        <v>30</v>
      </c>
      <c r="L3120" s="736">
        <v>2</v>
      </c>
      <c r="M3120" s="736">
        <f t="shared" si="20"/>
        <v>60</v>
      </c>
      <c r="N3120" s="736"/>
      <c r="O3120" s="544"/>
      <c r="P3120" s="544"/>
      <c r="Q3120" s="544"/>
      <c r="R3120" s="413"/>
      <c r="S3120" s="347"/>
    </row>
    <row r="3121" spans="1:19" x14ac:dyDescent="0.25">
      <c r="A3121" t="s">
        <v>3317</v>
      </c>
      <c r="B3121" s="50" t="s">
        <v>2173</v>
      </c>
      <c r="C3121" s="51"/>
      <c r="D3121" s="346">
        <v>610000004546</v>
      </c>
      <c r="E3121" s="346">
        <f>VLOOKUP(D3121,'[1]Task list &amp; Maintenace plan'!$B:$G,6,FALSE)</f>
        <v>100980</v>
      </c>
      <c r="F3121" s="347" t="s">
        <v>4460</v>
      </c>
      <c r="G3121" s="348" t="s">
        <v>2187</v>
      </c>
      <c r="H3121" s="348" t="s">
        <v>4464</v>
      </c>
      <c r="I3121" s="347">
        <v>30</v>
      </c>
      <c r="J3121" s="736"/>
      <c r="K3121" s="736">
        <v>30</v>
      </c>
      <c r="L3121" s="736">
        <v>2</v>
      </c>
      <c r="M3121" s="736">
        <f t="shared" si="20"/>
        <v>60</v>
      </c>
      <c r="N3121" s="736"/>
      <c r="O3121" s="544"/>
      <c r="P3121" s="544"/>
      <c r="Q3121" s="544"/>
      <c r="R3121" s="413"/>
      <c r="S3121" s="347"/>
    </row>
    <row r="3122" spans="1:19" x14ac:dyDescent="0.25">
      <c r="A3122" t="s">
        <v>3317</v>
      </c>
      <c r="B3122" s="50" t="s">
        <v>2173</v>
      </c>
      <c r="C3122" s="51"/>
      <c r="D3122" s="346">
        <v>610000004546</v>
      </c>
      <c r="E3122" s="346">
        <f>VLOOKUP(D3122,'[1]Task list &amp; Maintenace plan'!$B:$G,6,FALSE)</f>
        <v>100980</v>
      </c>
      <c r="F3122" s="347" t="s">
        <v>4460</v>
      </c>
      <c r="G3122" s="348" t="s">
        <v>2187</v>
      </c>
      <c r="H3122" s="348" t="s">
        <v>4465</v>
      </c>
      <c r="I3122" s="347">
        <v>30</v>
      </c>
      <c r="J3122" s="736"/>
      <c r="K3122" s="736">
        <v>30</v>
      </c>
      <c r="L3122" s="736">
        <v>2</v>
      </c>
      <c r="M3122" s="736">
        <f t="shared" si="20"/>
        <v>60</v>
      </c>
      <c r="N3122" s="736"/>
      <c r="O3122" s="544"/>
      <c r="P3122" s="544"/>
      <c r="Q3122" s="544"/>
      <c r="R3122" s="413"/>
      <c r="S3122" s="347"/>
    </row>
    <row r="3123" spans="1:19" x14ac:dyDescent="0.25">
      <c r="A3123" t="s">
        <v>3317</v>
      </c>
      <c r="B3123" s="50" t="s">
        <v>2173</v>
      </c>
      <c r="C3123" s="51"/>
      <c r="D3123" s="346">
        <v>610000004546</v>
      </c>
      <c r="E3123" s="346">
        <f>VLOOKUP(D3123,'[1]Task list &amp; Maintenace plan'!$B:$G,6,FALSE)</f>
        <v>100980</v>
      </c>
      <c r="F3123" s="347" t="s">
        <v>4460</v>
      </c>
      <c r="G3123" s="348" t="s">
        <v>2187</v>
      </c>
      <c r="H3123" s="348" t="s">
        <v>4449</v>
      </c>
      <c r="I3123" s="347">
        <v>30</v>
      </c>
      <c r="J3123" s="736"/>
      <c r="K3123" s="736">
        <v>30</v>
      </c>
      <c r="L3123" s="736">
        <v>2</v>
      </c>
      <c r="M3123" s="736">
        <f t="shared" si="20"/>
        <v>60</v>
      </c>
      <c r="N3123" s="736"/>
      <c r="O3123" s="544"/>
      <c r="P3123" s="544"/>
      <c r="Q3123" s="544"/>
      <c r="R3123" s="413"/>
      <c r="S3123" s="347"/>
    </row>
    <row r="3124" spans="1:19" x14ac:dyDescent="0.25">
      <c r="A3124" t="s">
        <v>3317</v>
      </c>
      <c r="B3124" s="50" t="s">
        <v>2173</v>
      </c>
      <c r="C3124" s="51"/>
      <c r="D3124" s="346">
        <v>610000004546</v>
      </c>
      <c r="E3124" s="346">
        <f>VLOOKUP(D3124,'[1]Task list &amp; Maintenace plan'!$B:$G,6,FALSE)</f>
        <v>100980</v>
      </c>
      <c r="F3124" s="347" t="s">
        <v>4460</v>
      </c>
      <c r="G3124" s="348" t="s">
        <v>2189</v>
      </c>
      <c r="H3124" s="348" t="s">
        <v>4466</v>
      </c>
      <c r="I3124" s="347">
        <v>30</v>
      </c>
      <c r="J3124" s="736"/>
      <c r="K3124" s="736">
        <v>30</v>
      </c>
      <c r="L3124" s="736">
        <v>2</v>
      </c>
      <c r="M3124" s="736">
        <f t="shared" si="20"/>
        <v>60</v>
      </c>
      <c r="N3124" s="736"/>
      <c r="O3124" s="544"/>
      <c r="P3124" s="544"/>
      <c r="Q3124" s="544"/>
      <c r="R3124" s="413"/>
      <c r="S3124" s="347"/>
    </row>
    <row r="3125" spans="1:19" x14ac:dyDescent="0.25">
      <c r="A3125" t="s">
        <v>3317</v>
      </c>
      <c r="B3125" s="50" t="s">
        <v>2173</v>
      </c>
      <c r="C3125" s="51"/>
      <c r="D3125" s="346">
        <v>610000004546</v>
      </c>
      <c r="E3125" s="346">
        <f>VLOOKUP(D3125,'[1]Task list &amp; Maintenace plan'!$B:$G,6,FALSE)</f>
        <v>100980</v>
      </c>
      <c r="F3125" s="347" t="s">
        <v>4460</v>
      </c>
      <c r="G3125" s="348" t="s">
        <v>2189</v>
      </c>
      <c r="H3125" s="348" t="s">
        <v>4467</v>
      </c>
      <c r="I3125" s="347">
        <v>30</v>
      </c>
      <c r="J3125" s="736"/>
      <c r="K3125" s="736">
        <v>30</v>
      </c>
      <c r="L3125" s="736">
        <v>2</v>
      </c>
      <c r="M3125" s="736">
        <f t="shared" si="20"/>
        <v>60</v>
      </c>
      <c r="N3125" s="736"/>
      <c r="O3125" s="544"/>
      <c r="P3125" s="544"/>
      <c r="Q3125" s="544"/>
      <c r="R3125" s="413"/>
      <c r="S3125" s="347"/>
    </row>
    <row r="3126" spans="1:19" x14ac:dyDescent="0.25">
      <c r="A3126" t="s">
        <v>3317</v>
      </c>
      <c r="B3126" s="50" t="s">
        <v>2173</v>
      </c>
      <c r="C3126" s="51"/>
      <c r="D3126" s="346">
        <v>610000004546</v>
      </c>
      <c r="E3126" s="346">
        <f>VLOOKUP(D3126,'[1]Task list &amp; Maintenace plan'!$B:$G,6,FALSE)</f>
        <v>100980</v>
      </c>
      <c r="F3126" s="347" t="s">
        <v>4460</v>
      </c>
      <c r="G3126" s="348" t="s">
        <v>2189</v>
      </c>
      <c r="H3126" s="348" t="s">
        <v>4468</v>
      </c>
      <c r="I3126" s="347">
        <v>30</v>
      </c>
      <c r="J3126" s="736"/>
      <c r="K3126" s="736">
        <v>30</v>
      </c>
      <c r="L3126" s="736">
        <v>2</v>
      </c>
      <c r="M3126" s="736">
        <f t="shared" si="20"/>
        <v>60</v>
      </c>
      <c r="N3126" s="736"/>
      <c r="O3126" s="544"/>
      <c r="P3126" s="544"/>
      <c r="Q3126" s="544"/>
      <c r="R3126" s="413"/>
      <c r="S3126" s="347"/>
    </row>
    <row r="3127" spans="1:19" x14ac:dyDescent="0.25">
      <c r="A3127" t="s">
        <v>3317</v>
      </c>
      <c r="B3127" s="50" t="s">
        <v>2173</v>
      </c>
      <c r="C3127" s="51"/>
      <c r="D3127" s="346">
        <v>610000004546</v>
      </c>
      <c r="E3127" s="346">
        <f>VLOOKUP(D3127,'[1]Task list &amp; Maintenace plan'!$B:$G,6,FALSE)</f>
        <v>100980</v>
      </c>
      <c r="F3127" s="347" t="s">
        <v>4460</v>
      </c>
      <c r="G3127" s="348" t="s">
        <v>620</v>
      </c>
      <c r="H3127" s="348" t="s">
        <v>4469</v>
      </c>
      <c r="I3127" s="347">
        <v>30</v>
      </c>
      <c r="J3127" s="736"/>
      <c r="K3127" s="736">
        <v>30</v>
      </c>
      <c r="L3127" s="736">
        <v>2</v>
      </c>
      <c r="M3127" s="736">
        <f t="shared" si="20"/>
        <v>60</v>
      </c>
      <c r="N3127" s="736"/>
      <c r="O3127" s="544"/>
      <c r="P3127" s="544"/>
      <c r="Q3127" s="544"/>
      <c r="R3127" s="413"/>
      <c r="S3127" s="347"/>
    </row>
    <row r="3128" spans="1:19" x14ac:dyDescent="0.25">
      <c r="A3128" t="s">
        <v>3317</v>
      </c>
      <c r="B3128" s="50" t="s">
        <v>2173</v>
      </c>
      <c r="C3128" s="51"/>
      <c r="D3128" s="346">
        <v>610000004546</v>
      </c>
      <c r="E3128" s="346">
        <f>VLOOKUP(D3128,'[1]Task list &amp; Maintenace plan'!$B:$G,6,FALSE)</f>
        <v>100980</v>
      </c>
      <c r="F3128" s="347" t="s">
        <v>4460</v>
      </c>
      <c r="G3128" s="348" t="s">
        <v>620</v>
      </c>
      <c r="H3128" s="348" t="s">
        <v>4470</v>
      </c>
      <c r="I3128" s="347">
        <v>30</v>
      </c>
      <c r="J3128" s="736"/>
      <c r="K3128" s="736">
        <v>30</v>
      </c>
      <c r="L3128" s="736">
        <v>2</v>
      </c>
      <c r="M3128" s="736">
        <f t="shared" si="20"/>
        <v>60</v>
      </c>
      <c r="N3128" s="736"/>
      <c r="O3128" s="544"/>
      <c r="P3128" s="544"/>
      <c r="Q3128" s="544"/>
      <c r="R3128" s="413"/>
      <c r="S3128" s="347"/>
    </row>
    <row r="3129" spans="1:19" x14ac:dyDescent="0.25">
      <c r="A3129" t="s">
        <v>3317</v>
      </c>
      <c r="B3129" s="50" t="s">
        <v>2173</v>
      </c>
      <c r="C3129" s="51"/>
      <c r="D3129" s="346">
        <v>610000004546</v>
      </c>
      <c r="E3129" s="346">
        <f>VLOOKUP(D3129,'[1]Task list &amp; Maintenace plan'!$B:$G,6,FALSE)</f>
        <v>100980</v>
      </c>
      <c r="F3129" s="347" t="s">
        <v>4460</v>
      </c>
      <c r="G3129" s="348" t="s">
        <v>2195</v>
      </c>
      <c r="H3129" s="348" t="s">
        <v>4471</v>
      </c>
      <c r="I3129" s="347">
        <v>30</v>
      </c>
      <c r="J3129" s="736"/>
      <c r="K3129" s="736">
        <v>30</v>
      </c>
      <c r="L3129" s="736">
        <v>2</v>
      </c>
      <c r="M3129" s="736">
        <f t="shared" si="20"/>
        <v>60</v>
      </c>
      <c r="N3129" s="736"/>
      <c r="O3129" s="544"/>
      <c r="P3129" s="544"/>
      <c r="Q3129" s="544"/>
      <c r="R3129" s="413"/>
      <c r="S3129" s="347"/>
    </row>
    <row r="3130" spans="1:19" x14ac:dyDescent="0.25">
      <c r="A3130" t="s">
        <v>3317</v>
      </c>
      <c r="B3130" s="50" t="s">
        <v>2173</v>
      </c>
      <c r="C3130" s="51"/>
      <c r="D3130" s="346">
        <v>610000004546</v>
      </c>
      <c r="E3130" s="346">
        <f>VLOOKUP(D3130,'[1]Task list &amp; Maintenace plan'!$B:$G,6,FALSE)</f>
        <v>100980</v>
      </c>
      <c r="F3130" s="347" t="s">
        <v>4460</v>
      </c>
      <c r="G3130" s="348" t="s">
        <v>2195</v>
      </c>
      <c r="H3130" s="348" t="s">
        <v>4472</v>
      </c>
      <c r="I3130" s="347">
        <v>30</v>
      </c>
      <c r="J3130" s="736"/>
      <c r="K3130" s="736">
        <v>30</v>
      </c>
      <c r="L3130" s="736">
        <v>2</v>
      </c>
      <c r="M3130" s="736">
        <f t="shared" si="20"/>
        <v>60</v>
      </c>
      <c r="N3130" s="736"/>
      <c r="O3130" s="544"/>
      <c r="P3130" s="544"/>
      <c r="Q3130" s="544"/>
      <c r="R3130" s="413"/>
      <c r="S3130" s="347"/>
    </row>
    <row r="3131" spans="1:19" x14ac:dyDescent="0.25">
      <c r="A3131" t="s">
        <v>3317</v>
      </c>
      <c r="B3131" s="50" t="s">
        <v>2173</v>
      </c>
      <c r="C3131" s="51"/>
      <c r="D3131" s="349">
        <v>610000004546</v>
      </c>
      <c r="E3131" s="349">
        <f>VLOOKUP(D3131,'[1]Task list &amp; Maintenace plan'!$B:$G,6,FALSE)</f>
        <v>100980</v>
      </c>
      <c r="F3131" s="350" t="s">
        <v>4460</v>
      </c>
      <c r="G3131" s="351" t="s">
        <v>2195</v>
      </c>
      <c r="H3131" s="351" t="s">
        <v>4473</v>
      </c>
      <c r="I3131" s="350">
        <v>30</v>
      </c>
      <c r="J3131" s="737"/>
      <c r="K3131" s="737">
        <v>30</v>
      </c>
      <c r="L3131" s="737">
        <v>2</v>
      </c>
      <c r="M3131" s="737">
        <f t="shared" si="20"/>
        <v>60</v>
      </c>
      <c r="N3131" s="737"/>
      <c r="O3131" s="544"/>
      <c r="P3131" s="544"/>
      <c r="Q3131" s="544"/>
      <c r="R3131" s="414"/>
      <c r="S3131" s="350"/>
    </row>
    <row r="3132" spans="1:19" x14ac:dyDescent="0.25">
      <c r="A3132" t="s">
        <v>3317</v>
      </c>
      <c r="B3132" s="50" t="s">
        <v>2173</v>
      </c>
      <c r="C3132" s="51"/>
      <c r="D3132" s="343">
        <v>610000004547</v>
      </c>
      <c r="E3132" s="343">
        <f>VLOOKUP(D3132,'[1]Task list &amp; Maintenace plan'!$B:$G,6,FALSE)</f>
        <v>100981</v>
      </c>
      <c r="F3132" s="344" t="s">
        <v>4474</v>
      </c>
      <c r="G3132" s="345" t="s">
        <v>2238</v>
      </c>
      <c r="H3132" s="345" t="s">
        <v>4475</v>
      </c>
      <c r="I3132" s="344">
        <v>30</v>
      </c>
      <c r="J3132" s="733">
        <v>1</v>
      </c>
      <c r="K3132" s="733">
        <v>20</v>
      </c>
      <c r="L3132" s="733">
        <v>1</v>
      </c>
      <c r="M3132" s="733">
        <f t="shared" si="20"/>
        <v>20</v>
      </c>
      <c r="N3132" s="733" t="s">
        <v>20</v>
      </c>
      <c r="O3132" s="544"/>
      <c r="P3132" s="544"/>
      <c r="Q3132" s="544"/>
      <c r="R3132" s="418"/>
      <c r="S3132" s="344"/>
    </row>
    <row r="3133" spans="1:19" x14ac:dyDescent="0.25">
      <c r="A3133" t="s">
        <v>3317</v>
      </c>
      <c r="B3133" s="50" t="s">
        <v>2173</v>
      </c>
      <c r="C3133" s="51"/>
      <c r="D3133" s="346">
        <v>610000004547</v>
      </c>
      <c r="E3133" s="346">
        <f>VLOOKUP(D3133,'[1]Task list &amp; Maintenace plan'!$B:$G,6,FALSE)</f>
        <v>100981</v>
      </c>
      <c r="F3133" s="347" t="s">
        <v>4474</v>
      </c>
      <c r="G3133" s="348" t="s">
        <v>2238</v>
      </c>
      <c r="H3133" s="348" t="s">
        <v>4476</v>
      </c>
      <c r="I3133" s="347">
        <v>30</v>
      </c>
      <c r="J3133" s="736">
        <v>1</v>
      </c>
      <c r="K3133" s="736">
        <v>20</v>
      </c>
      <c r="L3133" s="736">
        <v>1</v>
      </c>
      <c r="M3133" s="736">
        <f t="shared" si="20"/>
        <v>20</v>
      </c>
      <c r="N3133" s="736"/>
      <c r="O3133" s="544"/>
      <c r="P3133" s="544"/>
      <c r="Q3133" s="544"/>
      <c r="R3133" s="413"/>
      <c r="S3133" s="347"/>
    </row>
    <row r="3134" spans="1:19" x14ac:dyDescent="0.25">
      <c r="A3134" t="s">
        <v>3317</v>
      </c>
      <c r="B3134" s="50" t="s">
        <v>2173</v>
      </c>
      <c r="C3134" s="51"/>
      <c r="D3134" s="346">
        <v>610000004547</v>
      </c>
      <c r="E3134" s="346">
        <f>VLOOKUP(D3134,'[1]Task list &amp; Maintenace plan'!$B:$G,6,FALSE)</f>
        <v>100981</v>
      </c>
      <c r="F3134" s="347" t="s">
        <v>4474</v>
      </c>
      <c r="G3134" s="348" t="s">
        <v>2238</v>
      </c>
      <c r="H3134" s="348" t="s">
        <v>4477</v>
      </c>
      <c r="I3134" s="347">
        <v>30</v>
      </c>
      <c r="J3134" s="736">
        <v>1</v>
      </c>
      <c r="K3134" s="736">
        <v>20</v>
      </c>
      <c r="L3134" s="736">
        <v>1</v>
      </c>
      <c r="M3134" s="736">
        <f t="shared" si="20"/>
        <v>20</v>
      </c>
      <c r="N3134" s="736"/>
      <c r="O3134" s="544"/>
      <c r="P3134" s="544"/>
      <c r="Q3134" s="544"/>
      <c r="R3134" s="413"/>
      <c r="S3134" s="347"/>
    </row>
    <row r="3135" spans="1:19" x14ac:dyDescent="0.25">
      <c r="A3135" t="s">
        <v>3317</v>
      </c>
      <c r="B3135" s="50" t="s">
        <v>2173</v>
      </c>
      <c r="C3135" s="51"/>
      <c r="D3135" s="346">
        <v>610000004547</v>
      </c>
      <c r="E3135" s="346">
        <f>VLOOKUP(D3135,'[1]Task list &amp; Maintenace plan'!$B:$G,6,FALSE)</f>
        <v>100981</v>
      </c>
      <c r="F3135" s="347" t="s">
        <v>4474</v>
      </c>
      <c r="G3135" s="348" t="s">
        <v>4435</v>
      </c>
      <c r="H3135" s="348" t="s">
        <v>4478</v>
      </c>
      <c r="I3135" s="347">
        <v>30</v>
      </c>
      <c r="J3135" s="736">
        <v>1</v>
      </c>
      <c r="K3135" s="736">
        <v>20</v>
      </c>
      <c r="L3135" s="736">
        <v>1</v>
      </c>
      <c r="M3135" s="736">
        <f t="shared" si="20"/>
        <v>20</v>
      </c>
      <c r="N3135" s="736"/>
      <c r="O3135" s="544"/>
      <c r="P3135" s="544"/>
      <c r="Q3135" s="544"/>
      <c r="R3135" s="413"/>
      <c r="S3135" s="347"/>
    </row>
    <row r="3136" spans="1:19" x14ac:dyDescent="0.25">
      <c r="A3136" t="s">
        <v>3317</v>
      </c>
      <c r="B3136" s="50" t="s">
        <v>2173</v>
      </c>
      <c r="C3136" s="51"/>
      <c r="D3136" s="346">
        <v>610000004547</v>
      </c>
      <c r="E3136" s="346">
        <f>VLOOKUP(D3136,'[1]Task list &amp; Maintenace plan'!$B:$G,6,FALSE)</f>
        <v>100981</v>
      </c>
      <c r="F3136" s="347" t="s">
        <v>4474</v>
      </c>
      <c r="G3136" s="348" t="s">
        <v>2179</v>
      </c>
      <c r="H3136" s="348" t="s">
        <v>4479</v>
      </c>
      <c r="I3136" s="347">
        <v>30</v>
      </c>
      <c r="J3136" s="736">
        <v>1</v>
      </c>
      <c r="K3136" s="736">
        <v>20</v>
      </c>
      <c r="L3136" s="736">
        <v>1</v>
      </c>
      <c r="M3136" s="736">
        <f t="shared" si="20"/>
        <v>20</v>
      </c>
      <c r="N3136" s="736"/>
      <c r="O3136" s="544"/>
      <c r="P3136" s="544"/>
      <c r="Q3136" s="544"/>
      <c r="R3136" s="413"/>
      <c r="S3136" s="347"/>
    </row>
    <row r="3137" spans="1:19" x14ac:dyDescent="0.25">
      <c r="A3137" t="s">
        <v>3317</v>
      </c>
      <c r="B3137" s="50" t="s">
        <v>2173</v>
      </c>
      <c r="C3137" s="51"/>
      <c r="D3137" s="346">
        <v>610000004547</v>
      </c>
      <c r="E3137" s="346">
        <f>VLOOKUP(D3137,'[1]Task list &amp; Maintenace plan'!$B:$G,6,FALSE)</f>
        <v>100981</v>
      </c>
      <c r="F3137" s="347" t="s">
        <v>4474</v>
      </c>
      <c r="G3137" s="348" t="s">
        <v>2179</v>
      </c>
      <c r="H3137" s="348" t="s">
        <v>4480</v>
      </c>
      <c r="I3137" s="347">
        <v>30</v>
      </c>
      <c r="J3137" s="736">
        <v>1</v>
      </c>
      <c r="K3137" s="736">
        <v>20</v>
      </c>
      <c r="L3137" s="736">
        <v>1</v>
      </c>
      <c r="M3137" s="736">
        <f t="shared" si="20"/>
        <v>20</v>
      </c>
      <c r="N3137" s="736"/>
      <c r="O3137" s="544"/>
      <c r="P3137" s="544"/>
      <c r="Q3137" s="544"/>
      <c r="R3137" s="413"/>
      <c r="S3137" s="347"/>
    </row>
    <row r="3138" spans="1:19" x14ac:dyDescent="0.25">
      <c r="A3138" t="s">
        <v>3317</v>
      </c>
      <c r="B3138" s="50" t="s">
        <v>2173</v>
      </c>
      <c r="C3138" s="51"/>
      <c r="D3138" s="346">
        <v>610000004547</v>
      </c>
      <c r="E3138" s="346">
        <f>VLOOKUP(D3138,'[1]Task list &amp; Maintenace plan'!$B:$G,6,FALSE)</f>
        <v>100981</v>
      </c>
      <c r="F3138" s="347" t="s">
        <v>4474</v>
      </c>
      <c r="G3138" s="348" t="s">
        <v>2181</v>
      </c>
      <c r="H3138" s="348" t="s">
        <v>4481</v>
      </c>
      <c r="I3138" s="347">
        <v>30</v>
      </c>
      <c r="J3138" s="736">
        <v>1</v>
      </c>
      <c r="K3138" s="736">
        <v>20</v>
      </c>
      <c r="L3138" s="736">
        <v>1</v>
      </c>
      <c r="M3138" s="736">
        <f t="shared" si="20"/>
        <v>20</v>
      </c>
      <c r="N3138" s="736"/>
      <c r="O3138" s="544"/>
      <c r="P3138" s="544"/>
      <c r="Q3138" s="544"/>
      <c r="R3138" s="413"/>
      <c r="S3138" s="347"/>
    </row>
    <row r="3139" spans="1:19" x14ac:dyDescent="0.25">
      <c r="A3139" t="s">
        <v>3317</v>
      </c>
      <c r="B3139" s="50" t="s">
        <v>2173</v>
      </c>
      <c r="C3139" s="51"/>
      <c r="D3139" s="346">
        <v>610000004547</v>
      </c>
      <c r="E3139" s="346">
        <f>VLOOKUP(D3139,'[1]Task list &amp; Maintenace plan'!$B:$G,6,FALSE)</f>
        <v>100981</v>
      </c>
      <c r="F3139" s="347" t="s">
        <v>4474</v>
      </c>
      <c r="G3139" s="348" t="s">
        <v>2183</v>
      </c>
      <c r="H3139" s="348" t="s">
        <v>4482</v>
      </c>
      <c r="I3139" s="347">
        <v>30</v>
      </c>
      <c r="J3139" s="736">
        <v>1</v>
      </c>
      <c r="K3139" s="736">
        <v>20</v>
      </c>
      <c r="L3139" s="736">
        <v>1</v>
      </c>
      <c r="M3139" s="736">
        <f t="shared" si="20"/>
        <v>20</v>
      </c>
      <c r="N3139" s="736"/>
      <c r="O3139" s="544"/>
      <c r="P3139" s="544"/>
      <c r="Q3139" s="544"/>
      <c r="R3139" s="413"/>
      <c r="S3139" s="347"/>
    </row>
    <row r="3140" spans="1:19" x14ac:dyDescent="0.25">
      <c r="A3140" t="s">
        <v>3317</v>
      </c>
      <c r="B3140" s="50" t="s">
        <v>2173</v>
      </c>
      <c r="C3140" s="51"/>
      <c r="D3140" s="346">
        <v>610000004547</v>
      </c>
      <c r="E3140" s="346">
        <f>VLOOKUP(D3140,'[1]Task list &amp; Maintenace plan'!$B:$G,6,FALSE)</f>
        <v>100981</v>
      </c>
      <c r="F3140" s="347" t="s">
        <v>4474</v>
      </c>
      <c r="G3140" s="348" t="s">
        <v>2183</v>
      </c>
      <c r="H3140" s="348" t="s">
        <v>4483</v>
      </c>
      <c r="I3140" s="347">
        <v>30</v>
      </c>
      <c r="J3140" s="736">
        <v>1</v>
      </c>
      <c r="K3140" s="736">
        <v>20</v>
      </c>
      <c r="L3140" s="736">
        <v>1</v>
      </c>
      <c r="M3140" s="736">
        <f t="shared" si="20"/>
        <v>20</v>
      </c>
      <c r="N3140" s="736"/>
      <c r="O3140" s="544"/>
      <c r="P3140" s="544"/>
      <c r="Q3140" s="544"/>
      <c r="R3140" s="413"/>
      <c r="S3140" s="347"/>
    </row>
    <row r="3141" spans="1:19" x14ac:dyDescent="0.25">
      <c r="A3141" t="s">
        <v>3317</v>
      </c>
      <c r="B3141" s="50" t="s">
        <v>2173</v>
      </c>
      <c r="C3141" s="51"/>
      <c r="D3141" s="346">
        <v>610000004547</v>
      </c>
      <c r="E3141" s="346">
        <f>VLOOKUP(D3141,'[1]Task list &amp; Maintenace plan'!$B:$G,6,FALSE)</f>
        <v>100981</v>
      </c>
      <c r="F3141" s="347" t="s">
        <v>4474</v>
      </c>
      <c r="G3141" s="348" t="s">
        <v>2185</v>
      </c>
      <c r="H3141" s="348" t="s">
        <v>4484</v>
      </c>
      <c r="I3141" s="347">
        <v>30</v>
      </c>
      <c r="J3141" s="736">
        <v>1</v>
      </c>
      <c r="K3141" s="736">
        <v>20</v>
      </c>
      <c r="L3141" s="736">
        <v>1</v>
      </c>
      <c r="M3141" s="736">
        <f t="shared" si="20"/>
        <v>20</v>
      </c>
      <c r="N3141" s="736"/>
      <c r="O3141" s="544"/>
      <c r="P3141" s="544"/>
      <c r="Q3141" s="544"/>
      <c r="R3141" s="413"/>
      <c r="S3141" s="347"/>
    </row>
    <row r="3142" spans="1:19" x14ac:dyDescent="0.25">
      <c r="A3142" t="s">
        <v>3317</v>
      </c>
      <c r="B3142" s="50" t="s">
        <v>2173</v>
      </c>
      <c r="C3142" s="51"/>
      <c r="D3142" s="346">
        <v>610000004547</v>
      </c>
      <c r="E3142" s="346">
        <f>VLOOKUP(D3142,'[1]Task list &amp; Maintenace plan'!$B:$G,6,FALSE)</f>
        <v>100981</v>
      </c>
      <c r="F3142" s="347" t="s">
        <v>4474</v>
      </c>
      <c r="G3142" s="348" t="s">
        <v>2187</v>
      </c>
      <c r="H3142" s="348" t="s">
        <v>4485</v>
      </c>
      <c r="I3142" s="347">
        <v>30</v>
      </c>
      <c r="J3142" s="736">
        <v>1</v>
      </c>
      <c r="K3142" s="736">
        <v>20</v>
      </c>
      <c r="L3142" s="736">
        <v>1</v>
      </c>
      <c r="M3142" s="736">
        <f t="shared" si="20"/>
        <v>20</v>
      </c>
      <c r="N3142" s="736"/>
      <c r="O3142" s="544"/>
      <c r="P3142" s="544"/>
      <c r="Q3142" s="544"/>
      <c r="R3142" s="413"/>
      <c r="S3142" s="347"/>
    </row>
    <row r="3143" spans="1:19" x14ac:dyDescent="0.25">
      <c r="A3143" t="s">
        <v>3317</v>
      </c>
      <c r="B3143" s="50" t="s">
        <v>2173</v>
      </c>
      <c r="C3143" s="51"/>
      <c r="D3143" s="346">
        <v>610000004547</v>
      </c>
      <c r="E3143" s="346">
        <f>VLOOKUP(D3143,'[1]Task list &amp; Maintenace plan'!$B:$G,6,FALSE)</f>
        <v>100981</v>
      </c>
      <c r="F3143" s="347" t="s">
        <v>4474</v>
      </c>
      <c r="G3143" s="348" t="s">
        <v>2187</v>
      </c>
      <c r="H3143" s="348" t="s">
        <v>4486</v>
      </c>
      <c r="I3143" s="347">
        <v>30</v>
      </c>
      <c r="J3143" s="736">
        <v>1</v>
      </c>
      <c r="K3143" s="736">
        <v>20</v>
      </c>
      <c r="L3143" s="736">
        <v>1</v>
      </c>
      <c r="M3143" s="736">
        <f t="shared" si="20"/>
        <v>20</v>
      </c>
      <c r="N3143" s="736"/>
      <c r="O3143" s="544"/>
      <c r="P3143" s="544"/>
      <c r="Q3143" s="544"/>
      <c r="R3143" s="413"/>
      <c r="S3143" s="347"/>
    </row>
    <row r="3144" spans="1:19" x14ac:dyDescent="0.25">
      <c r="A3144" t="s">
        <v>3317</v>
      </c>
      <c r="B3144" s="50" t="s">
        <v>2173</v>
      </c>
      <c r="C3144" s="51"/>
      <c r="D3144" s="346">
        <v>610000004547</v>
      </c>
      <c r="E3144" s="346">
        <f>VLOOKUP(D3144,'[1]Task list &amp; Maintenace plan'!$B:$G,6,FALSE)</f>
        <v>100981</v>
      </c>
      <c r="F3144" s="347" t="s">
        <v>4474</v>
      </c>
      <c r="G3144" s="348" t="s">
        <v>2189</v>
      </c>
      <c r="H3144" s="348" t="s">
        <v>4487</v>
      </c>
      <c r="I3144" s="347">
        <v>30</v>
      </c>
      <c r="J3144" s="736">
        <v>1</v>
      </c>
      <c r="K3144" s="736">
        <v>20</v>
      </c>
      <c r="L3144" s="736">
        <v>1</v>
      </c>
      <c r="M3144" s="736">
        <f t="shared" si="20"/>
        <v>20</v>
      </c>
      <c r="N3144" s="736"/>
      <c r="O3144" s="544"/>
      <c r="P3144" s="544"/>
      <c r="Q3144" s="544"/>
      <c r="R3144" s="413"/>
      <c r="S3144" s="347"/>
    </row>
    <row r="3145" spans="1:19" x14ac:dyDescent="0.25">
      <c r="A3145" t="s">
        <v>3317</v>
      </c>
      <c r="B3145" s="50" t="s">
        <v>2173</v>
      </c>
      <c r="C3145" s="51"/>
      <c r="D3145" s="346">
        <v>610000004547</v>
      </c>
      <c r="E3145" s="346">
        <f>VLOOKUP(D3145,'[1]Task list &amp; Maintenace plan'!$B:$G,6,FALSE)</f>
        <v>100981</v>
      </c>
      <c r="F3145" s="347" t="s">
        <v>4474</v>
      </c>
      <c r="G3145" s="348" t="s">
        <v>620</v>
      </c>
      <c r="H3145" s="348" t="s">
        <v>4488</v>
      </c>
      <c r="I3145" s="347">
        <v>30</v>
      </c>
      <c r="J3145" s="736">
        <v>1</v>
      </c>
      <c r="K3145" s="736">
        <v>20</v>
      </c>
      <c r="L3145" s="736">
        <v>1</v>
      </c>
      <c r="M3145" s="736">
        <f t="shared" si="20"/>
        <v>20</v>
      </c>
      <c r="N3145" s="736"/>
      <c r="O3145" s="544"/>
      <c r="P3145" s="544"/>
      <c r="Q3145" s="544"/>
      <c r="R3145" s="413"/>
      <c r="S3145" s="347"/>
    </row>
    <row r="3146" spans="1:19" x14ac:dyDescent="0.25">
      <c r="A3146" t="s">
        <v>3317</v>
      </c>
      <c r="B3146" s="50" t="s">
        <v>2173</v>
      </c>
      <c r="C3146" s="51"/>
      <c r="D3146" s="346">
        <v>610000004547</v>
      </c>
      <c r="E3146" s="346">
        <f>VLOOKUP(D3146,'[1]Task list &amp; Maintenace plan'!$B:$G,6,FALSE)</f>
        <v>100981</v>
      </c>
      <c r="F3146" s="347" t="s">
        <v>4474</v>
      </c>
      <c r="G3146" s="348" t="s">
        <v>2193</v>
      </c>
      <c r="H3146" s="348" t="s">
        <v>4489</v>
      </c>
      <c r="I3146" s="347">
        <v>30</v>
      </c>
      <c r="J3146" s="736">
        <v>1</v>
      </c>
      <c r="K3146" s="736">
        <v>20</v>
      </c>
      <c r="L3146" s="736">
        <v>1</v>
      </c>
      <c r="M3146" s="736">
        <f t="shared" ref="M3146:M3209" si="21">K3146*L3146</f>
        <v>20</v>
      </c>
      <c r="N3146" s="736"/>
      <c r="O3146" s="544"/>
      <c r="P3146" s="544"/>
      <c r="Q3146" s="544"/>
      <c r="R3146" s="413"/>
      <c r="S3146" s="347"/>
    </row>
    <row r="3147" spans="1:19" x14ac:dyDescent="0.25">
      <c r="A3147" t="s">
        <v>3317</v>
      </c>
      <c r="B3147" s="50" t="s">
        <v>2173</v>
      </c>
      <c r="C3147" s="51"/>
      <c r="D3147" s="349">
        <v>610000004547</v>
      </c>
      <c r="E3147" s="349">
        <f>VLOOKUP(D3147,'[1]Task list &amp; Maintenace plan'!$B:$G,6,FALSE)</f>
        <v>100981</v>
      </c>
      <c r="F3147" s="350" t="s">
        <v>4474</v>
      </c>
      <c r="G3147" s="351" t="s">
        <v>2195</v>
      </c>
      <c r="H3147" s="351" t="s">
        <v>4490</v>
      </c>
      <c r="I3147" s="350">
        <v>30</v>
      </c>
      <c r="J3147" s="737">
        <v>1</v>
      </c>
      <c r="K3147" s="737">
        <v>20</v>
      </c>
      <c r="L3147" s="737">
        <v>1</v>
      </c>
      <c r="M3147" s="737">
        <f t="shared" si="21"/>
        <v>20</v>
      </c>
      <c r="N3147" s="737"/>
      <c r="O3147" s="544"/>
      <c r="P3147" s="544"/>
      <c r="Q3147" s="544"/>
      <c r="R3147" s="414"/>
      <c r="S3147" s="350"/>
    </row>
    <row r="3148" spans="1:19" x14ac:dyDescent="0.25">
      <c r="A3148" t="s">
        <v>3317</v>
      </c>
      <c r="B3148" s="50" t="s">
        <v>2173</v>
      </c>
      <c r="C3148" s="51"/>
      <c r="D3148" s="417">
        <v>344423</v>
      </c>
      <c r="E3148" s="417">
        <f>VLOOKUP(D3148,'[1]Task list &amp; Maintenace plan'!$B:$G,6,FALSE)</f>
        <v>807</v>
      </c>
      <c r="F3148" s="421" t="s">
        <v>4491</v>
      </c>
      <c r="G3148" s="420" t="s">
        <v>2238</v>
      </c>
      <c r="H3148" s="420" t="s">
        <v>4492</v>
      </c>
      <c r="I3148" s="421">
        <v>60</v>
      </c>
      <c r="J3148" s="733"/>
      <c r="K3148" s="733">
        <v>60</v>
      </c>
      <c r="L3148" s="733">
        <v>1</v>
      </c>
      <c r="M3148" s="733">
        <f t="shared" si="21"/>
        <v>60</v>
      </c>
      <c r="N3148" s="733" t="s">
        <v>20</v>
      </c>
      <c r="O3148" s="544"/>
      <c r="P3148" s="544"/>
      <c r="Q3148" s="544"/>
      <c r="R3148" s="422"/>
      <c r="S3148" s="421"/>
    </row>
    <row r="3149" spans="1:19" x14ac:dyDescent="0.25">
      <c r="A3149" t="s">
        <v>3317</v>
      </c>
      <c r="B3149" s="50" t="s">
        <v>2173</v>
      </c>
      <c r="C3149" s="51"/>
      <c r="D3149" s="346">
        <v>344423</v>
      </c>
      <c r="E3149" s="346">
        <f>VLOOKUP(D3149,'[1]Task list &amp; Maintenace plan'!$B:$G,6,FALSE)</f>
        <v>807</v>
      </c>
      <c r="F3149" s="347" t="s">
        <v>4491</v>
      </c>
      <c r="G3149" s="348" t="s">
        <v>2238</v>
      </c>
      <c r="H3149" s="348" t="s">
        <v>4493</v>
      </c>
      <c r="I3149" s="347">
        <v>60</v>
      </c>
      <c r="J3149" s="736"/>
      <c r="K3149" s="736">
        <v>60</v>
      </c>
      <c r="L3149" s="736">
        <v>1</v>
      </c>
      <c r="M3149" s="736">
        <f t="shared" si="21"/>
        <v>60</v>
      </c>
      <c r="N3149" s="736"/>
      <c r="O3149" s="544"/>
      <c r="P3149" s="544"/>
      <c r="Q3149" s="544"/>
      <c r="R3149" s="413"/>
      <c r="S3149" s="347"/>
    </row>
    <row r="3150" spans="1:19" x14ac:dyDescent="0.25">
      <c r="A3150" t="s">
        <v>3317</v>
      </c>
      <c r="B3150" s="50" t="s">
        <v>2173</v>
      </c>
      <c r="C3150" s="51"/>
      <c r="D3150" s="346">
        <v>344423</v>
      </c>
      <c r="E3150" s="346">
        <f>VLOOKUP(D3150,'[1]Task list &amp; Maintenace plan'!$B:$G,6,FALSE)</f>
        <v>807</v>
      </c>
      <c r="F3150" s="347" t="s">
        <v>4491</v>
      </c>
      <c r="G3150" s="348" t="s">
        <v>2238</v>
      </c>
      <c r="H3150" s="348" t="s">
        <v>4494</v>
      </c>
      <c r="I3150" s="347">
        <v>60</v>
      </c>
      <c r="J3150" s="736"/>
      <c r="K3150" s="736">
        <v>60</v>
      </c>
      <c r="L3150" s="736">
        <v>1</v>
      </c>
      <c r="M3150" s="736">
        <f t="shared" si="21"/>
        <v>60</v>
      </c>
      <c r="N3150" s="736"/>
      <c r="O3150" s="544"/>
      <c r="P3150" s="544"/>
      <c r="Q3150" s="544"/>
      <c r="R3150" s="413"/>
      <c r="S3150" s="347"/>
    </row>
    <row r="3151" spans="1:19" x14ac:dyDescent="0.25">
      <c r="A3151" t="s">
        <v>3317</v>
      </c>
      <c r="B3151" s="50" t="s">
        <v>2173</v>
      </c>
      <c r="C3151" s="51"/>
      <c r="D3151" s="346">
        <v>344423</v>
      </c>
      <c r="E3151" s="346">
        <f>VLOOKUP(D3151,'[1]Task list &amp; Maintenace plan'!$B:$G,6,FALSE)</f>
        <v>807</v>
      </c>
      <c r="F3151" s="347" t="s">
        <v>4491</v>
      </c>
      <c r="G3151" s="348" t="s">
        <v>2179</v>
      </c>
      <c r="H3151" s="348" t="s">
        <v>4495</v>
      </c>
      <c r="I3151" s="347">
        <v>60</v>
      </c>
      <c r="J3151" s="736"/>
      <c r="K3151" s="736">
        <v>60</v>
      </c>
      <c r="L3151" s="736">
        <v>1</v>
      </c>
      <c r="M3151" s="736">
        <f t="shared" si="21"/>
        <v>60</v>
      </c>
      <c r="N3151" s="736"/>
      <c r="O3151" s="544"/>
      <c r="P3151" s="544"/>
      <c r="Q3151" s="544"/>
      <c r="R3151" s="413"/>
      <c r="S3151" s="347"/>
    </row>
    <row r="3152" spans="1:19" x14ac:dyDescent="0.25">
      <c r="A3152" t="s">
        <v>3317</v>
      </c>
      <c r="B3152" s="50" t="s">
        <v>2173</v>
      </c>
      <c r="C3152" s="51"/>
      <c r="D3152" s="346">
        <v>344423</v>
      </c>
      <c r="E3152" s="346">
        <f>VLOOKUP(D3152,'[1]Task list &amp; Maintenace plan'!$B:$G,6,FALSE)</f>
        <v>807</v>
      </c>
      <c r="F3152" s="347" t="s">
        <v>4491</v>
      </c>
      <c r="G3152" s="348" t="s">
        <v>2179</v>
      </c>
      <c r="H3152" s="348" t="s">
        <v>4496</v>
      </c>
      <c r="I3152" s="347">
        <v>60</v>
      </c>
      <c r="J3152" s="736"/>
      <c r="K3152" s="736">
        <v>60</v>
      </c>
      <c r="L3152" s="736">
        <v>1</v>
      </c>
      <c r="M3152" s="736">
        <f t="shared" si="21"/>
        <v>60</v>
      </c>
      <c r="N3152" s="736"/>
      <c r="O3152" s="544"/>
      <c r="P3152" s="544"/>
      <c r="Q3152" s="544"/>
      <c r="R3152" s="413"/>
      <c r="S3152" s="347"/>
    </row>
    <row r="3153" spans="1:19" x14ac:dyDescent="0.25">
      <c r="A3153" t="s">
        <v>3317</v>
      </c>
      <c r="B3153" s="50" t="s">
        <v>2173</v>
      </c>
      <c r="C3153" s="51"/>
      <c r="D3153" s="346">
        <v>344423</v>
      </c>
      <c r="E3153" s="346">
        <f>VLOOKUP(D3153,'[1]Task list &amp; Maintenace plan'!$B:$G,6,FALSE)</f>
        <v>807</v>
      </c>
      <c r="F3153" s="347" t="s">
        <v>4491</v>
      </c>
      <c r="G3153" s="348" t="s">
        <v>2183</v>
      </c>
      <c r="H3153" s="348" t="s">
        <v>4497</v>
      </c>
      <c r="I3153" s="347">
        <v>60</v>
      </c>
      <c r="J3153" s="736"/>
      <c r="K3153" s="736">
        <v>60</v>
      </c>
      <c r="L3153" s="736">
        <v>1</v>
      </c>
      <c r="M3153" s="736">
        <f t="shared" si="21"/>
        <v>60</v>
      </c>
      <c r="N3153" s="736"/>
      <c r="O3153" s="544"/>
      <c r="P3153" s="544"/>
      <c r="Q3153" s="544"/>
      <c r="R3153" s="413"/>
      <c r="S3153" s="347"/>
    </row>
    <row r="3154" spans="1:19" x14ac:dyDescent="0.25">
      <c r="A3154" t="s">
        <v>3317</v>
      </c>
      <c r="B3154" s="50" t="s">
        <v>2173</v>
      </c>
      <c r="C3154" s="51"/>
      <c r="D3154" s="346">
        <v>344423</v>
      </c>
      <c r="E3154" s="346">
        <f>VLOOKUP(D3154,'[1]Task list &amp; Maintenace plan'!$B:$G,6,FALSE)</f>
        <v>807</v>
      </c>
      <c r="F3154" s="347" t="s">
        <v>4491</v>
      </c>
      <c r="G3154" s="348" t="s">
        <v>2183</v>
      </c>
      <c r="H3154" s="348" t="s">
        <v>4498</v>
      </c>
      <c r="I3154" s="347">
        <v>60</v>
      </c>
      <c r="J3154" s="736"/>
      <c r="K3154" s="736">
        <v>60</v>
      </c>
      <c r="L3154" s="736">
        <v>1</v>
      </c>
      <c r="M3154" s="736">
        <f t="shared" si="21"/>
        <v>60</v>
      </c>
      <c r="N3154" s="736"/>
      <c r="O3154" s="544"/>
      <c r="P3154" s="544"/>
      <c r="Q3154" s="544"/>
      <c r="R3154" s="413"/>
      <c r="S3154" s="347"/>
    </row>
    <row r="3155" spans="1:19" x14ac:dyDescent="0.25">
      <c r="A3155" t="s">
        <v>3317</v>
      </c>
      <c r="B3155" s="50" t="s">
        <v>2173</v>
      </c>
      <c r="C3155" s="51"/>
      <c r="D3155" s="346">
        <v>344423</v>
      </c>
      <c r="E3155" s="346">
        <f>VLOOKUP(D3155,'[1]Task list &amp; Maintenace plan'!$B:$G,6,FALSE)</f>
        <v>807</v>
      </c>
      <c r="F3155" s="347" t="s">
        <v>4491</v>
      </c>
      <c r="G3155" s="348" t="s">
        <v>2187</v>
      </c>
      <c r="H3155" s="348" t="s">
        <v>4499</v>
      </c>
      <c r="I3155" s="347">
        <v>60</v>
      </c>
      <c r="J3155" s="736"/>
      <c r="K3155" s="736">
        <v>60</v>
      </c>
      <c r="L3155" s="736">
        <v>1</v>
      </c>
      <c r="M3155" s="736">
        <f t="shared" si="21"/>
        <v>60</v>
      </c>
      <c r="N3155" s="736"/>
      <c r="O3155" s="544"/>
      <c r="P3155" s="544"/>
      <c r="Q3155" s="544"/>
      <c r="R3155" s="413"/>
      <c r="S3155" s="347"/>
    </row>
    <row r="3156" spans="1:19" x14ac:dyDescent="0.25">
      <c r="A3156" t="s">
        <v>3317</v>
      </c>
      <c r="B3156" s="50" t="s">
        <v>2173</v>
      </c>
      <c r="C3156" s="51"/>
      <c r="D3156" s="349">
        <v>344423</v>
      </c>
      <c r="E3156" s="349">
        <f>VLOOKUP(D3156,'[1]Task list &amp; Maintenace plan'!$B:$G,6,FALSE)</f>
        <v>807</v>
      </c>
      <c r="F3156" s="350" t="s">
        <v>4491</v>
      </c>
      <c r="G3156" s="351" t="s">
        <v>2187</v>
      </c>
      <c r="H3156" s="351" t="s">
        <v>4500</v>
      </c>
      <c r="I3156" s="350">
        <v>60</v>
      </c>
      <c r="J3156" s="737"/>
      <c r="K3156" s="737">
        <v>60</v>
      </c>
      <c r="L3156" s="737">
        <v>1</v>
      </c>
      <c r="M3156" s="737">
        <f t="shared" si="21"/>
        <v>60</v>
      </c>
      <c r="N3156" s="737"/>
      <c r="O3156" s="544"/>
      <c r="P3156" s="544"/>
      <c r="Q3156" s="544"/>
      <c r="R3156" s="414"/>
      <c r="S3156" s="350"/>
    </row>
    <row r="3157" spans="1:19" x14ac:dyDescent="0.25">
      <c r="A3157" t="s">
        <v>3317</v>
      </c>
      <c r="B3157" s="50" t="s">
        <v>2173</v>
      </c>
      <c r="C3157" s="445"/>
      <c r="D3157" s="369">
        <v>610000004548</v>
      </c>
      <c r="E3157" s="369">
        <f>VLOOKUP(D3157,'[1]Task list &amp; Maintenace plan'!$B:$G,6,FALSE)</f>
        <v>100982</v>
      </c>
      <c r="F3157" s="370" t="s">
        <v>4501</v>
      </c>
      <c r="G3157" s="371" t="s">
        <v>620</v>
      </c>
      <c r="H3157" s="371" t="s">
        <v>4502</v>
      </c>
      <c r="I3157" s="370">
        <v>90</v>
      </c>
      <c r="J3157" s="447">
        <v>1</v>
      </c>
      <c r="K3157" s="447">
        <v>120</v>
      </c>
      <c r="L3157" s="447">
        <v>3</v>
      </c>
      <c r="M3157" s="447">
        <f t="shared" si="21"/>
        <v>360</v>
      </c>
      <c r="N3157" s="447" t="s">
        <v>468</v>
      </c>
      <c r="O3157" s="544"/>
      <c r="P3157" s="544"/>
      <c r="Q3157" s="544"/>
      <c r="R3157" s="446"/>
      <c r="S3157" s="370"/>
    </row>
    <row r="3158" spans="1:19" x14ac:dyDescent="0.25">
      <c r="A3158" t="s">
        <v>3317</v>
      </c>
      <c r="B3158" s="50" t="s">
        <v>2173</v>
      </c>
      <c r="C3158" s="445"/>
      <c r="D3158" s="369">
        <v>610000004549</v>
      </c>
      <c r="E3158" s="369">
        <f>VLOOKUP(D3158,'[1]Task list &amp; Maintenace plan'!$B:$G,6,FALSE)</f>
        <v>100983</v>
      </c>
      <c r="F3158" s="370" t="s">
        <v>4503</v>
      </c>
      <c r="G3158" s="371" t="s">
        <v>2195</v>
      </c>
      <c r="H3158" s="371" t="s">
        <v>4504</v>
      </c>
      <c r="I3158" s="370">
        <v>180</v>
      </c>
      <c r="J3158" s="447">
        <v>1</v>
      </c>
      <c r="K3158" s="447">
        <v>120</v>
      </c>
      <c r="L3158" s="447">
        <v>3</v>
      </c>
      <c r="M3158" s="447">
        <f t="shared" si="21"/>
        <v>360</v>
      </c>
      <c r="N3158" s="447" t="s">
        <v>468</v>
      </c>
      <c r="O3158" s="544"/>
      <c r="P3158" s="544"/>
      <c r="Q3158" s="544"/>
      <c r="R3158" s="446"/>
      <c r="S3158" s="370"/>
    </row>
    <row r="3159" spans="1:19" x14ac:dyDescent="0.25">
      <c r="A3159" t="s">
        <v>3317</v>
      </c>
      <c r="B3159" s="50" t="s">
        <v>2173</v>
      </c>
      <c r="C3159" s="445"/>
      <c r="D3159" s="340">
        <v>610000004550</v>
      </c>
      <c r="E3159" s="340">
        <f>VLOOKUP(D3159,'[1]Task list &amp; Maintenace plan'!$B:$G,6,FALSE)</f>
        <v>100984</v>
      </c>
      <c r="F3159" s="341" t="s">
        <v>4505</v>
      </c>
      <c r="G3159" s="342" t="s">
        <v>4435</v>
      </c>
      <c r="H3159" s="342" t="s">
        <v>4506</v>
      </c>
      <c r="I3159" s="341">
        <v>270</v>
      </c>
      <c r="J3159" s="740">
        <v>1</v>
      </c>
      <c r="K3159" s="740">
        <v>60</v>
      </c>
      <c r="L3159" s="740">
        <v>2</v>
      </c>
      <c r="M3159" s="740">
        <f t="shared" si="21"/>
        <v>120</v>
      </c>
      <c r="N3159" s="740" t="s">
        <v>468</v>
      </c>
      <c r="O3159" s="544"/>
      <c r="P3159" s="544"/>
      <c r="Q3159" s="544"/>
      <c r="R3159" s="631"/>
      <c r="S3159" s="341"/>
    </row>
    <row r="3160" spans="1:19" x14ac:dyDescent="0.25">
      <c r="A3160" t="s">
        <v>3317</v>
      </c>
      <c r="B3160" s="50" t="s">
        <v>2173</v>
      </c>
      <c r="C3160" s="445"/>
      <c r="D3160" s="337">
        <v>610000004550</v>
      </c>
      <c r="E3160" s="337">
        <f>VLOOKUP(D3160,'[1]Task list &amp; Maintenace plan'!$B:$G,6,FALSE)</f>
        <v>100984</v>
      </c>
      <c r="F3160" s="338" t="s">
        <v>4505</v>
      </c>
      <c r="G3160" s="339" t="s">
        <v>2181</v>
      </c>
      <c r="H3160" s="339" t="s">
        <v>4507</v>
      </c>
      <c r="I3160" s="338">
        <v>270</v>
      </c>
      <c r="J3160" s="742">
        <v>1</v>
      </c>
      <c r="K3160" s="742">
        <v>60</v>
      </c>
      <c r="L3160" s="742">
        <v>2</v>
      </c>
      <c r="M3160" s="742">
        <f t="shared" si="21"/>
        <v>120</v>
      </c>
      <c r="N3160" s="742"/>
      <c r="O3160" s="544"/>
      <c r="P3160" s="544"/>
      <c r="Q3160" s="544"/>
      <c r="R3160" s="453"/>
      <c r="S3160" s="338"/>
    </row>
    <row r="3161" spans="1:19" x14ac:dyDescent="0.25">
      <c r="A3161" t="s">
        <v>3317</v>
      </c>
      <c r="B3161" s="50" t="s">
        <v>2173</v>
      </c>
      <c r="C3161" s="445"/>
      <c r="D3161" s="340">
        <v>610000004551</v>
      </c>
      <c r="E3161" s="340">
        <f>VLOOKUP(D3161,'[1]Task list &amp; Maintenace plan'!$B:$G,6,FALSE)</f>
        <v>100985</v>
      </c>
      <c r="F3161" s="341" t="s">
        <v>4508</v>
      </c>
      <c r="G3161" s="342" t="s">
        <v>2185</v>
      </c>
      <c r="H3161" s="342" t="s">
        <v>4509</v>
      </c>
      <c r="I3161" s="341">
        <v>270</v>
      </c>
      <c r="J3161" s="740">
        <v>1</v>
      </c>
      <c r="K3161" s="740">
        <v>60</v>
      </c>
      <c r="L3161" s="740">
        <v>2</v>
      </c>
      <c r="M3161" s="740">
        <f t="shared" si="21"/>
        <v>120</v>
      </c>
      <c r="N3161" s="740" t="s">
        <v>468</v>
      </c>
      <c r="O3161" s="544"/>
      <c r="P3161" s="544"/>
      <c r="Q3161" s="544"/>
      <c r="R3161" s="631"/>
      <c r="S3161" s="341"/>
    </row>
    <row r="3162" spans="1:19" x14ac:dyDescent="0.25">
      <c r="A3162" t="s">
        <v>3317</v>
      </c>
      <c r="B3162" s="50" t="s">
        <v>2173</v>
      </c>
      <c r="C3162" s="445"/>
      <c r="D3162" s="337">
        <v>610000004551</v>
      </c>
      <c r="E3162" s="337">
        <f>VLOOKUP(D3162,'[1]Task list &amp; Maintenace plan'!$B:$G,6,FALSE)</f>
        <v>100985</v>
      </c>
      <c r="F3162" s="338" t="s">
        <v>4508</v>
      </c>
      <c r="G3162" s="339" t="s">
        <v>2189</v>
      </c>
      <c r="H3162" s="339" t="s">
        <v>4510</v>
      </c>
      <c r="I3162" s="338">
        <v>270</v>
      </c>
      <c r="J3162" s="742">
        <v>1</v>
      </c>
      <c r="K3162" s="742">
        <v>60</v>
      </c>
      <c r="L3162" s="742">
        <v>2</v>
      </c>
      <c r="M3162" s="742">
        <f t="shared" si="21"/>
        <v>120</v>
      </c>
      <c r="N3162" s="742"/>
      <c r="O3162" s="544"/>
      <c r="P3162" s="544"/>
      <c r="Q3162" s="544"/>
      <c r="R3162" s="453"/>
      <c r="S3162" s="338"/>
    </row>
    <row r="3163" spans="1:19" x14ac:dyDescent="0.25">
      <c r="A3163" t="s">
        <v>3317</v>
      </c>
      <c r="B3163" s="50" t="s">
        <v>2173</v>
      </c>
      <c r="C3163" s="445"/>
      <c r="D3163" s="340">
        <v>610000004552</v>
      </c>
      <c r="E3163" s="340">
        <f>VLOOKUP(D3163,'[1]Task list &amp; Maintenace plan'!$B:$G,6,FALSE)</f>
        <v>100986</v>
      </c>
      <c r="F3163" s="341" t="s">
        <v>4511</v>
      </c>
      <c r="G3163" s="342" t="s">
        <v>2238</v>
      </c>
      <c r="H3163" s="342" t="s">
        <v>4512</v>
      </c>
      <c r="I3163" s="341">
        <v>270</v>
      </c>
      <c r="J3163" s="740">
        <v>1</v>
      </c>
      <c r="K3163" s="740">
        <v>90</v>
      </c>
      <c r="L3163" s="740">
        <v>2</v>
      </c>
      <c r="M3163" s="740">
        <f t="shared" si="21"/>
        <v>180</v>
      </c>
      <c r="N3163" s="740" t="s">
        <v>3174</v>
      </c>
      <c r="O3163" s="544"/>
      <c r="P3163" s="544"/>
      <c r="Q3163" s="544"/>
      <c r="R3163" s="631" t="s">
        <v>4364</v>
      </c>
      <c r="S3163" s="341" t="s">
        <v>4513</v>
      </c>
    </row>
    <row r="3164" spans="1:19" x14ac:dyDescent="0.25">
      <c r="A3164" t="s">
        <v>3317</v>
      </c>
      <c r="B3164" s="50" t="s">
        <v>2173</v>
      </c>
      <c r="C3164" s="445"/>
      <c r="D3164" s="326">
        <v>610000004552</v>
      </c>
      <c r="E3164" s="326">
        <f>VLOOKUP(D3164,'[1]Task list &amp; Maintenace plan'!$B:$G,6,FALSE)</f>
        <v>100986</v>
      </c>
      <c r="F3164" s="327" t="s">
        <v>4511</v>
      </c>
      <c r="G3164" s="328" t="s">
        <v>2238</v>
      </c>
      <c r="H3164" s="328" t="s">
        <v>4514</v>
      </c>
      <c r="I3164" s="327">
        <v>270</v>
      </c>
      <c r="J3164" s="741">
        <v>1</v>
      </c>
      <c r="K3164" s="741">
        <v>90</v>
      </c>
      <c r="L3164" s="741">
        <v>2</v>
      </c>
      <c r="M3164" s="741">
        <f t="shared" si="21"/>
        <v>180</v>
      </c>
      <c r="N3164" s="741"/>
      <c r="O3164" s="544"/>
      <c r="P3164" s="544"/>
      <c r="Q3164" s="544"/>
      <c r="R3164" s="451" t="s">
        <v>4364</v>
      </c>
      <c r="S3164" s="327" t="s">
        <v>4515</v>
      </c>
    </row>
    <row r="3165" spans="1:19" x14ac:dyDescent="0.25">
      <c r="A3165" t="s">
        <v>3317</v>
      </c>
      <c r="B3165" s="50" t="s">
        <v>2173</v>
      </c>
      <c r="C3165" s="445"/>
      <c r="D3165" s="326">
        <v>610000004552</v>
      </c>
      <c r="E3165" s="326">
        <f>VLOOKUP(D3165,'[1]Task list &amp; Maintenace plan'!$B:$G,6,FALSE)</f>
        <v>100986</v>
      </c>
      <c r="F3165" s="327" t="s">
        <v>4511</v>
      </c>
      <c r="G3165" s="328" t="s">
        <v>2238</v>
      </c>
      <c r="H3165" s="328" t="s">
        <v>4516</v>
      </c>
      <c r="I3165" s="327">
        <v>270</v>
      </c>
      <c r="J3165" s="741">
        <v>1</v>
      </c>
      <c r="K3165" s="741">
        <v>90</v>
      </c>
      <c r="L3165" s="741">
        <v>2</v>
      </c>
      <c r="M3165" s="741">
        <f t="shared" si="21"/>
        <v>180</v>
      </c>
      <c r="N3165" s="741"/>
      <c r="O3165" s="544"/>
      <c r="P3165" s="544"/>
      <c r="Q3165" s="544"/>
      <c r="R3165" s="451" t="s">
        <v>4364</v>
      </c>
      <c r="S3165" s="327" t="s">
        <v>4517</v>
      </c>
    </row>
    <row r="3166" spans="1:19" x14ac:dyDescent="0.25">
      <c r="A3166" t="s">
        <v>3317</v>
      </c>
      <c r="B3166" s="50" t="s">
        <v>2173</v>
      </c>
      <c r="C3166" s="445"/>
      <c r="D3166" s="337">
        <v>610000004552</v>
      </c>
      <c r="E3166" s="337">
        <f>VLOOKUP(D3166,'[1]Task list &amp; Maintenace plan'!$B:$G,6,FALSE)</f>
        <v>100986</v>
      </c>
      <c r="F3166" s="338" t="s">
        <v>4511</v>
      </c>
      <c r="G3166" s="339" t="s">
        <v>4435</v>
      </c>
      <c r="H3166" s="339" t="s">
        <v>4518</v>
      </c>
      <c r="I3166" s="338">
        <v>270</v>
      </c>
      <c r="J3166" s="742">
        <v>1</v>
      </c>
      <c r="K3166" s="742">
        <v>90</v>
      </c>
      <c r="L3166" s="742">
        <v>2</v>
      </c>
      <c r="M3166" s="742">
        <f t="shared" si="21"/>
        <v>180</v>
      </c>
      <c r="N3166" s="742"/>
      <c r="O3166" s="544"/>
      <c r="P3166" s="544"/>
      <c r="Q3166" s="544"/>
      <c r="R3166" s="453" t="s">
        <v>4364</v>
      </c>
      <c r="S3166" s="338" t="s">
        <v>4519</v>
      </c>
    </row>
    <row r="3167" spans="1:19" x14ac:dyDescent="0.25">
      <c r="A3167" t="s">
        <v>3317</v>
      </c>
      <c r="B3167" s="50" t="s">
        <v>2173</v>
      </c>
      <c r="C3167" s="445"/>
      <c r="D3167" s="340">
        <v>610000004553</v>
      </c>
      <c r="E3167" s="340">
        <f>VLOOKUP(D3167,'[1]Task list &amp; Maintenace plan'!$B:$G,6,FALSE)</f>
        <v>100987</v>
      </c>
      <c r="F3167" s="341" t="s">
        <v>4520</v>
      </c>
      <c r="G3167" s="342" t="s">
        <v>2179</v>
      </c>
      <c r="H3167" s="342" t="s">
        <v>4521</v>
      </c>
      <c r="I3167" s="341">
        <v>270</v>
      </c>
      <c r="J3167" s="740">
        <v>1</v>
      </c>
      <c r="K3167" s="740">
        <v>60</v>
      </c>
      <c r="L3167" s="740">
        <v>2</v>
      </c>
      <c r="M3167" s="740">
        <f t="shared" si="21"/>
        <v>120</v>
      </c>
      <c r="N3167" s="740" t="s">
        <v>3174</v>
      </c>
      <c r="O3167" s="544"/>
      <c r="P3167" s="544"/>
      <c r="Q3167" s="544"/>
      <c r="R3167" s="631" t="s">
        <v>4364</v>
      </c>
      <c r="S3167" s="341" t="s">
        <v>4515</v>
      </c>
    </row>
    <row r="3168" spans="1:19" x14ac:dyDescent="0.25">
      <c r="A3168" t="s">
        <v>3317</v>
      </c>
      <c r="B3168" s="50" t="s">
        <v>2173</v>
      </c>
      <c r="C3168" s="445"/>
      <c r="D3168" s="326">
        <v>610000004553</v>
      </c>
      <c r="E3168" s="326">
        <f>VLOOKUP(D3168,'[1]Task list &amp; Maintenace plan'!$B:$G,6,FALSE)</f>
        <v>100987</v>
      </c>
      <c r="F3168" s="327" t="s">
        <v>4520</v>
      </c>
      <c r="G3168" s="328" t="s">
        <v>2179</v>
      </c>
      <c r="H3168" s="328" t="s">
        <v>4522</v>
      </c>
      <c r="I3168" s="327">
        <v>270</v>
      </c>
      <c r="J3168" s="741">
        <v>1</v>
      </c>
      <c r="K3168" s="741">
        <v>60</v>
      </c>
      <c r="L3168" s="741">
        <v>2</v>
      </c>
      <c r="M3168" s="741">
        <f t="shared" si="21"/>
        <v>120</v>
      </c>
      <c r="N3168" s="741"/>
      <c r="O3168" s="544"/>
      <c r="P3168" s="544"/>
      <c r="Q3168" s="544"/>
      <c r="R3168" s="451" t="s">
        <v>4364</v>
      </c>
      <c r="S3168" s="327" t="s">
        <v>4515</v>
      </c>
    </row>
    <row r="3169" spans="1:19" x14ac:dyDescent="0.25">
      <c r="A3169" t="s">
        <v>3317</v>
      </c>
      <c r="B3169" s="50" t="s">
        <v>2173</v>
      </c>
      <c r="C3169" s="445"/>
      <c r="D3169" s="337">
        <v>610000004553</v>
      </c>
      <c r="E3169" s="337">
        <f>VLOOKUP(D3169,'[1]Task list &amp; Maintenace plan'!$B:$G,6,FALSE)</f>
        <v>100987</v>
      </c>
      <c r="F3169" s="338" t="s">
        <v>4520</v>
      </c>
      <c r="G3169" s="339" t="s">
        <v>2181</v>
      </c>
      <c r="H3169" s="339" t="s">
        <v>4523</v>
      </c>
      <c r="I3169" s="338">
        <v>270</v>
      </c>
      <c r="J3169" s="742">
        <v>1</v>
      </c>
      <c r="K3169" s="742">
        <v>60</v>
      </c>
      <c r="L3169" s="742">
        <v>2</v>
      </c>
      <c r="M3169" s="742">
        <f t="shared" si="21"/>
        <v>120</v>
      </c>
      <c r="N3169" s="742"/>
      <c r="O3169" s="544"/>
      <c r="P3169" s="544"/>
      <c r="Q3169" s="544"/>
      <c r="R3169" s="453" t="s">
        <v>4364</v>
      </c>
      <c r="S3169" s="338" t="s">
        <v>4524</v>
      </c>
    </row>
    <row r="3170" spans="1:19" x14ac:dyDescent="0.25">
      <c r="A3170" t="s">
        <v>3317</v>
      </c>
      <c r="B3170" s="50" t="s">
        <v>2173</v>
      </c>
      <c r="C3170" s="445"/>
      <c r="D3170" s="340">
        <v>610000004554</v>
      </c>
      <c r="E3170" s="340">
        <f>VLOOKUP(D3170,'[1]Task list &amp; Maintenace plan'!$B:$G,6,FALSE)</f>
        <v>100988</v>
      </c>
      <c r="F3170" s="341" t="s">
        <v>4525</v>
      </c>
      <c r="G3170" s="342" t="s">
        <v>2183</v>
      </c>
      <c r="H3170" s="342" t="s">
        <v>4526</v>
      </c>
      <c r="I3170" s="341">
        <v>270</v>
      </c>
      <c r="J3170" s="740">
        <v>1</v>
      </c>
      <c r="K3170" s="740">
        <v>60</v>
      </c>
      <c r="L3170" s="740">
        <v>2</v>
      </c>
      <c r="M3170" s="740">
        <f t="shared" si="21"/>
        <v>120</v>
      </c>
      <c r="N3170" s="740" t="s">
        <v>3174</v>
      </c>
      <c r="O3170" s="544"/>
      <c r="P3170" s="544"/>
      <c r="Q3170" s="544"/>
      <c r="R3170" s="631" t="s">
        <v>4364</v>
      </c>
      <c r="S3170" s="341" t="s">
        <v>4515</v>
      </c>
    </row>
    <row r="3171" spans="1:19" x14ac:dyDescent="0.25">
      <c r="A3171" t="s">
        <v>3317</v>
      </c>
      <c r="B3171" s="50" t="s">
        <v>2173</v>
      </c>
      <c r="C3171" s="445"/>
      <c r="D3171" s="326">
        <v>610000004554</v>
      </c>
      <c r="E3171" s="326">
        <f>VLOOKUP(D3171,'[1]Task list &amp; Maintenace plan'!$B:$G,6,FALSE)</f>
        <v>100988</v>
      </c>
      <c r="F3171" s="327" t="s">
        <v>4525</v>
      </c>
      <c r="G3171" s="328" t="s">
        <v>2183</v>
      </c>
      <c r="H3171" s="328" t="s">
        <v>4527</v>
      </c>
      <c r="I3171" s="327">
        <v>270</v>
      </c>
      <c r="J3171" s="741">
        <v>1</v>
      </c>
      <c r="K3171" s="741">
        <v>60</v>
      </c>
      <c r="L3171" s="741">
        <v>2</v>
      </c>
      <c r="M3171" s="741">
        <f t="shared" si="21"/>
        <v>120</v>
      </c>
      <c r="N3171" s="741"/>
      <c r="O3171" s="544"/>
      <c r="P3171" s="544"/>
      <c r="Q3171" s="544"/>
      <c r="R3171" s="451" t="s">
        <v>4364</v>
      </c>
      <c r="S3171" s="327" t="s">
        <v>4515</v>
      </c>
    </row>
    <row r="3172" spans="1:19" x14ac:dyDescent="0.25">
      <c r="A3172" t="s">
        <v>3317</v>
      </c>
      <c r="B3172" s="50" t="s">
        <v>2173</v>
      </c>
      <c r="C3172" s="445"/>
      <c r="D3172" s="337">
        <v>610000004554</v>
      </c>
      <c r="E3172" s="337">
        <f>VLOOKUP(D3172,'[1]Task list &amp; Maintenace plan'!$B:$G,6,FALSE)</f>
        <v>100988</v>
      </c>
      <c r="F3172" s="338" t="s">
        <v>4525</v>
      </c>
      <c r="G3172" s="339" t="s">
        <v>2185</v>
      </c>
      <c r="H3172" s="339" t="s">
        <v>4528</v>
      </c>
      <c r="I3172" s="338">
        <v>270</v>
      </c>
      <c r="J3172" s="742">
        <v>1</v>
      </c>
      <c r="K3172" s="742">
        <v>60</v>
      </c>
      <c r="L3172" s="742">
        <v>2</v>
      </c>
      <c r="M3172" s="742">
        <f t="shared" si="21"/>
        <v>120</v>
      </c>
      <c r="N3172" s="742"/>
      <c r="O3172" s="544"/>
      <c r="P3172" s="544"/>
      <c r="Q3172" s="544"/>
      <c r="R3172" s="453" t="s">
        <v>4364</v>
      </c>
      <c r="S3172" s="338" t="s">
        <v>4524</v>
      </c>
    </row>
    <row r="3173" spans="1:19" x14ac:dyDescent="0.25">
      <c r="A3173" t="s">
        <v>3317</v>
      </c>
      <c r="B3173" s="50" t="s">
        <v>2173</v>
      </c>
      <c r="C3173" s="445"/>
      <c r="D3173" s="340">
        <v>610000004555</v>
      </c>
      <c r="E3173" s="340">
        <f>VLOOKUP(D3173,'[1]Task list &amp; Maintenace plan'!$B:$G,6,FALSE)</f>
        <v>100989</v>
      </c>
      <c r="F3173" s="341" t="s">
        <v>4529</v>
      </c>
      <c r="G3173" s="342" t="s">
        <v>2187</v>
      </c>
      <c r="H3173" s="342" t="s">
        <v>4530</v>
      </c>
      <c r="I3173" s="341">
        <v>270</v>
      </c>
      <c r="J3173" s="740">
        <v>1</v>
      </c>
      <c r="K3173" s="740">
        <v>60</v>
      </c>
      <c r="L3173" s="740">
        <v>2</v>
      </c>
      <c r="M3173" s="740">
        <f t="shared" si="21"/>
        <v>120</v>
      </c>
      <c r="N3173" s="740" t="s">
        <v>3174</v>
      </c>
      <c r="O3173" s="544"/>
      <c r="P3173" s="544"/>
      <c r="Q3173" s="544"/>
      <c r="R3173" s="631" t="s">
        <v>4364</v>
      </c>
      <c r="S3173" s="341" t="s">
        <v>4515</v>
      </c>
    </row>
    <row r="3174" spans="1:19" x14ac:dyDescent="0.25">
      <c r="A3174" t="s">
        <v>3317</v>
      </c>
      <c r="B3174" s="50" t="s">
        <v>2173</v>
      </c>
      <c r="C3174" s="445"/>
      <c r="D3174" s="326">
        <v>610000004555</v>
      </c>
      <c r="E3174" s="326">
        <f>VLOOKUP(D3174,'[1]Task list &amp; Maintenace plan'!$B:$G,6,FALSE)</f>
        <v>100989</v>
      </c>
      <c r="F3174" s="327" t="s">
        <v>4529</v>
      </c>
      <c r="G3174" s="328" t="s">
        <v>2187</v>
      </c>
      <c r="H3174" s="328" t="s">
        <v>4531</v>
      </c>
      <c r="I3174" s="327">
        <v>270</v>
      </c>
      <c r="J3174" s="741">
        <v>1</v>
      </c>
      <c r="K3174" s="741">
        <v>60</v>
      </c>
      <c r="L3174" s="741">
        <v>2</v>
      </c>
      <c r="M3174" s="741">
        <f t="shared" si="21"/>
        <v>120</v>
      </c>
      <c r="N3174" s="741"/>
      <c r="O3174" s="544"/>
      <c r="P3174" s="544"/>
      <c r="Q3174" s="544"/>
      <c r="R3174" s="451" t="s">
        <v>4364</v>
      </c>
      <c r="S3174" s="327" t="s">
        <v>4515</v>
      </c>
    </row>
    <row r="3175" spans="1:19" x14ac:dyDescent="0.25">
      <c r="A3175" t="s">
        <v>3317</v>
      </c>
      <c r="B3175" s="50" t="s">
        <v>2173</v>
      </c>
      <c r="C3175" s="445"/>
      <c r="D3175" s="337">
        <v>610000004555</v>
      </c>
      <c r="E3175" s="337">
        <f>VLOOKUP(D3175,'[1]Task list &amp; Maintenace plan'!$B:$G,6,FALSE)</f>
        <v>100989</v>
      </c>
      <c r="F3175" s="338" t="s">
        <v>4529</v>
      </c>
      <c r="G3175" s="339" t="s">
        <v>2189</v>
      </c>
      <c r="H3175" s="339" t="s">
        <v>4532</v>
      </c>
      <c r="I3175" s="338">
        <v>270</v>
      </c>
      <c r="J3175" s="742">
        <v>1</v>
      </c>
      <c r="K3175" s="742">
        <v>60</v>
      </c>
      <c r="L3175" s="742">
        <v>2</v>
      </c>
      <c r="M3175" s="742">
        <f t="shared" si="21"/>
        <v>120</v>
      </c>
      <c r="N3175" s="742"/>
      <c r="O3175" s="544"/>
      <c r="P3175" s="544"/>
      <c r="Q3175" s="544"/>
      <c r="R3175" s="453" t="s">
        <v>4364</v>
      </c>
      <c r="S3175" s="338" t="s">
        <v>4533</v>
      </c>
    </row>
    <row r="3176" spans="1:19" x14ac:dyDescent="0.25">
      <c r="A3176" t="s">
        <v>3317</v>
      </c>
      <c r="B3176" s="50" t="s">
        <v>2173</v>
      </c>
      <c r="C3176" s="445"/>
      <c r="D3176" s="369">
        <v>610000004556</v>
      </c>
      <c r="E3176" s="369">
        <f>VLOOKUP(D3176,'[1]Task list &amp; Maintenace plan'!$B:$G,6,FALSE)</f>
        <v>100990</v>
      </c>
      <c r="F3176" s="370" t="s">
        <v>4534</v>
      </c>
      <c r="G3176" s="371" t="s">
        <v>620</v>
      </c>
      <c r="H3176" s="371" t="s">
        <v>4535</v>
      </c>
      <c r="I3176" s="370">
        <v>270</v>
      </c>
      <c r="J3176" s="447">
        <v>1</v>
      </c>
      <c r="K3176" s="447">
        <v>60</v>
      </c>
      <c r="L3176" s="447">
        <v>2</v>
      </c>
      <c r="M3176" s="447">
        <f t="shared" si="21"/>
        <v>120</v>
      </c>
      <c r="N3176" s="447" t="s">
        <v>3174</v>
      </c>
      <c r="O3176" s="544"/>
      <c r="P3176" s="544"/>
      <c r="Q3176" s="544"/>
      <c r="R3176" s="446" t="s">
        <v>4364</v>
      </c>
      <c r="S3176" s="370" t="s">
        <v>4536</v>
      </c>
    </row>
    <row r="3177" spans="1:19" x14ac:dyDescent="0.25">
      <c r="A3177" t="s">
        <v>3317</v>
      </c>
      <c r="B3177" s="50" t="s">
        <v>2173</v>
      </c>
      <c r="C3177" s="445"/>
      <c r="D3177" s="369">
        <v>610000004557</v>
      </c>
      <c r="E3177" s="369">
        <f>VLOOKUP(D3177,'[1]Task list &amp; Maintenace plan'!$B:$G,6,FALSE)</f>
        <v>100991</v>
      </c>
      <c r="F3177" s="370" t="s">
        <v>4537</v>
      </c>
      <c r="G3177" s="371" t="s">
        <v>2193</v>
      </c>
      <c r="H3177" s="371" t="s">
        <v>4538</v>
      </c>
      <c r="I3177" s="370">
        <v>270</v>
      </c>
      <c r="J3177" s="447">
        <v>1</v>
      </c>
      <c r="K3177" s="447">
        <v>60</v>
      </c>
      <c r="L3177" s="447">
        <v>2</v>
      </c>
      <c r="M3177" s="447">
        <f t="shared" si="21"/>
        <v>120</v>
      </c>
      <c r="N3177" s="447" t="s">
        <v>3174</v>
      </c>
      <c r="O3177" s="544"/>
      <c r="P3177" s="544"/>
      <c r="Q3177" s="544"/>
      <c r="R3177" s="446" t="s">
        <v>4364</v>
      </c>
      <c r="S3177" s="370" t="s">
        <v>4539</v>
      </c>
    </row>
    <row r="3178" spans="1:19" x14ac:dyDescent="0.25">
      <c r="A3178" t="s">
        <v>3317</v>
      </c>
      <c r="B3178" s="50" t="s">
        <v>2173</v>
      </c>
      <c r="C3178" s="445"/>
      <c r="D3178" s="369">
        <v>610000004558</v>
      </c>
      <c r="E3178" s="369">
        <f>VLOOKUP(D3178,'[1]Task list &amp; Maintenace plan'!$B:$G,6,FALSE)</f>
        <v>100992</v>
      </c>
      <c r="F3178" s="370" t="s">
        <v>4540</v>
      </c>
      <c r="G3178" s="371" t="s">
        <v>2195</v>
      </c>
      <c r="H3178" s="371" t="s">
        <v>4541</v>
      </c>
      <c r="I3178" s="370">
        <v>270</v>
      </c>
      <c r="J3178" s="447">
        <v>1</v>
      </c>
      <c r="K3178" s="447">
        <v>60</v>
      </c>
      <c r="L3178" s="447">
        <v>2</v>
      </c>
      <c r="M3178" s="447">
        <f t="shared" si="21"/>
        <v>120</v>
      </c>
      <c r="N3178" s="447" t="s">
        <v>3174</v>
      </c>
      <c r="O3178" s="544"/>
      <c r="P3178" s="544"/>
      <c r="Q3178" s="544"/>
      <c r="R3178" s="446" t="s">
        <v>4364</v>
      </c>
      <c r="S3178" s="370" t="s">
        <v>4542</v>
      </c>
    </row>
    <row r="3179" spans="1:19" ht="15.75" thickBot="1" x14ac:dyDescent="0.3">
      <c r="A3179" t="s">
        <v>3317</v>
      </c>
      <c r="B3179" s="50" t="s">
        <v>2173</v>
      </c>
      <c r="C3179" s="520"/>
      <c r="D3179" s="632">
        <v>357594</v>
      </c>
      <c r="E3179" s="632">
        <f>VLOOKUP(D3179,'[1]Task list &amp; Maintenace plan'!$B:$G,6,FALSE)</f>
        <v>2051</v>
      </c>
      <c r="F3179" s="633" t="s">
        <v>4543</v>
      </c>
      <c r="G3179" s="426" t="s">
        <v>620</v>
      </c>
      <c r="H3179" s="426" t="s">
        <v>4544</v>
      </c>
      <c r="I3179" s="633">
        <v>365</v>
      </c>
      <c r="J3179" s="634">
        <v>1</v>
      </c>
      <c r="K3179" s="634">
        <v>120</v>
      </c>
      <c r="L3179" s="634">
        <v>3</v>
      </c>
      <c r="M3179" s="634">
        <f t="shared" si="21"/>
        <v>360</v>
      </c>
      <c r="N3179" s="634" t="s">
        <v>468</v>
      </c>
      <c r="O3179" s="544"/>
      <c r="P3179" s="544"/>
      <c r="Q3179" s="544"/>
      <c r="R3179" s="635"/>
      <c r="S3179" s="633"/>
    </row>
    <row r="3180" spans="1:19" x14ac:dyDescent="0.25">
      <c r="A3180" t="s">
        <v>3317</v>
      </c>
      <c r="B3180" s="504" t="s">
        <v>2242</v>
      </c>
      <c r="C3180" s="445"/>
      <c r="D3180" s="440">
        <v>610000004559</v>
      </c>
      <c r="E3180" s="440">
        <f>VLOOKUP(D3180,'[1]Task list &amp; Maintenace plan'!$B:$G,6,FALSE)</f>
        <v>100993</v>
      </c>
      <c r="F3180" s="442" t="s">
        <v>4545</v>
      </c>
      <c r="G3180" s="441" t="s">
        <v>271</v>
      </c>
      <c r="H3180" s="441" t="s">
        <v>4546</v>
      </c>
      <c r="I3180" s="442">
        <v>7</v>
      </c>
      <c r="J3180" s="444"/>
      <c r="K3180" s="444">
        <v>10</v>
      </c>
      <c r="L3180" s="444">
        <v>1</v>
      </c>
      <c r="M3180" s="444">
        <v>20</v>
      </c>
      <c r="N3180" s="444" t="s">
        <v>3174</v>
      </c>
      <c r="O3180" s="544"/>
      <c r="P3180" s="544"/>
      <c r="Q3180" s="544"/>
      <c r="R3180" s="443"/>
      <c r="S3180" s="442"/>
    </row>
    <row r="3181" spans="1:19" x14ac:dyDescent="0.25">
      <c r="A3181" t="s">
        <v>3317</v>
      </c>
      <c r="B3181" s="504" t="s">
        <v>2242</v>
      </c>
      <c r="C3181" s="445"/>
      <c r="D3181" s="369">
        <v>610000004560</v>
      </c>
      <c r="E3181" s="369">
        <f>VLOOKUP(D3181,'[1]Task list &amp; Maintenace plan'!$B:$G,6,FALSE)</f>
        <v>100994</v>
      </c>
      <c r="F3181" s="370" t="s">
        <v>4547</v>
      </c>
      <c r="G3181" s="371" t="s">
        <v>271</v>
      </c>
      <c r="H3181" s="371" t="s">
        <v>4548</v>
      </c>
      <c r="I3181" s="370">
        <v>14</v>
      </c>
      <c r="J3181" s="447">
        <v>1</v>
      </c>
      <c r="K3181" s="447">
        <v>10</v>
      </c>
      <c r="L3181" s="447">
        <v>1</v>
      </c>
      <c r="M3181" s="447">
        <f t="shared" si="21"/>
        <v>10</v>
      </c>
      <c r="N3181" s="447" t="s">
        <v>20</v>
      </c>
      <c r="O3181" s="544"/>
      <c r="P3181" s="544"/>
      <c r="Q3181" s="544"/>
      <c r="R3181" s="446" t="s">
        <v>4549</v>
      </c>
      <c r="S3181" s="370"/>
    </row>
    <row r="3182" spans="1:19" x14ac:dyDescent="0.25">
      <c r="A3182" t="s">
        <v>3317</v>
      </c>
      <c r="B3182" s="504" t="s">
        <v>2242</v>
      </c>
      <c r="C3182" s="445"/>
      <c r="D3182" s="340">
        <v>610000004562</v>
      </c>
      <c r="E3182" s="340">
        <f>VLOOKUP(D3182,'[1]Task list &amp; Maintenace plan'!$B:$G,6,FALSE)</f>
        <v>100996</v>
      </c>
      <c r="F3182" s="341" t="s">
        <v>4550</v>
      </c>
      <c r="G3182" s="342" t="s">
        <v>2244</v>
      </c>
      <c r="H3182" s="342" t="s">
        <v>4551</v>
      </c>
      <c r="I3182" s="341">
        <v>90</v>
      </c>
      <c r="J3182" s="740"/>
      <c r="K3182" s="740">
        <v>10</v>
      </c>
      <c r="L3182" s="740">
        <v>1</v>
      </c>
      <c r="M3182" s="740">
        <f t="shared" si="21"/>
        <v>10</v>
      </c>
      <c r="N3182" s="740" t="s">
        <v>3174</v>
      </c>
      <c r="O3182" s="544"/>
      <c r="P3182" s="544"/>
      <c r="Q3182" s="544"/>
      <c r="R3182" s="631"/>
      <c r="S3182" s="341"/>
    </row>
    <row r="3183" spans="1:19" x14ac:dyDescent="0.25">
      <c r="A3183" t="s">
        <v>3317</v>
      </c>
      <c r="B3183" s="504" t="s">
        <v>2242</v>
      </c>
      <c r="C3183" s="445"/>
      <c r="D3183" s="337">
        <v>610000004562</v>
      </c>
      <c r="E3183" s="337">
        <f>VLOOKUP(D3183,'[1]Task list &amp; Maintenace plan'!$B:$G,6,FALSE)</f>
        <v>100996</v>
      </c>
      <c r="F3183" s="338" t="s">
        <v>4550</v>
      </c>
      <c r="G3183" s="339" t="s">
        <v>2246</v>
      </c>
      <c r="H3183" s="339" t="s">
        <v>4551</v>
      </c>
      <c r="I3183" s="338">
        <v>90</v>
      </c>
      <c r="J3183" s="742"/>
      <c r="K3183" s="742">
        <v>10</v>
      </c>
      <c r="L3183" s="742">
        <v>1</v>
      </c>
      <c r="M3183" s="742">
        <f t="shared" si="21"/>
        <v>10</v>
      </c>
      <c r="N3183" s="742"/>
      <c r="O3183" s="544"/>
      <c r="P3183" s="544"/>
      <c r="Q3183" s="544"/>
      <c r="R3183" s="453"/>
      <c r="S3183" s="338"/>
    </row>
    <row r="3184" spans="1:19" x14ac:dyDescent="0.25">
      <c r="A3184" t="s">
        <v>3317</v>
      </c>
      <c r="B3184" s="504" t="s">
        <v>2242</v>
      </c>
      <c r="C3184" s="445"/>
      <c r="D3184" s="340">
        <v>610000004563</v>
      </c>
      <c r="E3184" s="340">
        <f>VLOOKUP(D3184,'[1]Task list &amp; Maintenace plan'!$B:$G,6,FALSE)</f>
        <v>100997</v>
      </c>
      <c r="F3184" s="341" t="s">
        <v>4552</v>
      </c>
      <c r="G3184" s="342" t="s">
        <v>271</v>
      </c>
      <c r="H3184" s="342" t="s">
        <v>4553</v>
      </c>
      <c r="I3184" s="341">
        <v>30</v>
      </c>
      <c r="J3184" s="740"/>
      <c r="K3184" s="740">
        <v>15</v>
      </c>
      <c r="L3184" s="740">
        <v>1</v>
      </c>
      <c r="M3184" s="740">
        <f t="shared" si="21"/>
        <v>15</v>
      </c>
      <c r="N3184" s="740" t="s">
        <v>3174</v>
      </c>
      <c r="O3184" s="544"/>
      <c r="P3184" s="544"/>
      <c r="Q3184" s="544"/>
      <c r="R3184" s="631"/>
      <c r="S3184" s="341"/>
    </row>
    <row r="3185" spans="1:19" x14ac:dyDescent="0.25">
      <c r="A3185" t="s">
        <v>3317</v>
      </c>
      <c r="B3185" s="504" t="s">
        <v>2242</v>
      </c>
      <c r="C3185" s="445"/>
      <c r="D3185" s="326">
        <v>610000004563</v>
      </c>
      <c r="E3185" s="326">
        <f>VLOOKUP(D3185,'[1]Task list &amp; Maintenace plan'!$B:$G,6,FALSE)</f>
        <v>100997</v>
      </c>
      <c r="F3185" s="327" t="s">
        <v>4552</v>
      </c>
      <c r="G3185" s="328" t="s">
        <v>271</v>
      </c>
      <c r="H3185" s="328" t="s">
        <v>4555</v>
      </c>
      <c r="I3185" s="327">
        <v>30</v>
      </c>
      <c r="J3185" s="741"/>
      <c r="K3185" s="741">
        <v>15</v>
      </c>
      <c r="L3185" s="741">
        <v>1</v>
      </c>
      <c r="M3185" s="741">
        <f t="shared" si="21"/>
        <v>15</v>
      </c>
      <c r="N3185" s="741"/>
      <c r="O3185" s="544"/>
      <c r="P3185" s="544"/>
      <c r="Q3185" s="544"/>
      <c r="R3185" s="451" t="s">
        <v>4556</v>
      </c>
      <c r="S3185" s="327"/>
    </row>
    <row r="3186" spans="1:19" x14ac:dyDescent="0.25">
      <c r="A3186" t="s">
        <v>3317</v>
      </c>
      <c r="B3186" s="504" t="s">
        <v>2242</v>
      </c>
      <c r="C3186" s="445"/>
      <c r="D3186" s="326">
        <v>610000004563</v>
      </c>
      <c r="E3186" s="326">
        <f>VLOOKUP(D3186,'[1]Task list &amp; Maintenace plan'!$B:$G,6,FALSE)</f>
        <v>100997</v>
      </c>
      <c r="F3186" s="327" t="s">
        <v>4552</v>
      </c>
      <c r="G3186" s="328" t="s">
        <v>271</v>
      </c>
      <c r="H3186" s="328" t="s">
        <v>4558</v>
      </c>
      <c r="I3186" s="327">
        <v>30</v>
      </c>
      <c r="J3186" s="741"/>
      <c r="K3186" s="741">
        <v>15</v>
      </c>
      <c r="L3186" s="741">
        <v>1</v>
      </c>
      <c r="M3186" s="741">
        <f t="shared" si="21"/>
        <v>15</v>
      </c>
      <c r="N3186" s="741"/>
      <c r="O3186" s="544"/>
      <c r="P3186" s="544"/>
      <c r="Q3186" s="544"/>
      <c r="R3186" s="451" t="s">
        <v>4556</v>
      </c>
      <c r="S3186" s="327"/>
    </row>
    <row r="3187" spans="1:19" x14ac:dyDescent="0.25">
      <c r="A3187" t="s">
        <v>3317</v>
      </c>
      <c r="B3187" s="504" t="s">
        <v>2242</v>
      </c>
      <c r="C3187" s="445"/>
      <c r="D3187" s="326">
        <v>610000004563</v>
      </c>
      <c r="E3187" s="326">
        <f>VLOOKUP(D3187,'[1]Task list &amp; Maintenace plan'!$B:$G,6,FALSE)</f>
        <v>100997</v>
      </c>
      <c r="F3187" s="327" t="s">
        <v>4552</v>
      </c>
      <c r="G3187" s="328" t="s">
        <v>271</v>
      </c>
      <c r="H3187" s="328" t="s">
        <v>4559</v>
      </c>
      <c r="I3187" s="327">
        <v>30</v>
      </c>
      <c r="J3187" s="741"/>
      <c r="K3187" s="741">
        <v>15</v>
      </c>
      <c r="L3187" s="741">
        <v>1</v>
      </c>
      <c r="M3187" s="741">
        <f t="shared" si="21"/>
        <v>15</v>
      </c>
      <c r="N3187" s="741"/>
      <c r="O3187" s="544"/>
      <c r="P3187" s="544"/>
      <c r="Q3187" s="544"/>
      <c r="R3187" s="451" t="s">
        <v>4556</v>
      </c>
      <c r="S3187" s="327"/>
    </row>
    <row r="3188" spans="1:19" x14ac:dyDescent="0.25">
      <c r="A3188" t="s">
        <v>3317</v>
      </c>
      <c r="B3188" s="504" t="s">
        <v>2242</v>
      </c>
      <c r="C3188" s="445"/>
      <c r="D3188" s="326">
        <v>610000004563</v>
      </c>
      <c r="E3188" s="326">
        <f>VLOOKUP(D3188,'[1]Task list &amp; Maintenace plan'!$B:$G,6,FALSE)</f>
        <v>100997</v>
      </c>
      <c r="F3188" s="327" t="s">
        <v>4552</v>
      </c>
      <c r="G3188" s="328" t="s">
        <v>271</v>
      </c>
      <c r="H3188" s="328" t="s">
        <v>4560</v>
      </c>
      <c r="I3188" s="327">
        <v>30</v>
      </c>
      <c r="J3188" s="741"/>
      <c r="K3188" s="741">
        <v>15</v>
      </c>
      <c r="L3188" s="741">
        <v>1</v>
      </c>
      <c r="M3188" s="741">
        <f t="shared" si="21"/>
        <v>15</v>
      </c>
      <c r="N3188" s="741"/>
      <c r="O3188" s="544"/>
      <c r="P3188" s="544"/>
      <c r="Q3188" s="544"/>
      <c r="R3188" s="451" t="s">
        <v>4556</v>
      </c>
      <c r="S3188" s="327"/>
    </row>
    <row r="3189" spans="1:19" x14ac:dyDescent="0.25">
      <c r="A3189" t="s">
        <v>3317</v>
      </c>
      <c r="B3189" s="504" t="s">
        <v>2242</v>
      </c>
      <c r="C3189" s="445"/>
      <c r="D3189" s="326">
        <v>610000004563</v>
      </c>
      <c r="E3189" s="326">
        <f>VLOOKUP(D3189,'[1]Task list &amp; Maintenace plan'!$B:$G,6,FALSE)</f>
        <v>100997</v>
      </c>
      <c r="F3189" s="327" t="s">
        <v>4552</v>
      </c>
      <c r="G3189" s="328" t="s">
        <v>271</v>
      </c>
      <c r="H3189" s="328" t="s">
        <v>4561</v>
      </c>
      <c r="I3189" s="327">
        <v>30</v>
      </c>
      <c r="J3189" s="741"/>
      <c r="K3189" s="741">
        <v>15</v>
      </c>
      <c r="L3189" s="741">
        <v>1</v>
      </c>
      <c r="M3189" s="741">
        <f t="shared" si="21"/>
        <v>15</v>
      </c>
      <c r="N3189" s="741"/>
      <c r="O3189" s="544"/>
      <c r="P3189" s="544"/>
      <c r="Q3189" s="544"/>
      <c r="R3189" s="451" t="s">
        <v>4556</v>
      </c>
      <c r="S3189" s="327"/>
    </row>
    <row r="3190" spans="1:19" x14ac:dyDescent="0.25">
      <c r="A3190" t="s">
        <v>3317</v>
      </c>
      <c r="B3190" s="504" t="s">
        <v>2242</v>
      </c>
      <c r="C3190" s="445"/>
      <c r="D3190" s="326">
        <v>610000004563</v>
      </c>
      <c r="E3190" s="326">
        <f>VLOOKUP(D3190,'[1]Task list &amp; Maintenace plan'!$B:$G,6,FALSE)</f>
        <v>100997</v>
      </c>
      <c r="F3190" s="327" t="s">
        <v>4552</v>
      </c>
      <c r="G3190" s="328" t="s">
        <v>271</v>
      </c>
      <c r="H3190" s="328" t="s">
        <v>4562</v>
      </c>
      <c r="I3190" s="327">
        <v>30</v>
      </c>
      <c r="J3190" s="741"/>
      <c r="K3190" s="741">
        <v>15</v>
      </c>
      <c r="L3190" s="741">
        <v>1</v>
      </c>
      <c r="M3190" s="741">
        <f t="shared" si="21"/>
        <v>15</v>
      </c>
      <c r="N3190" s="741"/>
      <c r="O3190" s="544"/>
      <c r="P3190" s="544"/>
      <c r="Q3190" s="544"/>
      <c r="R3190" s="451" t="s">
        <v>4556</v>
      </c>
      <c r="S3190" s="327"/>
    </row>
    <row r="3191" spans="1:19" x14ac:dyDescent="0.25">
      <c r="A3191" t="s">
        <v>3317</v>
      </c>
      <c r="B3191" s="504" t="s">
        <v>2242</v>
      </c>
      <c r="C3191" s="445"/>
      <c r="D3191" s="326">
        <v>610000004563</v>
      </c>
      <c r="E3191" s="326">
        <f>VLOOKUP(D3191,'[1]Task list &amp; Maintenace plan'!$B:$G,6,FALSE)</f>
        <v>100997</v>
      </c>
      <c r="F3191" s="327" t="s">
        <v>4552</v>
      </c>
      <c r="G3191" s="328" t="s">
        <v>271</v>
      </c>
      <c r="H3191" s="328" t="s">
        <v>4563</v>
      </c>
      <c r="I3191" s="327">
        <v>30</v>
      </c>
      <c r="J3191" s="741"/>
      <c r="K3191" s="741">
        <v>15</v>
      </c>
      <c r="L3191" s="741">
        <v>1</v>
      </c>
      <c r="M3191" s="741">
        <f t="shared" si="21"/>
        <v>15</v>
      </c>
      <c r="N3191" s="741"/>
      <c r="O3191" s="544"/>
      <c r="P3191" s="544"/>
      <c r="Q3191" s="544"/>
      <c r="R3191" s="451" t="s">
        <v>4556</v>
      </c>
      <c r="S3191" s="327"/>
    </row>
    <row r="3192" spans="1:19" x14ac:dyDescent="0.25">
      <c r="A3192" t="s">
        <v>3317</v>
      </c>
      <c r="B3192" s="504" t="s">
        <v>2242</v>
      </c>
      <c r="C3192" s="445"/>
      <c r="D3192" s="326">
        <v>610000004563</v>
      </c>
      <c r="E3192" s="326">
        <f>VLOOKUP(D3192,'[1]Task list &amp; Maintenace plan'!$B:$G,6,FALSE)</f>
        <v>100997</v>
      </c>
      <c r="F3192" s="327" t="s">
        <v>4552</v>
      </c>
      <c r="G3192" s="328" t="s">
        <v>271</v>
      </c>
      <c r="H3192" s="328" t="s">
        <v>4564</v>
      </c>
      <c r="I3192" s="327">
        <v>30</v>
      </c>
      <c r="J3192" s="741"/>
      <c r="K3192" s="741">
        <v>15</v>
      </c>
      <c r="L3192" s="741">
        <v>1</v>
      </c>
      <c r="M3192" s="741">
        <f t="shared" si="21"/>
        <v>15</v>
      </c>
      <c r="N3192" s="741"/>
      <c r="O3192" s="544"/>
      <c r="P3192" s="544"/>
      <c r="Q3192" s="544"/>
      <c r="R3192" s="451" t="s">
        <v>4556</v>
      </c>
      <c r="S3192" s="327"/>
    </row>
    <row r="3193" spans="1:19" x14ac:dyDescent="0.25">
      <c r="A3193" t="s">
        <v>3317</v>
      </c>
      <c r="B3193" s="504" t="s">
        <v>2242</v>
      </c>
      <c r="C3193" s="445"/>
      <c r="D3193" s="326">
        <v>610000004563</v>
      </c>
      <c r="E3193" s="326">
        <f>VLOOKUP(D3193,'[1]Task list &amp; Maintenace plan'!$B:$G,6,FALSE)</f>
        <v>100997</v>
      </c>
      <c r="F3193" s="327" t="s">
        <v>4552</v>
      </c>
      <c r="G3193" s="328" t="s">
        <v>271</v>
      </c>
      <c r="H3193" s="328" t="s">
        <v>4565</v>
      </c>
      <c r="I3193" s="327">
        <v>30</v>
      </c>
      <c r="J3193" s="741"/>
      <c r="K3193" s="741">
        <v>15</v>
      </c>
      <c r="L3193" s="741">
        <v>1</v>
      </c>
      <c r="M3193" s="741">
        <f t="shared" si="21"/>
        <v>15</v>
      </c>
      <c r="N3193" s="741"/>
      <c r="O3193" s="544"/>
      <c r="P3193" s="544"/>
      <c r="Q3193" s="544"/>
      <c r="R3193" s="451" t="s">
        <v>4556</v>
      </c>
      <c r="S3193" s="327"/>
    </row>
    <row r="3194" spans="1:19" x14ac:dyDescent="0.25">
      <c r="A3194" t="s">
        <v>3317</v>
      </c>
      <c r="B3194" s="504" t="s">
        <v>2242</v>
      </c>
      <c r="C3194" s="445"/>
      <c r="D3194" s="326">
        <v>610000004563</v>
      </c>
      <c r="E3194" s="326">
        <f>VLOOKUP(D3194,'[1]Task list &amp; Maintenace plan'!$B:$G,6,FALSE)</f>
        <v>100997</v>
      </c>
      <c r="F3194" s="327" t="s">
        <v>4552</v>
      </c>
      <c r="G3194" s="328" t="s">
        <v>4554</v>
      </c>
      <c r="H3194" s="328" t="s">
        <v>4566</v>
      </c>
      <c r="I3194" s="327">
        <v>30</v>
      </c>
      <c r="J3194" s="741"/>
      <c r="K3194" s="741">
        <v>15</v>
      </c>
      <c r="L3194" s="741">
        <v>1</v>
      </c>
      <c r="M3194" s="741">
        <f t="shared" si="21"/>
        <v>15</v>
      </c>
      <c r="N3194" s="741"/>
      <c r="O3194" s="544"/>
      <c r="P3194" s="544"/>
      <c r="Q3194" s="544"/>
      <c r="R3194" s="451" t="s">
        <v>4556</v>
      </c>
      <c r="S3194" s="327"/>
    </row>
    <row r="3195" spans="1:19" x14ac:dyDescent="0.25">
      <c r="A3195" t="s">
        <v>3317</v>
      </c>
      <c r="B3195" s="504" t="s">
        <v>2242</v>
      </c>
      <c r="C3195" s="445"/>
      <c r="D3195" s="326">
        <v>610000004563</v>
      </c>
      <c r="E3195" s="326">
        <f>VLOOKUP(D3195,'[1]Task list &amp; Maintenace plan'!$B:$G,6,FALSE)</f>
        <v>100997</v>
      </c>
      <c r="F3195" s="327" t="s">
        <v>4552</v>
      </c>
      <c r="G3195" s="328" t="s">
        <v>4557</v>
      </c>
      <c r="H3195" s="328" t="s">
        <v>4566</v>
      </c>
      <c r="I3195" s="327">
        <v>30</v>
      </c>
      <c r="J3195" s="741"/>
      <c r="K3195" s="741">
        <v>15</v>
      </c>
      <c r="L3195" s="741">
        <v>1</v>
      </c>
      <c r="M3195" s="741">
        <f t="shared" si="21"/>
        <v>15</v>
      </c>
      <c r="N3195" s="741"/>
      <c r="O3195" s="544"/>
      <c r="P3195" s="544"/>
      <c r="Q3195" s="544"/>
      <c r="R3195" s="451" t="s">
        <v>4556</v>
      </c>
      <c r="S3195" s="327"/>
    </row>
    <row r="3196" spans="1:19" x14ac:dyDescent="0.25">
      <c r="A3196" t="s">
        <v>3317</v>
      </c>
      <c r="B3196" s="504" t="s">
        <v>2242</v>
      </c>
      <c r="C3196" s="445"/>
      <c r="D3196" s="326">
        <v>610000004563</v>
      </c>
      <c r="E3196" s="326">
        <f>VLOOKUP(D3196,'[1]Task list &amp; Maintenace plan'!$B:$G,6,FALSE)</f>
        <v>100997</v>
      </c>
      <c r="F3196" s="327" t="s">
        <v>4552</v>
      </c>
      <c r="G3196" s="328" t="s">
        <v>4557</v>
      </c>
      <c r="H3196" s="328" t="s">
        <v>4567</v>
      </c>
      <c r="I3196" s="327">
        <v>30</v>
      </c>
      <c r="J3196" s="741"/>
      <c r="K3196" s="741">
        <v>15</v>
      </c>
      <c r="L3196" s="741">
        <v>1</v>
      </c>
      <c r="M3196" s="741">
        <f t="shared" si="21"/>
        <v>15</v>
      </c>
      <c r="N3196" s="741"/>
      <c r="O3196" s="544"/>
      <c r="P3196" s="544"/>
      <c r="Q3196" s="544"/>
      <c r="R3196" s="451" t="s">
        <v>4556</v>
      </c>
      <c r="S3196" s="327"/>
    </row>
    <row r="3197" spans="1:19" x14ac:dyDescent="0.25">
      <c r="A3197" t="s">
        <v>3317</v>
      </c>
      <c r="B3197" s="504" t="s">
        <v>2242</v>
      </c>
      <c r="C3197" s="445"/>
      <c r="D3197" s="337">
        <v>610000004563</v>
      </c>
      <c r="E3197" s="337">
        <f>VLOOKUP(D3197,'[1]Task list &amp; Maintenace plan'!$B:$G,6,FALSE)</f>
        <v>100997</v>
      </c>
      <c r="F3197" s="338" t="s">
        <v>4552</v>
      </c>
      <c r="G3197" s="339" t="s">
        <v>271</v>
      </c>
      <c r="H3197" s="339" t="s">
        <v>4568</v>
      </c>
      <c r="I3197" s="338">
        <v>30</v>
      </c>
      <c r="J3197" s="742"/>
      <c r="K3197" s="742">
        <v>15</v>
      </c>
      <c r="L3197" s="742">
        <v>1</v>
      </c>
      <c r="M3197" s="742">
        <f t="shared" si="21"/>
        <v>15</v>
      </c>
      <c r="N3197" s="742"/>
      <c r="O3197" s="544"/>
      <c r="P3197" s="544"/>
      <c r="Q3197" s="544"/>
      <c r="R3197" s="453"/>
      <c r="S3197" s="338"/>
    </row>
    <row r="3198" spans="1:19" x14ac:dyDescent="0.25">
      <c r="A3198" t="s">
        <v>3317</v>
      </c>
      <c r="B3198" s="504" t="s">
        <v>2242</v>
      </c>
      <c r="C3198" s="445"/>
      <c r="D3198" s="340">
        <v>610000004564</v>
      </c>
      <c r="E3198" s="340">
        <f>VLOOKUP(D3198,'[1]Task list &amp; Maintenace plan'!$B:$G,6,FALSE)</f>
        <v>100998</v>
      </c>
      <c r="F3198" s="341" t="s">
        <v>4569</v>
      </c>
      <c r="G3198" s="342" t="s">
        <v>271</v>
      </c>
      <c r="H3198" s="342" t="s">
        <v>4570</v>
      </c>
      <c r="I3198" s="341">
        <v>30</v>
      </c>
      <c r="J3198" s="740"/>
      <c r="K3198" s="740">
        <v>15</v>
      </c>
      <c r="L3198" s="740">
        <v>1</v>
      </c>
      <c r="M3198" s="740">
        <f t="shared" si="21"/>
        <v>15</v>
      </c>
      <c r="N3198" s="740" t="s">
        <v>20</v>
      </c>
      <c r="O3198" s="544"/>
      <c r="P3198" s="544"/>
      <c r="Q3198" s="544"/>
      <c r="R3198" s="631"/>
      <c r="S3198" s="341"/>
    </row>
    <row r="3199" spans="1:19" x14ac:dyDescent="0.25">
      <c r="A3199" t="s">
        <v>3317</v>
      </c>
      <c r="B3199" s="504" t="s">
        <v>2242</v>
      </c>
      <c r="C3199" s="445"/>
      <c r="D3199" s="326">
        <v>610000004564</v>
      </c>
      <c r="E3199" s="326">
        <f>VLOOKUP(D3199,'[1]Task list &amp; Maintenace plan'!$B:$G,6,FALSE)</f>
        <v>100998</v>
      </c>
      <c r="F3199" s="327" t="s">
        <v>4569</v>
      </c>
      <c r="G3199" s="328" t="s">
        <v>271</v>
      </c>
      <c r="H3199" s="328" t="s">
        <v>4571</v>
      </c>
      <c r="I3199" s="327">
        <v>30</v>
      </c>
      <c r="J3199" s="741"/>
      <c r="K3199" s="741">
        <v>15</v>
      </c>
      <c r="L3199" s="741">
        <v>1</v>
      </c>
      <c r="M3199" s="741">
        <f t="shared" si="21"/>
        <v>15</v>
      </c>
      <c r="N3199" s="741"/>
      <c r="O3199" s="544"/>
      <c r="P3199" s="544"/>
      <c r="Q3199" s="544"/>
      <c r="R3199" s="451"/>
      <c r="S3199" s="327"/>
    </row>
    <row r="3200" spans="1:19" x14ac:dyDescent="0.25">
      <c r="A3200" t="s">
        <v>3317</v>
      </c>
      <c r="B3200" s="504" t="s">
        <v>2242</v>
      </c>
      <c r="C3200" s="445"/>
      <c r="D3200" s="326">
        <v>610000004564</v>
      </c>
      <c r="E3200" s="326">
        <f>VLOOKUP(D3200,'[1]Task list &amp; Maintenace plan'!$B:$G,6,FALSE)</f>
        <v>100998</v>
      </c>
      <c r="F3200" s="327" t="s">
        <v>4569</v>
      </c>
      <c r="G3200" s="328" t="s">
        <v>271</v>
      </c>
      <c r="H3200" s="328" t="s">
        <v>4572</v>
      </c>
      <c r="I3200" s="327">
        <v>30</v>
      </c>
      <c r="J3200" s="741">
        <v>1</v>
      </c>
      <c r="K3200" s="741">
        <v>15</v>
      </c>
      <c r="L3200" s="741">
        <v>1</v>
      </c>
      <c r="M3200" s="741">
        <f t="shared" si="21"/>
        <v>15</v>
      </c>
      <c r="N3200" s="741"/>
      <c r="O3200" s="544"/>
      <c r="P3200" s="544"/>
      <c r="Q3200" s="544"/>
      <c r="R3200" s="451"/>
      <c r="S3200" s="327"/>
    </row>
    <row r="3201" spans="1:19" x14ac:dyDescent="0.25">
      <c r="A3201" t="s">
        <v>3317</v>
      </c>
      <c r="B3201" s="504" t="s">
        <v>2242</v>
      </c>
      <c r="C3201" s="445"/>
      <c r="D3201" s="326">
        <v>610000004564</v>
      </c>
      <c r="E3201" s="326">
        <f>VLOOKUP(D3201,'[1]Task list &amp; Maintenace plan'!$B:$G,6,FALSE)</f>
        <v>100998</v>
      </c>
      <c r="F3201" s="327" t="s">
        <v>4569</v>
      </c>
      <c r="G3201" s="328" t="s">
        <v>4554</v>
      </c>
      <c r="H3201" s="328" t="s">
        <v>4573</v>
      </c>
      <c r="I3201" s="327">
        <v>30</v>
      </c>
      <c r="J3201" s="741">
        <v>1</v>
      </c>
      <c r="K3201" s="741">
        <v>15</v>
      </c>
      <c r="L3201" s="741">
        <v>1</v>
      </c>
      <c r="M3201" s="741">
        <f t="shared" si="21"/>
        <v>15</v>
      </c>
      <c r="N3201" s="741"/>
      <c r="O3201" s="544"/>
      <c r="P3201" s="544"/>
      <c r="Q3201" s="544"/>
      <c r="R3201" s="451"/>
      <c r="S3201" s="327"/>
    </row>
    <row r="3202" spans="1:19" x14ac:dyDescent="0.25">
      <c r="A3202" t="s">
        <v>3317</v>
      </c>
      <c r="B3202" s="504" t="s">
        <v>2242</v>
      </c>
      <c r="C3202" s="445"/>
      <c r="D3202" s="326">
        <v>610000004564</v>
      </c>
      <c r="E3202" s="326">
        <f>VLOOKUP(D3202,'[1]Task list &amp; Maintenace plan'!$B:$G,6,FALSE)</f>
        <v>100998</v>
      </c>
      <c r="F3202" s="327" t="s">
        <v>4569</v>
      </c>
      <c r="G3202" s="328" t="s">
        <v>4557</v>
      </c>
      <c r="H3202" s="328" t="s">
        <v>4574</v>
      </c>
      <c r="I3202" s="327">
        <v>30</v>
      </c>
      <c r="J3202" s="741">
        <v>1</v>
      </c>
      <c r="K3202" s="741">
        <v>15</v>
      </c>
      <c r="L3202" s="741">
        <v>1</v>
      </c>
      <c r="M3202" s="741">
        <f t="shared" si="21"/>
        <v>15</v>
      </c>
      <c r="N3202" s="741"/>
      <c r="O3202" s="544"/>
      <c r="P3202" s="544"/>
      <c r="Q3202" s="544"/>
      <c r="R3202" s="451"/>
      <c r="S3202" s="327"/>
    </row>
    <row r="3203" spans="1:19" x14ac:dyDescent="0.25">
      <c r="A3203" t="s">
        <v>3317</v>
      </c>
      <c r="B3203" s="504" t="s">
        <v>2242</v>
      </c>
      <c r="C3203" s="445"/>
      <c r="D3203" s="326">
        <v>610000004564</v>
      </c>
      <c r="E3203" s="326">
        <f>VLOOKUP(D3203,'[1]Task list &amp; Maintenace plan'!$B:$G,6,FALSE)</f>
        <v>100998</v>
      </c>
      <c r="F3203" s="327" t="s">
        <v>4569</v>
      </c>
      <c r="G3203" s="328" t="s">
        <v>271</v>
      </c>
      <c r="H3203" s="328" t="s">
        <v>4575</v>
      </c>
      <c r="I3203" s="327">
        <v>30</v>
      </c>
      <c r="J3203" s="741">
        <v>1</v>
      </c>
      <c r="K3203" s="741">
        <v>15</v>
      </c>
      <c r="L3203" s="741">
        <v>1</v>
      </c>
      <c r="M3203" s="741">
        <f t="shared" si="21"/>
        <v>15</v>
      </c>
      <c r="N3203" s="741"/>
      <c r="O3203" s="544"/>
      <c r="P3203" s="544"/>
      <c r="Q3203" s="544"/>
      <c r="R3203" s="451"/>
      <c r="S3203" s="327"/>
    </row>
    <row r="3204" spans="1:19" x14ac:dyDescent="0.25">
      <c r="A3204" t="s">
        <v>3317</v>
      </c>
      <c r="B3204" s="504" t="s">
        <v>2242</v>
      </c>
      <c r="C3204" s="445"/>
      <c r="D3204" s="326">
        <v>610000004564</v>
      </c>
      <c r="E3204" s="326">
        <f>VLOOKUP(D3204,'[1]Task list &amp; Maintenace plan'!$B:$G,6,FALSE)</f>
        <v>100998</v>
      </c>
      <c r="F3204" s="327" t="s">
        <v>4569</v>
      </c>
      <c r="G3204" s="328" t="s">
        <v>271</v>
      </c>
      <c r="H3204" s="328" t="s">
        <v>4576</v>
      </c>
      <c r="I3204" s="327">
        <v>30</v>
      </c>
      <c r="J3204" s="741">
        <v>1</v>
      </c>
      <c r="K3204" s="741">
        <v>15</v>
      </c>
      <c r="L3204" s="741">
        <v>1</v>
      </c>
      <c r="M3204" s="741">
        <f t="shared" si="21"/>
        <v>15</v>
      </c>
      <c r="N3204" s="741"/>
      <c r="O3204" s="544"/>
      <c r="P3204" s="544"/>
      <c r="Q3204" s="544"/>
      <c r="R3204" s="451"/>
      <c r="S3204" s="327"/>
    </row>
    <row r="3205" spans="1:19" x14ac:dyDescent="0.25">
      <c r="A3205" t="s">
        <v>3317</v>
      </c>
      <c r="B3205" s="504" t="s">
        <v>2242</v>
      </c>
      <c r="C3205" s="445"/>
      <c r="D3205" s="326">
        <v>610000004564</v>
      </c>
      <c r="E3205" s="326">
        <f>VLOOKUP(D3205,'[1]Task list &amp; Maintenace plan'!$B:$G,6,FALSE)</f>
        <v>100998</v>
      </c>
      <c r="F3205" s="327" t="s">
        <v>4569</v>
      </c>
      <c r="G3205" s="328" t="s">
        <v>2244</v>
      </c>
      <c r="H3205" s="328" t="s">
        <v>4577</v>
      </c>
      <c r="I3205" s="327">
        <v>30</v>
      </c>
      <c r="J3205" s="741">
        <v>1</v>
      </c>
      <c r="K3205" s="741">
        <v>15</v>
      </c>
      <c r="L3205" s="741">
        <v>1</v>
      </c>
      <c r="M3205" s="741">
        <f t="shared" si="21"/>
        <v>15</v>
      </c>
      <c r="N3205" s="741"/>
      <c r="O3205" s="544"/>
      <c r="P3205" s="544"/>
      <c r="Q3205" s="544"/>
      <c r="R3205" s="451"/>
      <c r="S3205" s="327"/>
    </row>
    <row r="3206" spans="1:19" x14ac:dyDescent="0.25">
      <c r="A3206" t="s">
        <v>3317</v>
      </c>
      <c r="B3206" s="504" t="s">
        <v>2242</v>
      </c>
      <c r="C3206" s="445"/>
      <c r="D3206" s="337">
        <v>610000004564</v>
      </c>
      <c r="E3206" s="337">
        <f>VLOOKUP(D3206,'[1]Task list &amp; Maintenace plan'!$B:$G,6,FALSE)</f>
        <v>100998</v>
      </c>
      <c r="F3206" s="338" t="s">
        <v>4569</v>
      </c>
      <c r="G3206" s="339" t="s">
        <v>2246</v>
      </c>
      <c r="H3206" s="339" t="s">
        <v>4578</v>
      </c>
      <c r="I3206" s="338">
        <v>30</v>
      </c>
      <c r="J3206" s="742">
        <v>1</v>
      </c>
      <c r="K3206" s="742">
        <v>15</v>
      </c>
      <c r="L3206" s="742">
        <v>1</v>
      </c>
      <c r="M3206" s="742">
        <f t="shared" si="21"/>
        <v>15</v>
      </c>
      <c r="N3206" s="742"/>
      <c r="O3206" s="544"/>
      <c r="P3206" s="544"/>
      <c r="Q3206" s="544"/>
      <c r="R3206" s="453"/>
      <c r="S3206" s="338"/>
    </row>
    <row r="3207" spans="1:19" x14ac:dyDescent="0.25">
      <c r="A3207" t="s">
        <v>3317</v>
      </c>
      <c r="B3207" s="504" t="s">
        <v>2242</v>
      </c>
      <c r="C3207" s="445"/>
      <c r="D3207" s="340">
        <v>610000004565</v>
      </c>
      <c r="E3207" s="340">
        <f>VLOOKUP(D3207,'[1]Task list &amp; Maintenace plan'!$B:$G,6,FALSE)</f>
        <v>100999</v>
      </c>
      <c r="F3207" s="341" t="s">
        <v>4579</v>
      </c>
      <c r="G3207" s="342" t="s">
        <v>271</v>
      </c>
      <c r="H3207" s="342" t="s">
        <v>4580</v>
      </c>
      <c r="I3207" s="341">
        <v>180</v>
      </c>
      <c r="J3207" s="740">
        <v>1</v>
      </c>
      <c r="K3207" s="740">
        <v>60</v>
      </c>
      <c r="L3207" s="740">
        <v>2</v>
      </c>
      <c r="M3207" s="740">
        <f t="shared" si="21"/>
        <v>120</v>
      </c>
      <c r="N3207" s="740" t="s">
        <v>468</v>
      </c>
      <c r="O3207" s="544"/>
      <c r="P3207" s="544"/>
      <c r="Q3207" s="544"/>
      <c r="R3207" s="631" t="s">
        <v>4364</v>
      </c>
      <c r="S3207" s="341" t="s">
        <v>4513</v>
      </c>
    </row>
    <row r="3208" spans="1:19" x14ac:dyDescent="0.25">
      <c r="A3208" t="s">
        <v>3317</v>
      </c>
      <c r="B3208" s="504" t="s">
        <v>2242</v>
      </c>
      <c r="C3208" s="445"/>
      <c r="D3208" s="326">
        <v>610000004565</v>
      </c>
      <c r="E3208" s="326">
        <f>VLOOKUP(D3208,'[1]Task list &amp; Maintenace plan'!$B:$G,6,FALSE)</f>
        <v>100999</v>
      </c>
      <c r="F3208" s="327" t="s">
        <v>4579</v>
      </c>
      <c r="G3208" s="328" t="s">
        <v>4554</v>
      </c>
      <c r="H3208" s="328" t="s">
        <v>4581</v>
      </c>
      <c r="I3208" s="327">
        <v>180</v>
      </c>
      <c r="J3208" s="741">
        <v>1</v>
      </c>
      <c r="K3208" s="741">
        <v>60</v>
      </c>
      <c r="L3208" s="741">
        <v>2</v>
      </c>
      <c r="M3208" s="741">
        <f t="shared" si="21"/>
        <v>120</v>
      </c>
      <c r="N3208" s="741"/>
      <c r="O3208" s="544"/>
      <c r="P3208" s="544"/>
      <c r="Q3208" s="544"/>
      <c r="R3208" s="451" t="s">
        <v>4364</v>
      </c>
      <c r="S3208" s="327" t="s">
        <v>4582</v>
      </c>
    </row>
    <row r="3209" spans="1:19" ht="15.75" thickBot="1" x14ac:dyDescent="0.3">
      <c r="A3209" t="s">
        <v>3317</v>
      </c>
      <c r="B3209" s="504" t="s">
        <v>2242</v>
      </c>
      <c r="C3209" s="520"/>
      <c r="D3209" s="366">
        <v>610000004565</v>
      </c>
      <c r="E3209" s="366">
        <f>VLOOKUP(D3209,'[1]Task list &amp; Maintenace plan'!$B:$G,6,FALSE)</f>
        <v>100999</v>
      </c>
      <c r="F3209" s="367" t="s">
        <v>4579</v>
      </c>
      <c r="G3209" s="368" t="s">
        <v>4557</v>
      </c>
      <c r="H3209" s="368" t="s">
        <v>4583</v>
      </c>
      <c r="I3209" s="367">
        <v>180</v>
      </c>
      <c r="J3209" s="743">
        <v>1</v>
      </c>
      <c r="K3209" s="743">
        <v>60</v>
      </c>
      <c r="L3209" s="743">
        <v>2</v>
      </c>
      <c r="M3209" s="743">
        <f t="shared" si="21"/>
        <v>120</v>
      </c>
      <c r="N3209" s="743"/>
      <c r="O3209" s="544"/>
      <c r="P3209" s="544"/>
      <c r="Q3209" s="544"/>
      <c r="R3209" s="636" t="s">
        <v>4364</v>
      </c>
      <c r="S3209" s="367" t="s">
        <v>4582</v>
      </c>
    </row>
    <row r="3210" spans="1:19" x14ac:dyDescent="0.25">
      <c r="A3210" t="s">
        <v>3317</v>
      </c>
      <c r="B3210" s="504" t="s">
        <v>2268</v>
      </c>
      <c r="C3210" s="445"/>
      <c r="D3210" s="340">
        <v>610000004567</v>
      </c>
      <c r="E3210" s="340">
        <f>VLOOKUP(D3210,'[1]Task list &amp; Maintenace plan'!$B:$G,6,FALSE)</f>
        <v>101001</v>
      </c>
      <c r="F3210" s="341" t="s">
        <v>4584</v>
      </c>
      <c r="G3210" s="342" t="s">
        <v>2286</v>
      </c>
      <c r="H3210" s="637" t="s">
        <v>4585</v>
      </c>
      <c r="I3210" s="341">
        <v>15</v>
      </c>
      <c r="J3210" s="745"/>
      <c r="K3210" s="745">
        <v>30</v>
      </c>
      <c r="L3210" s="745">
        <v>1</v>
      </c>
      <c r="M3210" s="745">
        <f t="shared" ref="M3210:M3263" si="22">K3210*L3210</f>
        <v>30</v>
      </c>
      <c r="N3210" s="745" t="s">
        <v>20</v>
      </c>
      <c r="O3210" s="544"/>
      <c r="P3210" s="544"/>
      <c r="Q3210" s="544"/>
      <c r="R3210" s="631"/>
      <c r="S3210" s="341"/>
    </row>
    <row r="3211" spans="1:19" x14ac:dyDescent="0.25">
      <c r="A3211" t="s">
        <v>3317</v>
      </c>
      <c r="B3211" s="504" t="s">
        <v>2268</v>
      </c>
      <c r="C3211" s="445"/>
      <c r="D3211" s="326">
        <v>610000004567</v>
      </c>
      <c r="E3211" s="326">
        <f>VLOOKUP(D3211,'[1]Task list &amp; Maintenace plan'!$B:$G,6,FALSE)</f>
        <v>101001</v>
      </c>
      <c r="F3211" s="327" t="s">
        <v>4584</v>
      </c>
      <c r="G3211" s="328" t="s">
        <v>2271</v>
      </c>
      <c r="H3211" s="328" t="s">
        <v>4586</v>
      </c>
      <c r="I3211" s="327">
        <v>15</v>
      </c>
      <c r="J3211" s="741">
        <v>1</v>
      </c>
      <c r="K3211" s="741">
        <v>30</v>
      </c>
      <c r="L3211" s="741">
        <v>1</v>
      </c>
      <c r="M3211" s="741">
        <f t="shared" si="22"/>
        <v>30</v>
      </c>
      <c r="N3211" s="741"/>
      <c r="O3211" s="544"/>
      <c r="P3211" s="544"/>
      <c r="Q3211" s="544"/>
      <c r="R3211" s="451"/>
      <c r="S3211" s="327"/>
    </row>
    <row r="3212" spans="1:19" x14ac:dyDescent="0.25">
      <c r="A3212" t="s">
        <v>3317</v>
      </c>
      <c r="B3212" s="504" t="s">
        <v>2268</v>
      </c>
      <c r="C3212" s="445"/>
      <c r="D3212" s="326">
        <v>610000004567</v>
      </c>
      <c r="E3212" s="326">
        <f>VLOOKUP(D3212,'[1]Task list &amp; Maintenace plan'!$B:$G,6,FALSE)</f>
        <v>101001</v>
      </c>
      <c r="F3212" s="327" t="s">
        <v>4584</v>
      </c>
      <c r="G3212" s="328" t="s">
        <v>2274</v>
      </c>
      <c r="H3212" s="328" t="s">
        <v>4587</v>
      </c>
      <c r="I3212" s="327">
        <v>15</v>
      </c>
      <c r="J3212" s="741">
        <v>1</v>
      </c>
      <c r="K3212" s="741">
        <v>30</v>
      </c>
      <c r="L3212" s="741">
        <v>1</v>
      </c>
      <c r="M3212" s="741">
        <f t="shared" si="22"/>
        <v>30</v>
      </c>
      <c r="N3212" s="741"/>
      <c r="O3212" s="544"/>
      <c r="P3212" s="544"/>
      <c r="Q3212" s="544"/>
      <c r="R3212" s="451"/>
      <c r="S3212" s="327"/>
    </row>
    <row r="3213" spans="1:19" x14ac:dyDescent="0.25">
      <c r="A3213" t="s">
        <v>3317</v>
      </c>
      <c r="B3213" s="504" t="s">
        <v>2268</v>
      </c>
      <c r="C3213" s="445"/>
      <c r="D3213" s="326">
        <v>610000004567</v>
      </c>
      <c r="E3213" s="326">
        <f>VLOOKUP(D3213,'[1]Task list &amp; Maintenace plan'!$B:$G,6,FALSE)</f>
        <v>101001</v>
      </c>
      <c r="F3213" s="327" t="s">
        <v>4584</v>
      </c>
      <c r="G3213" s="328" t="s">
        <v>2283</v>
      </c>
      <c r="H3213" s="328" t="s">
        <v>4588</v>
      </c>
      <c r="I3213" s="327">
        <v>15</v>
      </c>
      <c r="J3213" s="741">
        <v>1</v>
      </c>
      <c r="K3213" s="741">
        <v>30</v>
      </c>
      <c r="L3213" s="741">
        <v>1</v>
      </c>
      <c r="M3213" s="741">
        <f t="shared" si="22"/>
        <v>30</v>
      </c>
      <c r="N3213" s="741"/>
      <c r="O3213" s="544"/>
      <c r="P3213" s="544"/>
      <c r="Q3213" s="544"/>
      <c r="R3213" s="451"/>
      <c r="S3213" s="327"/>
    </row>
    <row r="3214" spans="1:19" x14ac:dyDescent="0.25">
      <c r="A3214" t="s">
        <v>3317</v>
      </c>
      <c r="B3214" s="504" t="s">
        <v>2268</v>
      </c>
      <c r="C3214" s="445"/>
      <c r="D3214" s="326">
        <v>610000004567</v>
      </c>
      <c r="E3214" s="326">
        <f>VLOOKUP(D3214,'[1]Task list &amp; Maintenace plan'!$B:$G,6,FALSE)</f>
        <v>101001</v>
      </c>
      <c r="F3214" s="327" t="s">
        <v>4584</v>
      </c>
      <c r="G3214" s="328" t="s">
        <v>2269</v>
      </c>
      <c r="H3214" s="328" t="s">
        <v>4589</v>
      </c>
      <c r="I3214" s="327">
        <v>15</v>
      </c>
      <c r="J3214" s="741">
        <v>1</v>
      </c>
      <c r="K3214" s="741">
        <v>30</v>
      </c>
      <c r="L3214" s="741">
        <v>1</v>
      </c>
      <c r="M3214" s="741">
        <f t="shared" si="22"/>
        <v>30</v>
      </c>
      <c r="N3214" s="741"/>
      <c r="O3214" s="544"/>
      <c r="P3214" s="544"/>
      <c r="Q3214" s="544"/>
      <c r="R3214" s="451"/>
      <c r="S3214" s="327"/>
    </row>
    <row r="3215" spans="1:19" x14ac:dyDescent="0.25">
      <c r="A3215" t="s">
        <v>3317</v>
      </c>
      <c r="B3215" s="504" t="s">
        <v>2268</v>
      </c>
      <c r="C3215" s="445"/>
      <c r="D3215" s="326">
        <v>610000004567</v>
      </c>
      <c r="E3215" s="326">
        <f>VLOOKUP(D3215,'[1]Task list &amp; Maintenace plan'!$B:$G,6,FALSE)</f>
        <v>101001</v>
      </c>
      <c r="F3215" s="327" t="s">
        <v>4584</v>
      </c>
      <c r="G3215" s="328" t="s">
        <v>2273</v>
      </c>
      <c r="H3215" s="328" t="s">
        <v>4590</v>
      </c>
      <c r="I3215" s="327">
        <v>15</v>
      </c>
      <c r="J3215" s="741">
        <v>1</v>
      </c>
      <c r="K3215" s="741">
        <v>30</v>
      </c>
      <c r="L3215" s="741">
        <v>1</v>
      </c>
      <c r="M3215" s="741">
        <f t="shared" si="22"/>
        <v>30</v>
      </c>
      <c r="N3215" s="741"/>
      <c r="O3215" s="544"/>
      <c r="P3215" s="544"/>
      <c r="Q3215" s="544"/>
      <c r="R3215" s="451"/>
      <c r="S3215" s="327"/>
    </row>
    <row r="3216" spans="1:19" x14ac:dyDescent="0.25">
      <c r="A3216" t="s">
        <v>3317</v>
      </c>
      <c r="B3216" s="504" t="s">
        <v>2268</v>
      </c>
      <c r="C3216" s="445"/>
      <c r="D3216" s="337">
        <v>610000004567</v>
      </c>
      <c r="E3216" s="337">
        <f>VLOOKUP(D3216,'[1]Task list &amp; Maintenace plan'!$B:$G,6,FALSE)</f>
        <v>101001</v>
      </c>
      <c r="F3216" s="338" t="s">
        <v>4584</v>
      </c>
      <c r="G3216" s="339" t="s">
        <v>2276</v>
      </c>
      <c r="H3216" s="339" t="s">
        <v>4591</v>
      </c>
      <c r="I3216" s="338">
        <v>15</v>
      </c>
      <c r="J3216" s="742">
        <v>1</v>
      </c>
      <c r="K3216" s="742">
        <v>30</v>
      </c>
      <c r="L3216" s="742">
        <v>1</v>
      </c>
      <c r="M3216" s="742">
        <f t="shared" si="22"/>
        <v>30</v>
      </c>
      <c r="N3216" s="742"/>
      <c r="O3216" s="544"/>
      <c r="P3216" s="544"/>
      <c r="Q3216" s="544"/>
      <c r="R3216" s="453"/>
      <c r="S3216" s="338"/>
    </row>
    <row r="3217" spans="1:19" x14ac:dyDescent="0.25">
      <c r="A3217" t="s">
        <v>3317</v>
      </c>
      <c r="B3217" s="504" t="s">
        <v>2268</v>
      </c>
      <c r="C3217" s="445"/>
      <c r="D3217" s="340">
        <v>610000004568</v>
      </c>
      <c r="E3217" s="340">
        <f>VLOOKUP(D3217,'[1]Task list &amp; Maintenace plan'!$B:$G,6,FALSE)</f>
        <v>101002</v>
      </c>
      <c r="F3217" s="341" t="s">
        <v>4592</v>
      </c>
      <c r="G3217" s="342" t="s">
        <v>2269</v>
      </c>
      <c r="H3217" s="342" t="s">
        <v>4593</v>
      </c>
      <c r="I3217" s="341">
        <v>30</v>
      </c>
      <c r="J3217" s="740"/>
      <c r="K3217" s="740">
        <v>30</v>
      </c>
      <c r="L3217" s="740">
        <v>1</v>
      </c>
      <c r="M3217" s="740">
        <f t="shared" si="22"/>
        <v>30</v>
      </c>
      <c r="N3217" s="740" t="s">
        <v>20</v>
      </c>
      <c r="O3217" s="544"/>
      <c r="P3217" s="544"/>
      <c r="Q3217" s="544"/>
      <c r="R3217" s="631"/>
      <c r="S3217" s="341"/>
    </row>
    <row r="3218" spans="1:19" x14ac:dyDescent="0.25">
      <c r="A3218" t="s">
        <v>3317</v>
      </c>
      <c r="B3218" s="504" t="s">
        <v>2268</v>
      </c>
      <c r="C3218" s="445"/>
      <c r="D3218" s="326">
        <v>610000004568</v>
      </c>
      <c r="E3218" s="326">
        <f>VLOOKUP(D3218,'[1]Task list &amp; Maintenace plan'!$B:$G,6,FALSE)</f>
        <v>101002</v>
      </c>
      <c r="F3218" s="327" t="s">
        <v>4592</v>
      </c>
      <c r="G3218" s="328" t="s">
        <v>2273</v>
      </c>
      <c r="H3218" s="328" t="s">
        <v>4594</v>
      </c>
      <c r="I3218" s="327">
        <v>30</v>
      </c>
      <c r="J3218" s="741"/>
      <c r="K3218" s="741">
        <v>30</v>
      </c>
      <c r="L3218" s="741">
        <v>1</v>
      </c>
      <c r="M3218" s="741">
        <f t="shared" si="22"/>
        <v>30</v>
      </c>
      <c r="N3218" s="741"/>
      <c r="O3218" s="544"/>
      <c r="P3218" s="544"/>
      <c r="Q3218" s="544"/>
      <c r="R3218" s="451"/>
      <c r="S3218" s="327"/>
    </row>
    <row r="3219" spans="1:19" x14ac:dyDescent="0.25">
      <c r="A3219" t="s">
        <v>3317</v>
      </c>
      <c r="B3219" s="504" t="s">
        <v>2268</v>
      </c>
      <c r="C3219" s="445"/>
      <c r="D3219" s="326">
        <v>610000004568</v>
      </c>
      <c r="E3219" s="326">
        <f>VLOOKUP(D3219,'[1]Task list &amp; Maintenace plan'!$B:$G,6,FALSE)</f>
        <v>101002</v>
      </c>
      <c r="F3219" s="327" t="s">
        <v>4592</v>
      </c>
      <c r="G3219" s="328" t="s">
        <v>2276</v>
      </c>
      <c r="H3219" s="328" t="s">
        <v>4595</v>
      </c>
      <c r="I3219" s="327">
        <v>30</v>
      </c>
      <c r="J3219" s="741"/>
      <c r="K3219" s="741">
        <v>30</v>
      </c>
      <c r="L3219" s="741">
        <v>1</v>
      </c>
      <c r="M3219" s="741">
        <f t="shared" si="22"/>
        <v>30</v>
      </c>
      <c r="N3219" s="741"/>
      <c r="O3219" s="544"/>
      <c r="P3219" s="544"/>
      <c r="Q3219" s="544"/>
      <c r="R3219" s="451"/>
      <c r="S3219" s="327"/>
    </row>
    <row r="3220" spans="1:19" x14ac:dyDescent="0.25">
      <c r="A3220" t="s">
        <v>3317</v>
      </c>
      <c r="B3220" s="504" t="s">
        <v>2268</v>
      </c>
      <c r="C3220" s="445"/>
      <c r="D3220" s="326">
        <v>610000004568</v>
      </c>
      <c r="E3220" s="326">
        <f>VLOOKUP(D3220,'[1]Task list &amp; Maintenace plan'!$B:$G,6,FALSE)</f>
        <v>101002</v>
      </c>
      <c r="F3220" s="327" t="s">
        <v>4592</v>
      </c>
      <c r="G3220" s="328" t="s">
        <v>2286</v>
      </c>
      <c r="H3220" s="328" t="s">
        <v>4596</v>
      </c>
      <c r="I3220" s="327">
        <v>30</v>
      </c>
      <c r="J3220" s="741"/>
      <c r="K3220" s="741">
        <v>30</v>
      </c>
      <c r="L3220" s="741">
        <v>1</v>
      </c>
      <c r="M3220" s="741">
        <f t="shared" si="22"/>
        <v>30</v>
      </c>
      <c r="N3220" s="741"/>
      <c r="O3220" s="544"/>
      <c r="P3220" s="544"/>
      <c r="Q3220" s="544"/>
      <c r="R3220" s="451"/>
      <c r="S3220" s="327"/>
    </row>
    <row r="3221" spans="1:19" x14ac:dyDescent="0.25">
      <c r="A3221" t="s">
        <v>3317</v>
      </c>
      <c r="B3221" s="504" t="s">
        <v>2268</v>
      </c>
      <c r="C3221" s="445"/>
      <c r="D3221" s="337">
        <v>610000004568</v>
      </c>
      <c r="E3221" s="337">
        <f>VLOOKUP(D3221,'[1]Task list &amp; Maintenace plan'!$B:$G,6,FALSE)</f>
        <v>101002</v>
      </c>
      <c r="F3221" s="338" t="s">
        <v>4592</v>
      </c>
      <c r="G3221" s="339" t="s">
        <v>2286</v>
      </c>
      <c r="H3221" s="339" t="s">
        <v>4597</v>
      </c>
      <c r="I3221" s="338">
        <v>30</v>
      </c>
      <c r="J3221" s="742"/>
      <c r="K3221" s="742">
        <v>30</v>
      </c>
      <c r="L3221" s="742">
        <v>1</v>
      </c>
      <c r="M3221" s="742">
        <f t="shared" si="22"/>
        <v>30</v>
      </c>
      <c r="N3221" s="742"/>
      <c r="O3221" s="544"/>
      <c r="P3221" s="544"/>
      <c r="Q3221" s="544"/>
      <c r="R3221" s="453"/>
      <c r="S3221" s="338"/>
    </row>
    <row r="3222" spans="1:19" x14ac:dyDescent="0.25">
      <c r="A3222" t="s">
        <v>3317</v>
      </c>
      <c r="B3222" s="504" t="s">
        <v>2268</v>
      </c>
      <c r="C3222" s="445"/>
      <c r="D3222" s="340">
        <v>610000004569</v>
      </c>
      <c r="E3222" s="340">
        <f>VLOOKUP(D3222,'[1]Task list &amp; Maintenace plan'!$B:$G,6,FALSE)</f>
        <v>101003</v>
      </c>
      <c r="F3222" s="341" t="s">
        <v>4598</v>
      </c>
      <c r="G3222" s="342" t="s">
        <v>2269</v>
      </c>
      <c r="H3222" s="342" t="s">
        <v>4599</v>
      </c>
      <c r="I3222" s="341">
        <v>30</v>
      </c>
      <c r="J3222" s="740"/>
      <c r="K3222" s="740">
        <v>15</v>
      </c>
      <c r="L3222" s="740">
        <v>1</v>
      </c>
      <c r="M3222" s="740">
        <f t="shared" si="22"/>
        <v>15</v>
      </c>
      <c r="N3222" s="740" t="s">
        <v>3174</v>
      </c>
      <c r="O3222" s="544"/>
      <c r="P3222" s="544"/>
      <c r="Q3222" s="544"/>
      <c r="R3222" s="631"/>
      <c r="S3222" s="341"/>
    </row>
    <row r="3223" spans="1:19" x14ac:dyDescent="0.25">
      <c r="A3223" t="s">
        <v>3317</v>
      </c>
      <c r="B3223" s="504" t="s">
        <v>2268</v>
      </c>
      <c r="C3223" s="445"/>
      <c r="D3223" s="326">
        <v>610000004569</v>
      </c>
      <c r="E3223" s="326">
        <f>VLOOKUP(D3223,'[1]Task list &amp; Maintenace plan'!$B:$G,6,FALSE)</f>
        <v>101003</v>
      </c>
      <c r="F3223" s="327" t="s">
        <v>4598</v>
      </c>
      <c r="G3223" s="328" t="s">
        <v>2273</v>
      </c>
      <c r="H3223" s="328" t="s">
        <v>4600</v>
      </c>
      <c r="I3223" s="327">
        <v>30</v>
      </c>
      <c r="J3223" s="741"/>
      <c r="K3223" s="741">
        <v>0</v>
      </c>
      <c r="L3223" s="741">
        <v>0</v>
      </c>
      <c r="M3223" s="741">
        <f t="shared" si="22"/>
        <v>0</v>
      </c>
      <c r="N3223" s="741"/>
      <c r="O3223" s="544"/>
      <c r="P3223" s="544"/>
      <c r="Q3223" s="544"/>
      <c r="R3223" s="451"/>
      <c r="S3223" s="327"/>
    </row>
    <row r="3224" spans="1:19" x14ac:dyDescent="0.25">
      <c r="A3224" t="s">
        <v>3317</v>
      </c>
      <c r="B3224" s="504" t="s">
        <v>2268</v>
      </c>
      <c r="C3224" s="445"/>
      <c r="D3224" s="326">
        <v>610000004569</v>
      </c>
      <c r="E3224" s="326">
        <f>VLOOKUP(D3224,'[1]Task list &amp; Maintenace plan'!$B:$G,6,FALSE)</f>
        <v>101003</v>
      </c>
      <c r="F3224" s="327" t="s">
        <v>4598</v>
      </c>
      <c r="G3224" s="328" t="s">
        <v>2276</v>
      </c>
      <c r="H3224" s="328" t="s">
        <v>4601</v>
      </c>
      <c r="I3224" s="327">
        <v>30</v>
      </c>
      <c r="J3224" s="741"/>
      <c r="K3224" s="741">
        <v>0</v>
      </c>
      <c r="L3224" s="741">
        <v>0</v>
      </c>
      <c r="M3224" s="741">
        <f t="shared" si="22"/>
        <v>0</v>
      </c>
      <c r="N3224" s="741"/>
      <c r="O3224" s="544"/>
      <c r="P3224" s="544"/>
      <c r="Q3224" s="544"/>
      <c r="R3224" s="451"/>
      <c r="S3224" s="327"/>
    </row>
    <row r="3225" spans="1:19" x14ac:dyDescent="0.25">
      <c r="A3225" t="s">
        <v>3317</v>
      </c>
      <c r="B3225" s="504" t="s">
        <v>2268</v>
      </c>
      <c r="C3225" s="445"/>
      <c r="D3225" s="326">
        <v>610000004569</v>
      </c>
      <c r="E3225" s="326">
        <f>VLOOKUP(D3225,'[1]Task list &amp; Maintenace plan'!$B:$G,6,FALSE)</f>
        <v>101003</v>
      </c>
      <c r="F3225" s="327" t="s">
        <v>4598</v>
      </c>
      <c r="G3225" s="328" t="s">
        <v>2269</v>
      </c>
      <c r="H3225" s="328" t="s">
        <v>4602</v>
      </c>
      <c r="I3225" s="327">
        <v>30</v>
      </c>
      <c r="J3225" s="741"/>
      <c r="K3225" s="741">
        <v>0</v>
      </c>
      <c r="L3225" s="741">
        <v>0</v>
      </c>
      <c r="M3225" s="741">
        <f t="shared" si="22"/>
        <v>0</v>
      </c>
      <c r="N3225" s="741"/>
      <c r="O3225" s="544"/>
      <c r="P3225" s="544"/>
      <c r="Q3225" s="544"/>
      <c r="R3225" s="451"/>
      <c r="S3225" s="327"/>
    </row>
    <row r="3226" spans="1:19" x14ac:dyDescent="0.25">
      <c r="A3226" t="s">
        <v>3317</v>
      </c>
      <c r="B3226" s="504" t="s">
        <v>2268</v>
      </c>
      <c r="C3226" s="445"/>
      <c r="D3226" s="326">
        <v>610000004569</v>
      </c>
      <c r="E3226" s="326">
        <f>VLOOKUP(D3226,'[1]Task list &amp; Maintenace plan'!$B:$G,6,FALSE)</f>
        <v>101003</v>
      </c>
      <c r="F3226" s="327" t="s">
        <v>4598</v>
      </c>
      <c r="G3226" s="328" t="s">
        <v>2273</v>
      </c>
      <c r="H3226" s="328" t="s">
        <v>4603</v>
      </c>
      <c r="I3226" s="327">
        <v>30</v>
      </c>
      <c r="J3226" s="741"/>
      <c r="K3226" s="741">
        <v>0</v>
      </c>
      <c r="L3226" s="741">
        <v>0</v>
      </c>
      <c r="M3226" s="741">
        <f t="shared" si="22"/>
        <v>0</v>
      </c>
      <c r="N3226" s="741"/>
      <c r="O3226" s="544"/>
      <c r="P3226" s="544"/>
      <c r="Q3226" s="544"/>
      <c r="R3226" s="451"/>
      <c r="S3226" s="327"/>
    </row>
    <row r="3227" spans="1:19" x14ac:dyDescent="0.25">
      <c r="A3227" t="s">
        <v>3317</v>
      </c>
      <c r="B3227" s="504" t="s">
        <v>2268</v>
      </c>
      <c r="C3227" s="445"/>
      <c r="D3227" s="337">
        <v>610000004569</v>
      </c>
      <c r="E3227" s="337">
        <f>VLOOKUP(D3227,'[1]Task list &amp; Maintenace plan'!$B:$G,6,FALSE)</f>
        <v>101003</v>
      </c>
      <c r="F3227" s="338" t="s">
        <v>4598</v>
      </c>
      <c r="G3227" s="339" t="s">
        <v>2276</v>
      </c>
      <c r="H3227" s="339" t="s">
        <v>4604</v>
      </c>
      <c r="I3227" s="338">
        <v>30</v>
      </c>
      <c r="J3227" s="742"/>
      <c r="K3227" s="742">
        <v>0</v>
      </c>
      <c r="L3227" s="742">
        <v>0</v>
      </c>
      <c r="M3227" s="742">
        <f t="shared" si="22"/>
        <v>0</v>
      </c>
      <c r="N3227" s="742"/>
      <c r="O3227" s="544"/>
      <c r="P3227" s="544"/>
      <c r="Q3227" s="544"/>
      <c r="R3227" s="453"/>
      <c r="S3227" s="338"/>
    </row>
    <row r="3228" spans="1:19" x14ac:dyDescent="0.25">
      <c r="A3228" t="s">
        <v>3317</v>
      </c>
      <c r="B3228" s="504" t="s">
        <v>2268</v>
      </c>
      <c r="C3228" s="445"/>
      <c r="D3228" s="334">
        <v>352102</v>
      </c>
      <c r="E3228" s="334">
        <f>VLOOKUP(D3228,'[1]Task list &amp; Maintenace plan'!$B:$G,6,FALSE)</f>
        <v>1439</v>
      </c>
      <c r="F3228" s="335" t="s">
        <v>4605</v>
      </c>
      <c r="G3228" s="336" t="s">
        <v>2269</v>
      </c>
      <c r="H3228" s="336" t="s">
        <v>4606</v>
      </c>
      <c r="I3228" s="335">
        <v>180</v>
      </c>
      <c r="J3228" s="740">
        <v>1</v>
      </c>
      <c r="K3228" s="740">
        <v>10</v>
      </c>
      <c r="L3228" s="740">
        <v>1</v>
      </c>
      <c r="M3228" s="740">
        <f t="shared" si="22"/>
        <v>10</v>
      </c>
      <c r="N3228" s="740" t="s">
        <v>468</v>
      </c>
      <c r="O3228" s="544"/>
      <c r="P3228" s="544"/>
      <c r="Q3228" s="544"/>
      <c r="R3228" s="638" t="s">
        <v>4607</v>
      </c>
      <c r="S3228" s="335"/>
    </row>
    <row r="3229" spans="1:19" x14ac:dyDescent="0.25">
      <c r="A3229" t="s">
        <v>3317</v>
      </c>
      <c r="B3229" s="504" t="s">
        <v>2268</v>
      </c>
      <c r="C3229" s="445"/>
      <c r="D3229" s="337">
        <v>352102</v>
      </c>
      <c r="E3229" s="337">
        <f>VLOOKUP(D3229,'[1]Task list &amp; Maintenace plan'!$B:$G,6,FALSE)</f>
        <v>1439</v>
      </c>
      <c r="F3229" s="338" t="s">
        <v>4605</v>
      </c>
      <c r="G3229" s="339" t="s">
        <v>2276</v>
      </c>
      <c r="H3229" s="339" t="s">
        <v>4608</v>
      </c>
      <c r="I3229" s="338">
        <v>180</v>
      </c>
      <c r="J3229" s="742">
        <v>1</v>
      </c>
      <c r="K3229" s="742">
        <v>10</v>
      </c>
      <c r="L3229" s="742">
        <v>1</v>
      </c>
      <c r="M3229" s="742">
        <f t="shared" si="22"/>
        <v>10</v>
      </c>
      <c r="N3229" s="742"/>
      <c r="O3229" s="544"/>
      <c r="P3229" s="544"/>
      <c r="Q3229" s="544"/>
      <c r="R3229" s="453"/>
      <c r="S3229" s="338"/>
    </row>
    <row r="3230" spans="1:19" x14ac:dyDescent="0.25">
      <c r="A3230" t="s">
        <v>3317</v>
      </c>
      <c r="B3230" s="504" t="s">
        <v>2268</v>
      </c>
      <c r="C3230" s="445"/>
      <c r="D3230" s="340">
        <v>610000004570</v>
      </c>
      <c r="E3230" s="340">
        <f>VLOOKUP(D3230,'[1]Task list &amp; Maintenace plan'!$B:$G,6,FALSE)</f>
        <v>101004</v>
      </c>
      <c r="F3230" s="341" t="s">
        <v>4609</v>
      </c>
      <c r="G3230" s="342" t="s">
        <v>2269</v>
      </c>
      <c r="H3230" s="342" t="s">
        <v>4610</v>
      </c>
      <c r="I3230" s="341">
        <v>180</v>
      </c>
      <c r="J3230" s="740">
        <v>1</v>
      </c>
      <c r="K3230" s="740">
        <v>60</v>
      </c>
      <c r="L3230" s="740">
        <v>2</v>
      </c>
      <c r="M3230" s="740">
        <f t="shared" si="22"/>
        <v>120</v>
      </c>
      <c r="N3230" s="740" t="s">
        <v>3174</v>
      </c>
      <c r="O3230" s="544"/>
      <c r="P3230" s="544"/>
      <c r="Q3230" s="544"/>
      <c r="R3230" s="631" t="s">
        <v>4364</v>
      </c>
      <c r="S3230" s="341" t="s">
        <v>4524</v>
      </c>
    </row>
    <row r="3231" spans="1:19" x14ac:dyDescent="0.25">
      <c r="A3231" t="s">
        <v>3317</v>
      </c>
      <c r="B3231" s="504" t="s">
        <v>2268</v>
      </c>
      <c r="C3231" s="445"/>
      <c r="D3231" s="326">
        <v>610000004570</v>
      </c>
      <c r="E3231" s="326">
        <f>VLOOKUP(D3231,'[1]Task list &amp; Maintenace plan'!$B:$G,6,FALSE)</f>
        <v>101004</v>
      </c>
      <c r="F3231" s="327" t="s">
        <v>4609</v>
      </c>
      <c r="G3231" s="328" t="s">
        <v>2273</v>
      </c>
      <c r="H3231" s="328" t="s">
        <v>4611</v>
      </c>
      <c r="I3231" s="327">
        <v>180</v>
      </c>
      <c r="J3231" s="741">
        <v>1</v>
      </c>
      <c r="K3231" s="741">
        <v>60</v>
      </c>
      <c r="L3231" s="741">
        <v>2</v>
      </c>
      <c r="M3231" s="741">
        <f t="shared" si="22"/>
        <v>120</v>
      </c>
      <c r="N3231" s="741"/>
      <c r="O3231" s="544"/>
      <c r="P3231" s="544"/>
      <c r="Q3231" s="544"/>
      <c r="R3231" s="451" t="s">
        <v>4364</v>
      </c>
      <c r="S3231" s="327" t="s">
        <v>4524</v>
      </c>
    </row>
    <row r="3232" spans="1:19" x14ac:dyDescent="0.25">
      <c r="A3232" t="s">
        <v>3317</v>
      </c>
      <c r="B3232" s="504" t="s">
        <v>2268</v>
      </c>
      <c r="C3232" s="445"/>
      <c r="D3232" s="337">
        <v>610000004570</v>
      </c>
      <c r="E3232" s="337">
        <f>VLOOKUP(D3232,'[1]Task list &amp; Maintenace plan'!$B:$G,6,FALSE)</f>
        <v>101004</v>
      </c>
      <c r="F3232" s="338" t="s">
        <v>4609</v>
      </c>
      <c r="G3232" s="339" t="s">
        <v>2276</v>
      </c>
      <c r="H3232" s="339" t="s">
        <v>4612</v>
      </c>
      <c r="I3232" s="338">
        <v>180</v>
      </c>
      <c r="J3232" s="742">
        <v>1</v>
      </c>
      <c r="K3232" s="742">
        <v>60</v>
      </c>
      <c r="L3232" s="742">
        <v>2</v>
      </c>
      <c r="M3232" s="742">
        <f t="shared" si="22"/>
        <v>120</v>
      </c>
      <c r="N3232" s="742"/>
      <c r="O3232" s="544"/>
      <c r="P3232" s="544"/>
      <c r="Q3232" s="544"/>
      <c r="R3232" s="453" t="s">
        <v>4364</v>
      </c>
      <c r="S3232" s="338" t="s">
        <v>4524</v>
      </c>
    </row>
    <row r="3233" spans="1:19" ht="15.75" thickBot="1" x14ac:dyDescent="0.3">
      <c r="A3233" t="s">
        <v>3317</v>
      </c>
      <c r="B3233" s="504" t="s">
        <v>2268</v>
      </c>
      <c r="C3233" s="520"/>
      <c r="D3233" s="366"/>
      <c r="E3233" s="366"/>
      <c r="F3233" s="367"/>
      <c r="G3233" s="368"/>
      <c r="H3233" s="368"/>
      <c r="I3233" s="367"/>
      <c r="J3233" s="528"/>
      <c r="K3233" s="528"/>
      <c r="L3233" s="528"/>
      <c r="M3233" s="528"/>
      <c r="N3233" s="528"/>
      <c r="O3233" s="544"/>
      <c r="P3233" s="544"/>
      <c r="Q3233" s="544"/>
      <c r="R3233" s="636"/>
      <c r="S3233" s="367"/>
    </row>
    <row r="3234" spans="1:19" x14ac:dyDescent="0.25">
      <c r="A3234" t="s">
        <v>3317</v>
      </c>
      <c r="B3234" s="504" t="s">
        <v>2330</v>
      </c>
      <c r="C3234" s="445"/>
      <c r="D3234" s="340">
        <v>610000004571</v>
      </c>
      <c r="E3234" s="340">
        <f>VLOOKUP(D3234,'[1]Task list &amp; Maintenace plan'!$B:$G,6,FALSE)</f>
        <v>101005</v>
      </c>
      <c r="F3234" s="341" t="s">
        <v>4613</v>
      </c>
      <c r="G3234" s="342" t="s">
        <v>2336</v>
      </c>
      <c r="H3234" s="637" t="s">
        <v>4614</v>
      </c>
      <c r="I3234" s="341">
        <v>15</v>
      </c>
      <c r="J3234" s="745"/>
      <c r="K3234" s="745">
        <v>15</v>
      </c>
      <c r="L3234" s="745">
        <v>1</v>
      </c>
      <c r="M3234" s="745">
        <f t="shared" si="22"/>
        <v>15</v>
      </c>
      <c r="N3234" s="745" t="s">
        <v>20</v>
      </c>
      <c r="O3234" s="544"/>
      <c r="P3234" s="544"/>
      <c r="Q3234" s="544"/>
      <c r="R3234" s="631"/>
      <c r="S3234" s="341"/>
    </row>
    <row r="3235" spans="1:19" x14ac:dyDescent="0.25">
      <c r="A3235" t="s">
        <v>3317</v>
      </c>
      <c r="B3235" s="504" t="s">
        <v>2330</v>
      </c>
      <c r="C3235" s="445"/>
      <c r="D3235" s="326">
        <v>610000004571</v>
      </c>
      <c r="E3235" s="326">
        <f>VLOOKUP(D3235,'[1]Task list &amp; Maintenace plan'!$B:$G,6,FALSE)</f>
        <v>101005</v>
      </c>
      <c r="F3235" s="327" t="s">
        <v>4613</v>
      </c>
      <c r="G3235" s="328" t="s">
        <v>2336</v>
      </c>
      <c r="H3235" s="328" t="s">
        <v>4616</v>
      </c>
      <c r="I3235" s="327">
        <v>15</v>
      </c>
      <c r="J3235" s="741"/>
      <c r="K3235" s="741">
        <v>15</v>
      </c>
      <c r="L3235" s="741">
        <v>1</v>
      </c>
      <c r="M3235" s="741">
        <f t="shared" si="22"/>
        <v>15</v>
      </c>
      <c r="N3235" s="741"/>
      <c r="O3235" s="544"/>
      <c r="P3235" s="544"/>
      <c r="Q3235" s="544"/>
      <c r="R3235" s="451"/>
      <c r="S3235" s="327"/>
    </row>
    <row r="3236" spans="1:19" x14ac:dyDescent="0.25">
      <c r="A3236" t="s">
        <v>3317</v>
      </c>
      <c r="B3236" s="504" t="s">
        <v>2330</v>
      </c>
      <c r="C3236" s="445"/>
      <c r="D3236" s="326">
        <v>610000004571</v>
      </c>
      <c r="E3236" s="326">
        <f>VLOOKUP(D3236,'[1]Task list &amp; Maintenace plan'!$B:$G,6,FALSE)</f>
        <v>101005</v>
      </c>
      <c r="F3236" s="327" t="s">
        <v>4613</v>
      </c>
      <c r="G3236" s="328" t="s">
        <v>2336</v>
      </c>
      <c r="H3236" s="328" t="s">
        <v>4617</v>
      </c>
      <c r="I3236" s="327">
        <v>15</v>
      </c>
      <c r="J3236" s="741"/>
      <c r="K3236" s="741">
        <v>15</v>
      </c>
      <c r="L3236" s="741">
        <v>1</v>
      </c>
      <c r="M3236" s="741">
        <f t="shared" si="22"/>
        <v>15</v>
      </c>
      <c r="N3236" s="741"/>
      <c r="O3236" s="544"/>
      <c r="P3236" s="544"/>
      <c r="Q3236" s="544"/>
      <c r="R3236" s="451"/>
      <c r="S3236" s="327"/>
    </row>
    <row r="3237" spans="1:19" x14ac:dyDescent="0.25">
      <c r="A3237" t="s">
        <v>3317</v>
      </c>
      <c r="B3237" s="504" t="s">
        <v>2330</v>
      </c>
      <c r="C3237" s="445"/>
      <c r="D3237" s="326">
        <v>610000004571</v>
      </c>
      <c r="E3237" s="326">
        <f>VLOOKUP(D3237,'[1]Task list &amp; Maintenace plan'!$B:$G,6,FALSE)</f>
        <v>101005</v>
      </c>
      <c r="F3237" s="327" t="s">
        <v>4613</v>
      </c>
      <c r="G3237" s="328" t="s">
        <v>2338</v>
      </c>
      <c r="H3237" s="637" t="s">
        <v>4618</v>
      </c>
      <c r="I3237" s="327">
        <v>15</v>
      </c>
      <c r="J3237" s="741"/>
      <c r="K3237" s="741">
        <v>15</v>
      </c>
      <c r="L3237" s="741">
        <v>1</v>
      </c>
      <c r="M3237" s="741">
        <f t="shared" si="22"/>
        <v>15</v>
      </c>
      <c r="N3237" s="741"/>
      <c r="O3237" s="544"/>
      <c r="P3237" s="544"/>
      <c r="Q3237" s="544"/>
      <c r="R3237" s="451"/>
      <c r="S3237" s="327"/>
    </row>
    <row r="3238" spans="1:19" x14ac:dyDescent="0.25">
      <c r="A3238" t="s">
        <v>3317</v>
      </c>
      <c r="B3238" s="504" t="s">
        <v>2330</v>
      </c>
      <c r="C3238" s="445"/>
      <c r="D3238" s="326">
        <v>610000004571</v>
      </c>
      <c r="E3238" s="326">
        <f>VLOOKUP(D3238,'[1]Task list &amp; Maintenace plan'!$B:$G,6,FALSE)</f>
        <v>101005</v>
      </c>
      <c r="F3238" s="327" t="s">
        <v>4613</v>
      </c>
      <c r="G3238" s="328" t="s">
        <v>2338</v>
      </c>
      <c r="H3238" s="328" t="s">
        <v>4619</v>
      </c>
      <c r="I3238" s="327">
        <v>15</v>
      </c>
      <c r="J3238" s="741"/>
      <c r="K3238" s="741">
        <v>15</v>
      </c>
      <c r="L3238" s="741">
        <v>1</v>
      </c>
      <c r="M3238" s="741">
        <f t="shared" si="22"/>
        <v>15</v>
      </c>
      <c r="N3238" s="741"/>
      <c r="O3238" s="544"/>
      <c r="P3238" s="544"/>
      <c r="Q3238" s="544"/>
      <c r="R3238" s="451"/>
      <c r="S3238" s="327"/>
    </row>
    <row r="3239" spans="1:19" x14ac:dyDescent="0.25">
      <c r="A3239" t="s">
        <v>3317</v>
      </c>
      <c r="B3239" s="504" t="s">
        <v>2330</v>
      </c>
      <c r="C3239" s="445"/>
      <c r="D3239" s="326">
        <v>610000004571</v>
      </c>
      <c r="E3239" s="326">
        <f>VLOOKUP(D3239,'[1]Task list &amp; Maintenace plan'!$B:$G,6,FALSE)</f>
        <v>101005</v>
      </c>
      <c r="F3239" s="327" t="s">
        <v>4613</v>
      </c>
      <c r="G3239" s="328" t="s">
        <v>2338</v>
      </c>
      <c r="H3239" s="328" t="s">
        <v>4620</v>
      </c>
      <c r="I3239" s="327">
        <v>15</v>
      </c>
      <c r="J3239" s="741"/>
      <c r="K3239" s="741">
        <v>15</v>
      </c>
      <c r="L3239" s="741">
        <v>1</v>
      </c>
      <c r="M3239" s="741">
        <f t="shared" si="22"/>
        <v>15</v>
      </c>
      <c r="N3239" s="741"/>
      <c r="O3239" s="544"/>
      <c r="P3239" s="544"/>
      <c r="Q3239" s="544"/>
      <c r="R3239" s="451"/>
      <c r="S3239" s="327"/>
    </row>
    <row r="3240" spans="1:19" x14ac:dyDescent="0.25">
      <c r="A3240" t="s">
        <v>3317</v>
      </c>
      <c r="B3240" s="504" t="s">
        <v>2330</v>
      </c>
      <c r="C3240" s="445"/>
      <c r="D3240" s="326">
        <v>610000004571</v>
      </c>
      <c r="E3240" s="326">
        <f>VLOOKUP(D3240,'[1]Task list &amp; Maintenace plan'!$B:$G,6,FALSE)</f>
        <v>101005</v>
      </c>
      <c r="F3240" s="327" t="s">
        <v>4613</v>
      </c>
      <c r="G3240" s="328" t="s">
        <v>2336</v>
      </c>
      <c r="H3240" s="328" t="s">
        <v>4621</v>
      </c>
      <c r="I3240" s="327">
        <v>15</v>
      </c>
      <c r="J3240" s="741"/>
      <c r="K3240" s="741">
        <v>15</v>
      </c>
      <c r="L3240" s="741">
        <v>1</v>
      </c>
      <c r="M3240" s="741">
        <f t="shared" si="22"/>
        <v>15</v>
      </c>
      <c r="N3240" s="741"/>
      <c r="O3240" s="544"/>
      <c r="P3240" s="544"/>
      <c r="Q3240" s="544"/>
      <c r="R3240" s="451"/>
      <c r="S3240" s="327"/>
    </row>
    <row r="3241" spans="1:19" x14ac:dyDescent="0.25">
      <c r="A3241" t="s">
        <v>3317</v>
      </c>
      <c r="B3241" s="504" t="s">
        <v>2330</v>
      </c>
      <c r="C3241" s="445"/>
      <c r="D3241" s="326">
        <v>610000004571</v>
      </c>
      <c r="E3241" s="326">
        <f>VLOOKUP(D3241,'[1]Task list &amp; Maintenace plan'!$B:$G,6,FALSE)</f>
        <v>101005</v>
      </c>
      <c r="F3241" s="327" t="s">
        <v>4613</v>
      </c>
      <c r="G3241" s="328" t="s">
        <v>487</v>
      </c>
      <c r="H3241" s="639" t="s">
        <v>4622</v>
      </c>
      <c r="I3241" s="327">
        <v>15</v>
      </c>
      <c r="J3241" s="741"/>
      <c r="K3241" s="741">
        <v>15</v>
      </c>
      <c r="L3241" s="741">
        <v>1</v>
      </c>
      <c r="M3241" s="741">
        <f t="shared" si="22"/>
        <v>15</v>
      </c>
      <c r="N3241" s="741"/>
      <c r="O3241" s="544"/>
      <c r="P3241" s="544"/>
      <c r="Q3241" s="544"/>
      <c r="R3241" s="451"/>
      <c r="S3241" s="327"/>
    </row>
    <row r="3242" spans="1:19" x14ac:dyDescent="0.25">
      <c r="A3242" t="s">
        <v>3317</v>
      </c>
      <c r="B3242" s="504" t="s">
        <v>2330</v>
      </c>
      <c r="C3242" s="445"/>
      <c r="D3242" s="326">
        <v>610000004571</v>
      </c>
      <c r="E3242" s="326">
        <f>VLOOKUP(D3242,'[1]Task list &amp; Maintenace plan'!$B:$G,6,FALSE)</f>
        <v>101005</v>
      </c>
      <c r="F3242" s="327" t="s">
        <v>4613</v>
      </c>
      <c r="G3242" s="328" t="s">
        <v>487</v>
      </c>
      <c r="H3242" s="328" t="s">
        <v>4623</v>
      </c>
      <c r="I3242" s="327">
        <v>15</v>
      </c>
      <c r="J3242" s="741"/>
      <c r="K3242" s="741">
        <v>15</v>
      </c>
      <c r="L3242" s="741">
        <v>1</v>
      </c>
      <c r="M3242" s="741">
        <f t="shared" si="22"/>
        <v>15</v>
      </c>
      <c r="N3242" s="741"/>
      <c r="O3242" s="544"/>
      <c r="P3242" s="544"/>
      <c r="Q3242" s="544"/>
      <c r="R3242" s="451"/>
      <c r="S3242" s="327"/>
    </row>
    <row r="3243" spans="1:19" x14ac:dyDescent="0.25">
      <c r="A3243" t="s">
        <v>3317</v>
      </c>
      <c r="B3243" s="504" t="s">
        <v>2330</v>
      </c>
      <c r="C3243" s="445"/>
      <c r="D3243" s="337">
        <v>610000004571</v>
      </c>
      <c r="E3243" s="337">
        <f>VLOOKUP(D3243,'[1]Task list &amp; Maintenace plan'!$B:$G,6,FALSE)</f>
        <v>101005</v>
      </c>
      <c r="F3243" s="338" t="s">
        <v>4613</v>
      </c>
      <c r="G3243" s="339" t="s">
        <v>487</v>
      </c>
      <c r="H3243" s="339" t="s">
        <v>4624</v>
      </c>
      <c r="I3243" s="338">
        <v>15</v>
      </c>
      <c r="J3243" s="742"/>
      <c r="K3243" s="742">
        <v>15</v>
      </c>
      <c r="L3243" s="742">
        <v>1</v>
      </c>
      <c r="M3243" s="742">
        <f t="shared" si="22"/>
        <v>15</v>
      </c>
      <c r="N3243" s="742"/>
      <c r="O3243" s="544"/>
      <c r="P3243" s="544"/>
      <c r="Q3243" s="544"/>
      <c r="R3243" s="453"/>
      <c r="S3243" s="338"/>
    </row>
    <row r="3244" spans="1:19" x14ac:dyDescent="0.25">
      <c r="A3244" t="s">
        <v>3317</v>
      </c>
      <c r="B3244" s="504" t="s">
        <v>2330</v>
      </c>
      <c r="C3244" s="51"/>
      <c r="D3244" s="343">
        <v>610000004572</v>
      </c>
      <c r="E3244" s="343">
        <f>VLOOKUP(D3244,'[1]Task list &amp; Maintenace plan'!$B:$G,6,FALSE)</f>
        <v>101006</v>
      </c>
      <c r="F3244" s="344" t="s">
        <v>4625</v>
      </c>
      <c r="G3244" s="345" t="s">
        <v>2331</v>
      </c>
      <c r="H3244" s="345" t="s">
        <v>4626</v>
      </c>
      <c r="I3244" s="344">
        <v>30</v>
      </c>
      <c r="J3244" s="733">
        <v>1</v>
      </c>
      <c r="K3244" s="733">
        <v>15</v>
      </c>
      <c r="L3244" s="733">
        <v>1</v>
      </c>
      <c r="M3244" s="733">
        <f t="shared" si="22"/>
        <v>15</v>
      </c>
      <c r="N3244" s="733" t="s">
        <v>20</v>
      </c>
      <c r="O3244" s="544"/>
      <c r="P3244" s="544"/>
      <c r="Q3244" s="544"/>
      <c r="R3244" s="418"/>
      <c r="S3244" s="344"/>
    </row>
    <row r="3245" spans="1:19" x14ac:dyDescent="0.25">
      <c r="A3245" t="s">
        <v>3317</v>
      </c>
      <c r="B3245" s="504" t="s">
        <v>2330</v>
      </c>
      <c r="C3245" s="51"/>
      <c r="D3245" s="346">
        <v>610000004572</v>
      </c>
      <c r="E3245" s="346">
        <f>VLOOKUP(D3245,'[1]Task list &amp; Maintenace plan'!$B:$G,6,FALSE)</f>
        <v>101006</v>
      </c>
      <c r="F3245" s="347" t="s">
        <v>4625</v>
      </c>
      <c r="G3245" s="348" t="s">
        <v>4615</v>
      </c>
      <c r="H3245" s="348" t="s">
        <v>4627</v>
      </c>
      <c r="I3245" s="347">
        <v>30</v>
      </c>
      <c r="J3245" s="736">
        <v>1</v>
      </c>
      <c r="K3245" s="736">
        <v>15</v>
      </c>
      <c r="L3245" s="736">
        <v>1</v>
      </c>
      <c r="M3245" s="736">
        <f t="shared" si="22"/>
        <v>15</v>
      </c>
      <c r="N3245" s="736"/>
      <c r="O3245" s="544"/>
      <c r="P3245" s="544"/>
      <c r="Q3245" s="544"/>
      <c r="R3245" s="413"/>
      <c r="S3245" s="347"/>
    </row>
    <row r="3246" spans="1:19" x14ac:dyDescent="0.25">
      <c r="A3246" t="s">
        <v>3317</v>
      </c>
      <c r="B3246" s="504" t="s">
        <v>2330</v>
      </c>
      <c r="C3246" s="51"/>
      <c r="D3246" s="346">
        <v>610000004572</v>
      </c>
      <c r="E3246" s="346">
        <f>VLOOKUP(D3246,'[1]Task list &amp; Maintenace plan'!$B:$G,6,FALSE)</f>
        <v>101006</v>
      </c>
      <c r="F3246" s="347" t="s">
        <v>4625</v>
      </c>
      <c r="G3246" s="348" t="s">
        <v>2342</v>
      </c>
      <c r="H3246" s="348" t="s">
        <v>4628</v>
      </c>
      <c r="I3246" s="347">
        <v>30</v>
      </c>
      <c r="J3246" s="736">
        <v>1</v>
      </c>
      <c r="K3246" s="736">
        <v>15</v>
      </c>
      <c r="L3246" s="736">
        <v>1</v>
      </c>
      <c r="M3246" s="736">
        <f t="shared" si="22"/>
        <v>15</v>
      </c>
      <c r="N3246" s="736"/>
      <c r="O3246" s="544"/>
      <c r="P3246" s="544"/>
      <c r="Q3246" s="544"/>
      <c r="R3246" s="413"/>
      <c r="S3246" s="347"/>
    </row>
    <row r="3247" spans="1:19" x14ac:dyDescent="0.25">
      <c r="A3247" t="s">
        <v>3317</v>
      </c>
      <c r="B3247" s="504" t="s">
        <v>2330</v>
      </c>
      <c r="C3247" s="51"/>
      <c r="D3247" s="346">
        <v>610000004572</v>
      </c>
      <c r="E3247" s="346">
        <f>VLOOKUP(D3247,'[1]Task list &amp; Maintenace plan'!$B:$G,6,FALSE)</f>
        <v>101006</v>
      </c>
      <c r="F3247" s="347" t="s">
        <v>4625</v>
      </c>
      <c r="G3247" s="348" t="s">
        <v>715</v>
      </c>
      <c r="H3247" s="348" t="s">
        <v>4629</v>
      </c>
      <c r="I3247" s="347">
        <v>30</v>
      </c>
      <c r="J3247" s="736">
        <v>1</v>
      </c>
      <c r="K3247" s="736">
        <v>15</v>
      </c>
      <c r="L3247" s="736">
        <v>1</v>
      </c>
      <c r="M3247" s="736">
        <f t="shared" si="22"/>
        <v>15</v>
      </c>
      <c r="N3247" s="736"/>
      <c r="O3247" s="544"/>
      <c r="P3247" s="544"/>
      <c r="Q3247" s="544"/>
      <c r="R3247" s="413"/>
      <c r="S3247" s="347"/>
    </row>
    <row r="3248" spans="1:19" x14ac:dyDescent="0.25">
      <c r="A3248" t="s">
        <v>3317</v>
      </c>
      <c r="B3248" s="504" t="s">
        <v>2330</v>
      </c>
      <c r="C3248" s="51"/>
      <c r="D3248" s="346">
        <v>610000004572</v>
      </c>
      <c r="E3248" s="346">
        <f>VLOOKUP(D3248,'[1]Task list &amp; Maintenace plan'!$B:$G,6,FALSE)</f>
        <v>101006</v>
      </c>
      <c r="F3248" s="347" t="s">
        <v>4625</v>
      </c>
      <c r="G3248" s="348" t="s">
        <v>715</v>
      </c>
      <c r="H3248" s="348" t="s">
        <v>4630</v>
      </c>
      <c r="I3248" s="347">
        <v>30</v>
      </c>
      <c r="J3248" s="736">
        <v>1</v>
      </c>
      <c r="K3248" s="736">
        <v>15</v>
      </c>
      <c r="L3248" s="736">
        <v>1</v>
      </c>
      <c r="M3248" s="736">
        <f t="shared" si="22"/>
        <v>15</v>
      </c>
      <c r="N3248" s="736"/>
      <c r="O3248" s="544"/>
      <c r="P3248" s="544"/>
      <c r="Q3248" s="544"/>
      <c r="R3248" s="413"/>
      <c r="S3248" s="347"/>
    </row>
    <row r="3249" spans="1:19" x14ac:dyDescent="0.25">
      <c r="A3249" t="s">
        <v>3317</v>
      </c>
      <c r="B3249" s="504" t="s">
        <v>2330</v>
      </c>
      <c r="C3249" s="51"/>
      <c r="D3249" s="346">
        <v>610000004572</v>
      </c>
      <c r="E3249" s="346">
        <f>VLOOKUP(D3249,'[1]Task list &amp; Maintenace plan'!$B:$G,6,FALSE)</f>
        <v>101006</v>
      </c>
      <c r="F3249" s="347" t="s">
        <v>4625</v>
      </c>
      <c r="G3249" s="348" t="s">
        <v>2346</v>
      </c>
      <c r="H3249" s="348" t="s">
        <v>4631</v>
      </c>
      <c r="I3249" s="347">
        <v>30</v>
      </c>
      <c r="J3249" s="736">
        <v>1</v>
      </c>
      <c r="K3249" s="736">
        <v>15</v>
      </c>
      <c r="L3249" s="736">
        <v>1</v>
      </c>
      <c r="M3249" s="736">
        <f t="shared" si="22"/>
        <v>15</v>
      </c>
      <c r="N3249" s="736"/>
      <c r="O3249" s="544"/>
      <c r="P3249" s="544"/>
      <c r="Q3249" s="544"/>
      <c r="R3249" s="413"/>
      <c r="S3249" s="347"/>
    </row>
    <row r="3250" spans="1:19" x14ac:dyDescent="0.25">
      <c r="A3250" t="s">
        <v>3317</v>
      </c>
      <c r="B3250" s="504" t="s">
        <v>2330</v>
      </c>
      <c r="C3250" s="51"/>
      <c r="D3250" s="346">
        <v>610000004572</v>
      </c>
      <c r="E3250" s="346">
        <f>VLOOKUP(D3250,'[1]Task list &amp; Maintenace plan'!$B:$G,6,FALSE)</f>
        <v>101006</v>
      </c>
      <c r="F3250" s="347" t="s">
        <v>4625</v>
      </c>
      <c r="G3250" s="348" t="s">
        <v>2346</v>
      </c>
      <c r="H3250" s="348" t="s">
        <v>4632</v>
      </c>
      <c r="I3250" s="347">
        <v>30</v>
      </c>
      <c r="J3250" s="736">
        <v>1</v>
      </c>
      <c r="K3250" s="736">
        <v>15</v>
      </c>
      <c r="L3250" s="736">
        <v>1</v>
      </c>
      <c r="M3250" s="736">
        <f t="shared" si="22"/>
        <v>15</v>
      </c>
      <c r="N3250" s="736"/>
      <c r="O3250" s="544"/>
      <c r="P3250" s="544"/>
      <c r="Q3250" s="544"/>
      <c r="R3250" s="413"/>
      <c r="S3250" s="347"/>
    </row>
    <row r="3251" spans="1:19" x14ac:dyDescent="0.25">
      <c r="A3251" t="s">
        <v>3317</v>
      </c>
      <c r="B3251" s="504" t="s">
        <v>2330</v>
      </c>
      <c r="C3251" s="51"/>
      <c r="D3251" s="349">
        <v>610000004572</v>
      </c>
      <c r="E3251" s="349">
        <f>VLOOKUP(D3251,'[1]Task list &amp; Maintenace plan'!$B:$G,6,FALSE)</f>
        <v>101006</v>
      </c>
      <c r="F3251" s="350" t="s">
        <v>4625</v>
      </c>
      <c r="G3251" s="351" t="s">
        <v>333</v>
      </c>
      <c r="H3251" s="351" t="s">
        <v>4633</v>
      </c>
      <c r="I3251" s="350">
        <v>30</v>
      </c>
      <c r="J3251" s="737">
        <v>1</v>
      </c>
      <c r="K3251" s="737">
        <v>15</v>
      </c>
      <c r="L3251" s="737">
        <v>1</v>
      </c>
      <c r="M3251" s="737">
        <f t="shared" si="22"/>
        <v>15</v>
      </c>
      <c r="N3251" s="737"/>
      <c r="O3251" s="544"/>
      <c r="P3251" s="544"/>
      <c r="Q3251" s="544"/>
      <c r="R3251" s="414"/>
      <c r="S3251" s="350"/>
    </row>
    <row r="3252" spans="1:19" x14ac:dyDescent="0.25">
      <c r="A3252" t="s">
        <v>3317</v>
      </c>
      <c r="B3252" s="504" t="s">
        <v>2330</v>
      </c>
      <c r="C3252" s="51"/>
      <c r="D3252" s="343">
        <v>610000004573</v>
      </c>
      <c r="E3252" s="343">
        <f>VLOOKUP(D3252,'[1]Task list &amp; Maintenace plan'!$B:$G,6,FALSE)</f>
        <v>101007</v>
      </c>
      <c r="F3252" s="344" t="s">
        <v>4634</v>
      </c>
      <c r="G3252" s="345" t="s">
        <v>2331</v>
      </c>
      <c r="H3252" s="345" t="s">
        <v>4635</v>
      </c>
      <c r="I3252" s="344">
        <v>30</v>
      </c>
      <c r="J3252" s="733"/>
      <c r="K3252" s="733">
        <v>15</v>
      </c>
      <c r="L3252" s="733">
        <v>1</v>
      </c>
      <c r="M3252" s="733">
        <f t="shared" si="22"/>
        <v>15</v>
      </c>
      <c r="N3252" s="733" t="s">
        <v>3174</v>
      </c>
      <c r="O3252" s="544"/>
      <c r="P3252" s="544"/>
      <c r="Q3252" s="544"/>
      <c r="R3252" s="418" t="s">
        <v>3159</v>
      </c>
      <c r="S3252" s="344" t="s">
        <v>4417</v>
      </c>
    </row>
    <row r="3253" spans="1:19" x14ac:dyDescent="0.25">
      <c r="A3253" t="s">
        <v>3317</v>
      </c>
      <c r="B3253" s="504" t="s">
        <v>2330</v>
      </c>
      <c r="C3253" s="51"/>
      <c r="D3253" s="346">
        <v>610000004573</v>
      </c>
      <c r="E3253" s="346">
        <f>VLOOKUP(D3253,'[1]Task list &amp; Maintenace plan'!$B:$G,6,FALSE)</f>
        <v>101007</v>
      </c>
      <c r="F3253" s="347" t="s">
        <v>4634</v>
      </c>
      <c r="G3253" s="348" t="s">
        <v>4615</v>
      </c>
      <c r="H3253" s="348" t="s">
        <v>4636</v>
      </c>
      <c r="I3253" s="347">
        <v>30</v>
      </c>
      <c r="J3253" s="736"/>
      <c r="K3253" s="736">
        <v>15</v>
      </c>
      <c r="L3253" s="736">
        <v>1</v>
      </c>
      <c r="M3253" s="736">
        <f t="shared" si="22"/>
        <v>15</v>
      </c>
      <c r="N3253" s="736"/>
      <c r="O3253" s="544"/>
      <c r="P3253" s="544"/>
      <c r="Q3253" s="544"/>
      <c r="R3253" s="413" t="s">
        <v>3159</v>
      </c>
      <c r="S3253" s="347" t="s">
        <v>4417</v>
      </c>
    </row>
    <row r="3254" spans="1:19" x14ac:dyDescent="0.25">
      <c r="A3254" t="s">
        <v>3317</v>
      </c>
      <c r="B3254" s="504" t="s">
        <v>2330</v>
      </c>
      <c r="C3254" s="51"/>
      <c r="D3254" s="346">
        <v>610000004573</v>
      </c>
      <c r="E3254" s="346">
        <f>VLOOKUP(D3254,'[1]Task list &amp; Maintenace plan'!$B:$G,6,FALSE)</f>
        <v>101007</v>
      </c>
      <c r="F3254" s="347" t="s">
        <v>4634</v>
      </c>
      <c r="G3254" s="348" t="s">
        <v>2342</v>
      </c>
      <c r="H3254" s="348" t="s">
        <v>4637</v>
      </c>
      <c r="I3254" s="347">
        <v>30</v>
      </c>
      <c r="J3254" s="736"/>
      <c r="K3254" s="736">
        <v>15</v>
      </c>
      <c r="L3254" s="736">
        <v>1</v>
      </c>
      <c r="M3254" s="736">
        <f t="shared" si="22"/>
        <v>15</v>
      </c>
      <c r="N3254" s="736"/>
      <c r="O3254" s="544"/>
      <c r="P3254" s="544"/>
      <c r="Q3254" s="544"/>
      <c r="R3254" s="413" t="s">
        <v>3159</v>
      </c>
      <c r="S3254" s="347" t="s">
        <v>4417</v>
      </c>
    </row>
    <row r="3255" spans="1:19" x14ac:dyDescent="0.25">
      <c r="A3255" t="s">
        <v>3317</v>
      </c>
      <c r="B3255" s="504" t="s">
        <v>2330</v>
      </c>
      <c r="C3255" s="51"/>
      <c r="D3255" s="349">
        <v>610000004573</v>
      </c>
      <c r="E3255" s="349">
        <f>VLOOKUP(D3255,'[1]Task list &amp; Maintenace plan'!$B:$G,6,FALSE)</f>
        <v>101007</v>
      </c>
      <c r="F3255" s="350" t="s">
        <v>4634</v>
      </c>
      <c r="G3255" s="351" t="s">
        <v>333</v>
      </c>
      <c r="H3255" s="351" t="s">
        <v>4638</v>
      </c>
      <c r="I3255" s="350">
        <v>30</v>
      </c>
      <c r="J3255" s="737"/>
      <c r="K3255" s="737">
        <v>15</v>
      </c>
      <c r="L3255" s="737">
        <v>1</v>
      </c>
      <c r="M3255" s="737">
        <f t="shared" si="22"/>
        <v>15</v>
      </c>
      <c r="N3255" s="737"/>
      <c r="O3255" s="544"/>
      <c r="P3255" s="544"/>
      <c r="Q3255" s="544"/>
      <c r="R3255" s="414" t="s">
        <v>3159</v>
      </c>
      <c r="S3255" s="350" t="s">
        <v>4417</v>
      </c>
    </row>
    <row r="3256" spans="1:19" x14ac:dyDescent="0.25">
      <c r="A3256" t="s">
        <v>3317</v>
      </c>
      <c r="B3256" s="504" t="s">
        <v>2330</v>
      </c>
      <c r="C3256" s="51"/>
      <c r="D3256" s="343">
        <v>610000004574</v>
      </c>
      <c r="E3256" s="343">
        <f>VLOOKUP(D3256,'[1]Task list &amp; Maintenace plan'!$B:$G,6,FALSE)</f>
        <v>101008</v>
      </c>
      <c r="F3256" s="344" t="s">
        <v>4639</v>
      </c>
      <c r="G3256" s="345" t="s">
        <v>2331</v>
      </c>
      <c r="H3256" s="345" t="s">
        <v>4640</v>
      </c>
      <c r="I3256" s="344">
        <v>180</v>
      </c>
      <c r="J3256" s="733">
        <v>1</v>
      </c>
      <c r="K3256" s="733">
        <v>120</v>
      </c>
      <c r="L3256" s="733">
        <v>2</v>
      </c>
      <c r="M3256" s="733">
        <f t="shared" si="22"/>
        <v>240</v>
      </c>
      <c r="N3256" s="733" t="s">
        <v>3174</v>
      </c>
      <c r="O3256" s="544"/>
      <c r="P3256" s="544"/>
      <c r="Q3256" s="544"/>
      <c r="R3256" s="418" t="s">
        <v>4364</v>
      </c>
      <c r="S3256" s="344" t="s">
        <v>4641</v>
      </c>
    </row>
    <row r="3257" spans="1:19" x14ac:dyDescent="0.25">
      <c r="A3257" t="s">
        <v>3317</v>
      </c>
      <c r="B3257" s="504" t="s">
        <v>2330</v>
      </c>
      <c r="C3257" s="51"/>
      <c r="D3257" s="346">
        <v>610000004574</v>
      </c>
      <c r="E3257" s="346">
        <f>VLOOKUP(D3257,'[1]Task list &amp; Maintenace plan'!$B:$G,6,FALSE)</f>
        <v>101008</v>
      </c>
      <c r="F3257" s="347" t="s">
        <v>4639</v>
      </c>
      <c r="G3257" s="348" t="s">
        <v>4615</v>
      </c>
      <c r="H3257" s="348" t="s">
        <v>4642</v>
      </c>
      <c r="I3257" s="347">
        <v>180</v>
      </c>
      <c r="J3257" s="736">
        <v>1</v>
      </c>
      <c r="K3257" s="736">
        <v>120</v>
      </c>
      <c r="L3257" s="736">
        <v>2</v>
      </c>
      <c r="M3257" s="736">
        <f t="shared" si="22"/>
        <v>240</v>
      </c>
      <c r="N3257" s="736"/>
      <c r="O3257" s="544"/>
      <c r="P3257" s="544"/>
      <c r="Q3257" s="544"/>
      <c r="R3257" s="413" t="s">
        <v>4643</v>
      </c>
      <c r="S3257" s="347" t="s">
        <v>4644</v>
      </c>
    </row>
    <row r="3258" spans="1:19" x14ac:dyDescent="0.25">
      <c r="A3258" t="s">
        <v>3317</v>
      </c>
      <c r="B3258" s="504" t="s">
        <v>2330</v>
      </c>
      <c r="C3258" s="51"/>
      <c r="D3258" s="346">
        <v>610000004574</v>
      </c>
      <c r="E3258" s="346">
        <f>VLOOKUP(D3258,'[1]Task list &amp; Maintenace plan'!$B:$G,6,FALSE)</f>
        <v>101008</v>
      </c>
      <c r="F3258" s="347" t="s">
        <v>4639</v>
      </c>
      <c r="G3258" s="348" t="s">
        <v>2342</v>
      </c>
      <c r="H3258" s="348" t="s">
        <v>4645</v>
      </c>
      <c r="I3258" s="347">
        <v>180</v>
      </c>
      <c r="J3258" s="736">
        <v>1</v>
      </c>
      <c r="K3258" s="736">
        <v>120</v>
      </c>
      <c r="L3258" s="736">
        <v>2</v>
      </c>
      <c r="M3258" s="736">
        <f t="shared" si="22"/>
        <v>240</v>
      </c>
      <c r="N3258" s="736"/>
      <c r="O3258" s="544"/>
      <c r="P3258" s="544"/>
      <c r="Q3258" s="544"/>
      <c r="R3258" s="413" t="s">
        <v>4643</v>
      </c>
      <c r="S3258" s="347" t="s">
        <v>4524</v>
      </c>
    </row>
    <row r="3259" spans="1:19" x14ac:dyDescent="0.25">
      <c r="A3259" t="s">
        <v>3317</v>
      </c>
      <c r="B3259" s="504" t="s">
        <v>2330</v>
      </c>
      <c r="C3259" s="51"/>
      <c r="D3259" s="346">
        <v>610000004574</v>
      </c>
      <c r="E3259" s="346">
        <f>VLOOKUP(D3259,'[1]Task list &amp; Maintenace plan'!$B:$G,6,FALSE)</f>
        <v>101008</v>
      </c>
      <c r="F3259" s="347" t="s">
        <v>4639</v>
      </c>
      <c r="G3259" s="348" t="s">
        <v>715</v>
      </c>
      <c r="H3259" s="348" t="s">
        <v>4646</v>
      </c>
      <c r="I3259" s="347">
        <v>180</v>
      </c>
      <c r="J3259" s="736">
        <v>1</v>
      </c>
      <c r="K3259" s="736">
        <v>120</v>
      </c>
      <c r="L3259" s="736">
        <v>2</v>
      </c>
      <c r="M3259" s="736">
        <f t="shared" si="22"/>
        <v>240</v>
      </c>
      <c r="N3259" s="736"/>
      <c r="O3259" s="544"/>
      <c r="P3259" s="544"/>
      <c r="Q3259" s="544"/>
      <c r="R3259" s="413"/>
      <c r="S3259" s="347"/>
    </row>
    <row r="3260" spans="1:19" x14ac:dyDescent="0.25">
      <c r="A3260" t="s">
        <v>3317</v>
      </c>
      <c r="B3260" s="504" t="s">
        <v>2330</v>
      </c>
      <c r="C3260" s="51"/>
      <c r="D3260" s="346">
        <v>610000004574</v>
      </c>
      <c r="E3260" s="346">
        <f>VLOOKUP(D3260,'[1]Task list &amp; Maintenace plan'!$B:$G,6,FALSE)</f>
        <v>101008</v>
      </c>
      <c r="F3260" s="347" t="s">
        <v>4639</v>
      </c>
      <c r="G3260" s="348" t="s">
        <v>715</v>
      </c>
      <c r="H3260" s="348" t="s">
        <v>4647</v>
      </c>
      <c r="I3260" s="347">
        <v>180</v>
      </c>
      <c r="J3260" s="736">
        <v>1</v>
      </c>
      <c r="K3260" s="736">
        <v>120</v>
      </c>
      <c r="L3260" s="736">
        <v>2</v>
      </c>
      <c r="M3260" s="736">
        <f t="shared" si="22"/>
        <v>240</v>
      </c>
      <c r="N3260" s="736"/>
      <c r="O3260" s="544"/>
      <c r="P3260" s="544"/>
      <c r="Q3260" s="544"/>
      <c r="R3260" s="413"/>
      <c r="S3260" s="347"/>
    </row>
    <row r="3261" spans="1:19" x14ac:dyDescent="0.25">
      <c r="A3261" t="s">
        <v>3317</v>
      </c>
      <c r="B3261" s="504" t="s">
        <v>2330</v>
      </c>
      <c r="C3261" s="51"/>
      <c r="D3261" s="346">
        <v>610000004574</v>
      </c>
      <c r="E3261" s="346">
        <f>VLOOKUP(D3261,'[1]Task list &amp; Maintenace plan'!$B:$G,6,FALSE)</f>
        <v>101008</v>
      </c>
      <c r="F3261" s="347" t="s">
        <v>4639</v>
      </c>
      <c r="G3261" s="348" t="s">
        <v>2346</v>
      </c>
      <c r="H3261" s="348" t="s">
        <v>4648</v>
      </c>
      <c r="I3261" s="347">
        <v>180</v>
      </c>
      <c r="J3261" s="736">
        <v>1</v>
      </c>
      <c r="K3261" s="736">
        <v>120</v>
      </c>
      <c r="L3261" s="736">
        <v>2</v>
      </c>
      <c r="M3261" s="736">
        <f t="shared" si="22"/>
        <v>240</v>
      </c>
      <c r="N3261" s="736"/>
      <c r="O3261" s="544"/>
      <c r="P3261" s="544"/>
      <c r="Q3261" s="544"/>
      <c r="R3261" s="413"/>
      <c r="S3261" s="347"/>
    </row>
    <row r="3262" spans="1:19" x14ac:dyDescent="0.25">
      <c r="A3262" t="s">
        <v>3317</v>
      </c>
      <c r="B3262" s="504" t="s">
        <v>2330</v>
      </c>
      <c r="C3262" s="51"/>
      <c r="D3262" s="346">
        <v>610000004574</v>
      </c>
      <c r="E3262" s="346">
        <f>VLOOKUP(D3262,'[1]Task list &amp; Maintenace plan'!$B:$G,6,FALSE)</f>
        <v>101008</v>
      </c>
      <c r="F3262" s="347" t="s">
        <v>4639</v>
      </c>
      <c r="G3262" s="348" t="s">
        <v>2346</v>
      </c>
      <c r="H3262" s="348" t="s">
        <v>4649</v>
      </c>
      <c r="I3262" s="347">
        <v>180</v>
      </c>
      <c r="J3262" s="736">
        <v>1</v>
      </c>
      <c r="K3262" s="736">
        <v>120</v>
      </c>
      <c r="L3262" s="736">
        <v>2</v>
      </c>
      <c r="M3262" s="736">
        <f t="shared" si="22"/>
        <v>240</v>
      </c>
      <c r="N3262" s="736"/>
      <c r="O3262" s="544"/>
      <c r="P3262" s="544"/>
      <c r="Q3262" s="544"/>
      <c r="R3262" s="413" t="s">
        <v>4364</v>
      </c>
      <c r="S3262" s="347" t="s">
        <v>4650</v>
      </c>
    </row>
    <row r="3263" spans="1:19" ht="15.75" thickBot="1" x14ac:dyDescent="0.3">
      <c r="A3263" t="s">
        <v>3317</v>
      </c>
      <c r="B3263" s="504" t="s">
        <v>2330</v>
      </c>
      <c r="C3263" s="214"/>
      <c r="D3263" s="466">
        <v>610000004574</v>
      </c>
      <c r="E3263" s="466">
        <f>VLOOKUP(D3263,'[1]Task list &amp; Maintenace plan'!$B:$G,6,FALSE)</f>
        <v>101008</v>
      </c>
      <c r="F3263" s="467" t="s">
        <v>4639</v>
      </c>
      <c r="G3263" s="468" t="s">
        <v>333</v>
      </c>
      <c r="H3263" s="468" t="s">
        <v>4651</v>
      </c>
      <c r="I3263" s="467">
        <v>180</v>
      </c>
      <c r="J3263" s="738">
        <v>1</v>
      </c>
      <c r="K3263" s="738">
        <v>120</v>
      </c>
      <c r="L3263" s="738">
        <v>2</v>
      </c>
      <c r="M3263" s="738">
        <f t="shared" si="22"/>
        <v>240</v>
      </c>
      <c r="N3263" s="738"/>
      <c r="O3263" s="544"/>
      <c r="P3263" s="544"/>
      <c r="Q3263" s="544"/>
      <c r="R3263" s="543" t="s">
        <v>4643</v>
      </c>
      <c r="S3263" s="467" t="s">
        <v>4652</v>
      </c>
    </row>
    <row r="3264" spans="1:19" x14ac:dyDescent="0.25">
      <c r="A3264" t="s">
        <v>3317</v>
      </c>
      <c r="B3264" s="50" t="s">
        <v>1699</v>
      </c>
      <c r="C3264" s="51"/>
      <c r="D3264" s="343">
        <v>610000004340</v>
      </c>
      <c r="E3264" s="344">
        <f>VLOOKUP(D3264,'[1]Task list &amp; Maintenace plan'!$B:$G,6,FALSE)</f>
        <v>100774</v>
      </c>
      <c r="F3264" s="344" t="s">
        <v>4653</v>
      </c>
      <c r="G3264" s="345" t="s">
        <v>1700</v>
      </c>
      <c r="H3264" s="345" t="s">
        <v>4654</v>
      </c>
      <c r="I3264" s="344">
        <v>30</v>
      </c>
      <c r="J3264" s="733"/>
      <c r="K3264" s="733">
        <v>30</v>
      </c>
      <c r="L3264" s="733">
        <v>1</v>
      </c>
      <c r="M3264" s="733">
        <f>K3264*L3264</f>
        <v>30</v>
      </c>
      <c r="N3264" s="733" t="s">
        <v>3174</v>
      </c>
      <c r="O3264" s="544"/>
      <c r="P3264" s="544"/>
      <c r="Q3264" s="544"/>
      <c r="R3264" s="418" t="s">
        <v>3159</v>
      </c>
      <c r="S3264" s="344"/>
    </row>
    <row r="3265" spans="1:19" x14ac:dyDescent="0.25">
      <c r="A3265" t="s">
        <v>3317</v>
      </c>
      <c r="B3265" s="50" t="s">
        <v>1699</v>
      </c>
      <c r="C3265" s="51"/>
      <c r="D3265" s="346">
        <v>610000004340</v>
      </c>
      <c r="E3265" s="347">
        <f>VLOOKUP(D3265,'[1]Task list &amp; Maintenace plan'!$B:$G,6,FALSE)</f>
        <v>100774</v>
      </c>
      <c r="F3265" s="347" t="s">
        <v>4653</v>
      </c>
      <c r="G3265" s="348" t="s">
        <v>1703</v>
      </c>
      <c r="H3265" s="348" t="s">
        <v>4655</v>
      </c>
      <c r="I3265" s="347">
        <v>30</v>
      </c>
      <c r="J3265" s="736"/>
      <c r="K3265" s="736"/>
      <c r="L3265" s="736"/>
      <c r="M3265" s="736"/>
      <c r="N3265" s="736"/>
      <c r="O3265" s="544"/>
      <c r="P3265" s="544"/>
      <c r="Q3265" s="544"/>
      <c r="R3265" s="413" t="s">
        <v>3159</v>
      </c>
      <c r="S3265" s="347"/>
    </row>
    <row r="3266" spans="1:19" x14ac:dyDescent="0.25">
      <c r="A3266" t="s">
        <v>3317</v>
      </c>
      <c r="B3266" s="50" t="s">
        <v>1699</v>
      </c>
      <c r="C3266" s="51"/>
      <c r="D3266" s="346">
        <v>610000004340</v>
      </c>
      <c r="E3266" s="347">
        <f>VLOOKUP(D3266,'[1]Task list &amp; Maintenace plan'!$B:$G,6,FALSE)</f>
        <v>100774</v>
      </c>
      <c r="F3266" s="347" t="s">
        <v>4653</v>
      </c>
      <c r="G3266" s="348" t="s">
        <v>1706</v>
      </c>
      <c r="H3266" s="348" t="s">
        <v>4656</v>
      </c>
      <c r="I3266" s="347">
        <v>30</v>
      </c>
      <c r="J3266" s="736"/>
      <c r="K3266" s="736"/>
      <c r="L3266" s="736"/>
      <c r="M3266" s="736"/>
      <c r="N3266" s="736"/>
      <c r="O3266" s="544"/>
      <c r="P3266" s="544"/>
      <c r="Q3266" s="544"/>
      <c r="R3266" s="413" t="s">
        <v>3159</v>
      </c>
      <c r="S3266" s="347"/>
    </row>
    <row r="3267" spans="1:19" x14ac:dyDescent="0.25">
      <c r="A3267" t="s">
        <v>3317</v>
      </c>
      <c r="B3267" s="50" t="s">
        <v>1699</v>
      </c>
      <c r="C3267" s="51"/>
      <c r="D3267" s="346">
        <v>610000004340</v>
      </c>
      <c r="E3267" s="347">
        <f>VLOOKUP(D3267,'[1]Task list &amp; Maintenace plan'!$B:$G,6,FALSE)</f>
        <v>100774</v>
      </c>
      <c r="F3267" s="347" t="s">
        <v>4653</v>
      </c>
      <c r="G3267" s="348" t="s">
        <v>4657</v>
      </c>
      <c r="H3267" s="348" t="s">
        <v>4658</v>
      </c>
      <c r="I3267" s="347">
        <v>30</v>
      </c>
      <c r="J3267" s="736"/>
      <c r="K3267" s="736"/>
      <c r="L3267" s="736"/>
      <c r="M3267" s="736"/>
      <c r="N3267" s="736"/>
      <c r="O3267" s="544"/>
      <c r="P3267" s="544"/>
      <c r="Q3267" s="544"/>
      <c r="R3267" s="413" t="s">
        <v>3159</v>
      </c>
      <c r="S3267" s="347"/>
    </row>
    <row r="3268" spans="1:19" x14ac:dyDescent="0.25">
      <c r="A3268" t="s">
        <v>3317</v>
      </c>
      <c r="B3268" s="50" t="s">
        <v>1699</v>
      </c>
      <c r="C3268" s="51"/>
      <c r="D3268" s="346">
        <v>610000004340</v>
      </c>
      <c r="E3268" s="347">
        <f>VLOOKUP(D3268,'[1]Task list &amp; Maintenace plan'!$B:$G,6,FALSE)</f>
        <v>100774</v>
      </c>
      <c r="F3268" s="347" t="s">
        <v>4653</v>
      </c>
      <c r="G3268" s="348" t="s">
        <v>1700</v>
      </c>
      <c r="H3268" s="348" t="s">
        <v>4659</v>
      </c>
      <c r="I3268" s="347">
        <v>30</v>
      </c>
      <c r="J3268" s="736"/>
      <c r="K3268" s="736"/>
      <c r="L3268" s="736"/>
      <c r="M3268" s="736"/>
      <c r="N3268" s="736"/>
      <c r="O3268" s="544"/>
      <c r="P3268" s="544"/>
      <c r="Q3268" s="544"/>
      <c r="R3268" s="413" t="s">
        <v>3159</v>
      </c>
      <c r="S3268" s="347"/>
    </row>
    <row r="3269" spans="1:19" x14ac:dyDescent="0.25">
      <c r="A3269" t="s">
        <v>3317</v>
      </c>
      <c r="B3269" s="50" t="s">
        <v>1699</v>
      </c>
      <c r="C3269" s="51"/>
      <c r="D3269" s="349">
        <v>610000004340</v>
      </c>
      <c r="E3269" s="350">
        <f>VLOOKUP(D3269,'[1]Task list &amp; Maintenace plan'!$B:$G,6,FALSE)</f>
        <v>100774</v>
      </c>
      <c r="F3269" s="350" t="s">
        <v>4653</v>
      </c>
      <c r="G3269" s="351" t="s">
        <v>1724</v>
      </c>
      <c r="H3269" s="351" t="s">
        <v>4660</v>
      </c>
      <c r="I3269" s="350">
        <v>30</v>
      </c>
      <c r="J3269" s="737"/>
      <c r="K3269" s="737"/>
      <c r="L3269" s="737"/>
      <c r="M3269" s="737"/>
      <c r="N3269" s="737"/>
      <c r="O3269" s="544"/>
      <c r="P3269" s="544"/>
      <c r="Q3269" s="544"/>
      <c r="R3269" s="414" t="s">
        <v>3159</v>
      </c>
      <c r="S3269" s="350"/>
    </row>
    <row r="3270" spans="1:19" x14ac:dyDescent="0.25">
      <c r="A3270" t="s">
        <v>3317</v>
      </c>
      <c r="B3270" s="50" t="s">
        <v>1699</v>
      </c>
      <c r="C3270" s="51"/>
      <c r="D3270" s="417">
        <v>610000004341</v>
      </c>
      <c r="E3270" s="421">
        <f>VLOOKUP(D3270,'[1]Task list &amp; Maintenace plan'!$B:$G,6,FALSE)</f>
        <v>100775</v>
      </c>
      <c r="F3270" s="421" t="s">
        <v>4661</v>
      </c>
      <c r="G3270" s="420" t="s">
        <v>4662</v>
      </c>
      <c r="H3270" s="420" t="s">
        <v>4663</v>
      </c>
      <c r="I3270" s="421">
        <v>30</v>
      </c>
      <c r="J3270" s="733">
        <v>1</v>
      </c>
      <c r="K3270" s="733">
        <v>40</v>
      </c>
      <c r="L3270" s="733">
        <v>1</v>
      </c>
      <c r="M3270" s="733">
        <f>K3270*L3270</f>
        <v>40</v>
      </c>
      <c r="N3270" s="733" t="s">
        <v>34</v>
      </c>
      <c r="O3270" s="544"/>
      <c r="P3270" s="544"/>
      <c r="Q3270" s="544"/>
      <c r="R3270" s="422"/>
      <c r="S3270" s="421"/>
    </row>
    <row r="3271" spans="1:19" x14ac:dyDescent="0.25">
      <c r="A3271" t="s">
        <v>3317</v>
      </c>
      <c r="B3271" s="50" t="s">
        <v>1699</v>
      </c>
      <c r="C3271" s="51"/>
      <c r="D3271" s="346">
        <v>610000004341</v>
      </c>
      <c r="E3271" s="347">
        <f>VLOOKUP(D3271,'[1]Task list &amp; Maintenace plan'!$B:$G,6,FALSE)</f>
        <v>100775</v>
      </c>
      <c r="F3271" s="347" t="s">
        <v>4661</v>
      </c>
      <c r="G3271" s="348" t="s">
        <v>4662</v>
      </c>
      <c r="H3271" s="348" t="s">
        <v>4664</v>
      </c>
      <c r="I3271" s="347">
        <v>30</v>
      </c>
      <c r="J3271" s="736">
        <v>1</v>
      </c>
      <c r="K3271" s="736"/>
      <c r="L3271" s="736"/>
      <c r="M3271" s="736"/>
      <c r="N3271" s="736"/>
      <c r="O3271" s="544"/>
      <c r="P3271" s="544"/>
      <c r="Q3271" s="544"/>
      <c r="R3271" s="413"/>
      <c r="S3271" s="347"/>
    </row>
    <row r="3272" spans="1:19" x14ac:dyDescent="0.25">
      <c r="A3272" t="s">
        <v>3317</v>
      </c>
      <c r="B3272" s="50" t="s">
        <v>1699</v>
      </c>
      <c r="C3272" s="51"/>
      <c r="D3272" s="349">
        <v>610000004341</v>
      </c>
      <c r="E3272" s="350">
        <f>VLOOKUP(D3272,'[1]Task list &amp; Maintenace plan'!$B:$G,6,FALSE)</f>
        <v>100775</v>
      </c>
      <c r="F3272" s="350" t="s">
        <v>4661</v>
      </c>
      <c r="G3272" s="351" t="s">
        <v>4662</v>
      </c>
      <c r="H3272" s="351" t="s">
        <v>4665</v>
      </c>
      <c r="I3272" s="350">
        <v>30</v>
      </c>
      <c r="J3272" s="737">
        <v>1</v>
      </c>
      <c r="K3272" s="737"/>
      <c r="L3272" s="737"/>
      <c r="M3272" s="737"/>
      <c r="N3272" s="737"/>
      <c r="O3272" s="544"/>
      <c r="P3272" s="544"/>
      <c r="Q3272" s="544"/>
      <c r="R3272" s="414"/>
      <c r="S3272" s="350"/>
    </row>
    <row r="3273" spans="1:19" x14ac:dyDescent="0.25">
      <c r="A3273" t="s">
        <v>3317</v>
      </c>
      <c r="B3273" s="50" t="s">
        <v>1699</v>
      </c>
      <c r="C3273" s="51"/>
      <c r="D3273" s="349">
        <v>343618</v>
      </c>
      <c r="E3273" s="350">
        <f>VLOOKUP(D3273,'[1]Task list &amp; Maintenace plan'!$B:$G,6,FALSE)</f>
        <v>737</v>
      </c>
      <c r="F3273" s="350" t="s">
        <v>4666</v>
      </c>
      <c r="G3273" s="351" t="s">
        <v>4662</v>
      </c>
      <c r="H3273" s="351" t="s">
        <v>4667</v>
      </c>
      <c r="I3273" s="350">
        <v>30</v>
      </c>
      <c r="J3273" s="472">
        <v>1</v>
      </c>
      <c r="K3273" s="472">
        <v>60</v>
      </c>
      <c r="L3273" s="472">
        <v>2</v>
      </c>
      <c r="M3273" s="472">
        <f>K3273*L3273</f>
        <v>120</v>
      </c>
      <c r="N3273" s="472" t="s">
        <v>34</v>
      </c>
      <c r="O3273" s="544"/>
      <c r="P3273" s="544"/>
      <c r="Q3273" s="544"/>
      <c r="R3273" s="414"/>
      <c r="S3273" s="350"/>
    </row>
    <row r="3274" spans="1:19" x14ac:dyDescent="0.25">
      <c r="A3274" t="s">
        <v>3317</v>
      </c>
      <c r="B3274" s="50" t="s">
        <v>1699</v>
      </c>
      <c r="C3274" s="51"/>
      <c r="D3274" s="343">
        <v>610000004342</v>
      </c>
      <c r="E3274" s="344">
        <f>VLOOKUP(D3274,'[1]Task list &amp; Maintenace plan'!$B:$G,6,FALSE)</f>
        <v>100776</v>
      </c>
      <c r="F3274" s="344" t="s">
        <v>4668</v>
      </c>
      <c r="G3274" s="345" t="s">
        <v>1700</v>
      </c>
      <c r="H3274" s="345" t="s">
        <v>4669</v>
      </c>
      <c r="I3274" s="344">
        <v>30</v>
      </c>
      <c r="J3274" s="733"/>
      <c r="K3274" s="733">
        <v>10</v>
      </c>
      <c r="L3274" s="733">
        <v>1</v>
      </c>
      <c r="M3274" s="733">
        <f>K3274*L3274</f>
        <v>10</v>
      </c>
      <c r="N3274" s="733" t="s">
        <v>20</v>
      </c>
      <c r="O3274" s="544"/>
      <c r="P3274" s="544"/>
      <c r="Q3274" s="544"/>
      <c r="R3274" s="418"/>
      <c r="S3274" s="344"/>
    </row>
    <row r="3275" spans="1:19" x14ac:dyDescent="0.25">
      <c r="A3275" t="s">
        <v>3317</v>
      </c>
      <c r="B3275" s="50" t="s">
        <v>1699</v>
      </c>
      <c r="C3275" s="51"/>
      <c r="D3275" s="346">
        <v>610000004342</v>
      </c>
      <c r="E3275" s="347">
        <f>VLOOKUP(D3275,'[1]Task list &amp; Maintenace plan'!$B:$G,6,FALSE)</f>
        <v>100776</v>
      </c>
      <c r="F3275" s="347" t="s">
        <v>4668</v>
      </c>
      <c r="G3275" s="348" t="s">
        <v>1703</v>
      </c>
      <c r="H3275" s="348" t="s">
        <v>4670</v>
      </c>
      <c r="I3275" s="347">
        <v>30</v>
      </c>
      <c r="J3275" s="736"/>
      <c r="K3275" s="736"/>
      <c r="L3275" s="736">
        <v>1</v>
      </c>
      <c r="M3275" s="736"/>
      <c r="N3275" s="736"/>
      <c r="O3275" s="544"/>
      <c r="P3275" s="544"/>
      <c r="Q3275" s="544"/>
      <c r="R3275" s="413"/>
      <c r="S3275" s="347"/>
    </row>
    <row r="3276" spans="1:19" x14ac:dyDescent="0.25">
      <c r="A3276" t="s">
        <v>3317</v>
      </c>
      <c r="B3276" s="50" t="s">
        <v>1699</v>
      </c>
      <c r="C3276" s="51"/>
      <c r="D3276" s="346">
        <v>610000004342</v>
      </c>
      <c r="E3276" s="347">
        <f>VLOOKUP(D3276,'[1]Task list &amp; Maintenace plan'!$B:$G,6,FALSE)</f>
        <v>100776</v>
      </c>
      <c r="F3276" s="347" t="s">
        <v>4668</v>
      </c>
      <c r="G3276" s="348" t="s">
        <v>1706</v>
      </c>
      <c r="H3276" s="348" t="s">
        <v>4671</v>
      </c>
      <c r="I3276" s="347">
        <v>30</v>
      </c>
      <c r="J3276" s="736"/>
      <c r="K3276" s="736"/>
      <c r="L3276" s="736">
        <v>1</v>
      </c>
      <c r="M3276" s="736"/>
      <c r="N3276" s="736"/>
      <c r="O3276" s="544"/>
      <c r="P3276" s="544"/>
      <c r="Q3276" s="544"/>
      <c r="R3276" s="413"/>
      <c r="S3276" s="347"/>
    </row>
    <row r="3277" spans="1:19" x14ac:dyDescent="0.25">
      <c r="A3277" t="s">
        <v>3317</v>
      </c>
      <c r="B3277" s="50" t="s">
        <v>1699</v>
      </c>
      <c r="C3277" s="51"/>
      <c r="D3277" s="346">
        <v>610000004342</v>
      </c>
      <c r="E3277" s="347">
        <f>VLOOKUP(D3277,'[1]Task list &amp; Maintenace plan'!$B:$G,6,FALSE)</f>
        <v>100776</v>
      </c>
      <c r="F3277" s="347" t="s">
        <v>4668</v>
      </c>
      <c r="G3277" s="348" t="s">
        <v>4657</v>
      </c>
      <c r="H3277" s="348" t="s">
        <v>4673</v>
      </c>
      <c r="I3277" s="347">
        <v>30</v>
      </c>
      <c r="J3277" s="736"/>
      <c r="K3277" s="736"/>
      <c r="L3277" s="736">
        <v>1</v>
      </c>
      <c r="M3277" s="736"/>
      <c r="N3277" s="736"/>
      <c r="O3277" s="544"/>
      <c r="P3277" s="544"/>
      <c r="Q3277" s="544"/>
      <c r="R3277" s="413" t="s">
        <v>4674</v>
      </c>
      <c r="S3277" s="347" t="s">
        <v>3880</v>
      </c>
    </row>
    <row r="3278" spans="1:19" x14ac:dyDescent="0.25">
      <c r="A3278" t="s">
        <v>3317</v>
      </c>
      <c r="B3278" s="50" t="s">
        <v>1699</v>
      </c>
      <c r="C3278" s="51"/>
      <c r="D3278" s="346">
        <v>610000004342</v>
      </c>
      <c r="E3278" s="347">
        <f>VLOOKUP(D3278,'[1]Task list &amp; Maintenace plan'!$B:$G,6,FALSE)</f>
        <v>100776</v>
      </c>
      <c r="F3278" s="347" t="s">
        <v>4668</v>
      </c>
      <c r="G3278" s="348" t="s">
        <v>4657</v>
      </c>
      <c r="H3278" s="348" t="s">
        <v>4675</v>
      </c>
      <c r="I3278" s="347">
        <v>30</v>
      </c>
      <c r="J3278" s="736"/>
      <c r="K3278" s="736"/>
      <c r="L3278" s="736">
        <v>1</v>
      </c>
      <c r="M3278" s="736"/>
      <c r="N3278" s="736"/>
      <c r="O3278" s="544"/>
      <c r="P3278" s="544"/>
      <c r="Q3278" s="544"/>
      <c r="R3278" s="413"/>
      <c r="S3278" s="347"/>
    </row>
    <row r="3279" spans="1:19" x14ac:dyDescent="0.25">
      <c r="A3279" t="s">
        <v>3317</v>
      </c>
      <c r="B3279" s="50" t="s">
        <v>1699</v>
      </c>
      <c r="C3279" s="51"/>
      <c r="D3279" s="346">
        <v>610000004342</v>
      </c>
      <c r="E3279" s="347">
        <f>VLOOKUP(D3279,'[1]Task list &amp; Maintenace plan'!$B:$G,6,FALSE)</f>
        <v>100776</v>
      </c>
      <c r="F3279" s="347" t="s">
        <v>4668</v>
      </c>
      <c r="G3279" s="348" t="s">
        <v>1714</v>
      </c>
      <c r="H3279" s="348" t="s">
        <v>4676</v>
      </c>
      <c r="I3279" s="347">
        <v>30</v>
      </c>
      <c r="J3279" s="736"/>
      <c r="K3279" s="736"/>
      <c r="L3279" s="736">
        <v>1</v>
      </c>
      <c r="M3279" s="736"/>
      <c r="N3279" s="736"/>
      <c r="O3279" s="544"/>
      <c r="P3279" s="544"/>
      <c r="Q3279" s="544"/>
      <c r="R3279" s="413"/>
      <c r="S3279" s="347"/>
    </row>
    <row r="3280" spans="1:19" x14ac:dyDescent="0.25">
      <c r="A3280" t="s">
        <v>3317</v>
      </c>
      <c r="B3280" s="50" t="s">
        <v>1699</v>
      </c>
      <c r="C3280" s="51"/>
      <c r="D3280" s="346">
        <v>610000004342</v>
      </c>
      <c r="E3280" s="347">
        <f>VLOOKUP(D3280,'[1]Task list &amp; Maintenace plan'!$B:$G,6,FALSE)</f>
        <v>100776</v>
      </c>
      <c r="F3280" s="347" t="s">
        <v>4668</v>
      </c>
      <c r="G3280" s="348" t="s">
        <v>1726</v>
      </c>
      <c r="H3280" s="348" t="s">
        <v>4677</v>
      </c>
      <c r="I3280" s="347">
        <v>30</v>
      </c>
      <c r="J3280" s="736"/>
      <c r="K3280" s="736"/>
      <c r="L3280" s="736">
        <v>1</v>
      </c>
      <c r="M3280" s="736"/>
      <c r="N3280" s="736"/>
      <c r="O3280" s="544"/>
      <c r="P3280" s="544"/>
      <c r="Q3280" s="544"/>
      <c r="R3280" s="413"/>
      <c r="S3280" s="347"/>
    </row>
    <row r="3281" spans="1:19" x14ac:dyDescent="0.25">
      <c r="A3281" t="s">
        <v>3317</v>
      </c>
      <c r="B3281" s="50" t="s">
        <v>1699</v>
      </c>
      <c r="C3281" s="51"/>
      <c r="D3281" s="346">
        <v>610000004342</v>
      </c>
      <c r="E3281" s="347">
        <f>VLOOKUP(D3281,'[1]Task list &amp; Maintenace plan'!$B:$G,6,FALSE)</f>
        <v>100776</v>
      </c>
      <c r="F3281" s="347" t="s">
        <v>4668</v>
      </c>
      <c r="G3281" s="348" t="s">
        <v>4672</v>
      </c>
      <c r="H3281" s="348" t="s">
        <v>4678</v>
      </c>
      <c r="I3281" s="347">
        <v>30</v>
      </c>
      <c r="J3281" s="736"/>
      <c r="K3281" s="736"/>
      <c r="L3281" s="736">
        <v>1</v>
      </c>
      <c r="M3281" s="736"/>
      <c r="N3281" s="736"/>
      <c r="O3281" s="544"/>
      <c r="P3281" s="544"/>
      <c r="Q3281" s="544"/>
      <c r="R3281" s="413"/>
      <c r="S3281" s="347"/>
    </row>
    <row r="3282" spans="1:19" x14ac:dyDescent="0.25">
      <c r="A3282" t="s">
        <v>3317</v>
      </c>
      <c r="B3282" s="50" t="s">
        <v>1699</v>
      </c>
      <c r="C3282" s="51"/>
      <c r="D3282" s="346">
        <v>610000004342</v>
      </c>
      <c r="E3282" s="347">
        <f>VLOOKUP(D3282,'[1]Task list &amp; Maintenace plan'!$B:$G,6,FALSE)</f>
        <v>100776</v>
      </c>
      <c r="F3282" s="347" t="s">
        <v>4668</v>
      </c>
      <c r="G3282" s="348" t="s">
        <v>4657</v>
      </c>
      <c r="H3282" s="348" t="s">
        <v>4679</v>
      </c>
      <c r="I3282" s="347">
        <v>30</v>
      </c>
      <c r="J3282" s="736"/>
      <c r="K3282" s="736"/>
      <c r="L3282" s="736">
        <v>1</v>
      </c>
      <c r="M3282" s="736"/>
      <c r="N3282" s="736"/>
      <c r="O3282" s="544"/>
      <c r="P3282" s="544"/>
      <c r="Q3282" s="544"/>
      <c r="R3282" s="413"/>
      <c r="S3282" s="347"/>
    </row>
    <row r="3283" spans="1:19" x14ac:dyDescent="0.25">
      <c r="A3283" t="s">
        <v>3317</v>
      </c>
      <c r="B3283" s="50" t="s">
        <v>1699</v>
      </c>
      <c r="C3283" s="51"/>
      <c r="D3283" s="349">
        <v>610000004342</v>
      </c>
      <c r="E3283" s="350">
        <f>VLOOKUP(D3283,'[1]Task list &amp; Maintenace plan'!$B:$G,6,FALSE)</f>
        <v>100776</v>
      </c>
      <c r="F3283" s="350" t="s">
        <v>4668</v>
      </c>
      <c r="G3283" s="351" t="s">
        <v>1711</v>
      </c>
      <c r="H3283" s="351" t="s">
        <v>4680</v>
      </c>
      <c r="I3283" s="350">
        <v>30</v>
      </c>
      <c r="J3283" s="737"/>
      <c r="K3283" s="737"/>
      <c r="L3283" s="737">
        <v>1</v>
      </c>
      <c r="M3283" s="737"/>
      <c r="N3283" s="737"/>
      <c r="O3283" s="544"/>
      <c r="P3283" s="544"/>
      <c r="Q3283" s="544"/>
      <c r="R3283" s="414"/>
      <c r="S3283" s="350"/>
    </row>
    <row r="3284" spans="1:19" x14ac:dyDescent="0.25">
      <c r="A3284" t="s">
        <v>3317</v>
      </c>
      <c r="B3284" s="50" t="s">
        <v>1699</v>
      </c>
      <c r="C3284" s="51"/>
      <c r="D3284" s="346">
        <v>610000004343</v>
      </c>
      <c r="E3284" s="347">
        <f>VLOOKUP(D3284,'[1]Task list &amp; Maintenace plan'!$B:$G,6,FALSE)</f>
        <v>100777</v>
      </c>
      <c r="F3284" s="347" t="s">
        <v>4681</v>
      </c>
      <c r="G3284" s="348" t="s">
        <v>1700</v>
      </c>
      <c r="H3284" s="348" t="s">
        <v>4682</v>
      </c>
      <c r="I3284" s="347">
        <v>30</v>
      </c>
      <c r="J3284" s="733"/>
      <c r="K3284" s="733">
        <v>30</v>
      </c>
      <c r="L3284" s="733">
        <v>1</v>
      </c>
      <c r="M3284" s="733">
        <f>K3284*L3284</f>
        <v>30</v>
      </c>
      <c r="N3284" s="733" t="s">
        <v>20</v>
      </c>
      <c r="O3284" s="544"/>
      <c r="P3284" s="544"/>
      <c r="Q3284" s="544"/>
      <c r="R3284" s="413"/>
      <c r="S3284" s="347"/>
    </row>
    <row r="3285" spans="1:19" x14ac:dyDescent="0.25">
      <c r="A3285" t="s">
        <v>3317</v>
      </c>
      <c r="B3285" s="50" t="s">
        <v>1699</v>
      </c>
      <c r="C3285" s="51"/>
      <c r="D3285" s="346">
        <v>610000004343</v>
      </c>
      <c r="E3285" s="347">
        <f>VLOOKUP(D3285,'[1]Task list &amp; Maintenace plan'!$B:$G,6,FALSE)</f>
        <v>100777</v>
      </c>
      <c r="F3285" s="347" t="s">
        <v>4681</v>
      </c>
      <c r="G3285" s="348" t="s">
        <v>1703</v>
      </c>
      <c r="H3285" s="348" t="s">
        <v>4683</v>
      </c>
      <c r="I3285" s="347">
        <v>30</v>
      </c>
      <c r="J3285" s="736"/>
      <c r="K3285" s="736"/>
      <c r="L3285" s="736">
        <v>1</v>
      </c>
      <c r="M3285" s="736"/>
      <c r="N3285" s="736"/>
      <c r="O3285" s="544"/>
      <c r="P3285" s="544"/>
      <c r="Q3285" s="544"/>
      <c r="R3285" s="413"/>
      <c r="S3285" s="347"/>
    </row>
    <row r="3286" spans="1:19" x14ac:dyDescent="0.25">
      <c r="A3286" t="s">
        <v>3317</v>
      </c>
      <c r="B3286" s="50" t="s">
        <v>1699</v>
      </c>
      <c r="C3286" s="51"/>
      <c r="D3286" s="346">
        <v>610000004343</v>
      </c>
      <c r="E3286" s="347">
        <f>VLOOKUP(D3286,'[1]Task list &amp; Maintenace plan'!$B:$G,6,FALSE)</f>
        <v>100777</v>
      </c>
      <c r="F3286" s="347" t="s">
        <v>4681</v>
      </c>
      <c r="G3286" s="348" t="s">
        <v>1711</v>
      </c>
      <c r="H3286" s="348" t="s">
        <v>4684</v>
      </c>
      <c r="I3286" s="347">
        <v>30</v>
      </c>
      <c r="J3286" s="736"/>
      <c r="K3286" s="736"/>
      <c r="L3286" s="736">
        <v>1</v>
      </c>
      <c r="M3286" s="736"/>
      <c r="N3286" s="736"/>
      <c r="O3286" s="544"/>
      <c r="P3286" s="544"/>
      <c r="Q3286" s="544"/>
      <c r="R3286" s="413"/>
      <c r="S3286" s="347"/>
    </row>
    <row r="3287" spans="1:19" x14ac:dyDescent="0.25">
      <c r="A3287" t="s">
        <v>3317</v>
      </c>
      <c r="B3287" s="50" t="s">
        <v>1699</v>
      </c>
      <c r="C3287" s="51"/>
      <c r="D3287" s="346">
        <v>610000004343</v>
      </c>
      <c r="E3287" s="347">
        <f>VLOOKUP(D3287,'[1]Task list &amp; Maintenace plan'!$B:$G,6,FALSE)</f>
        <v>100777</v>
      </c>
      <c r="F3287" s="347" t="s">
        <v>4681</v>
      </c>
      <c r="G3287" s="348" t="s">
        <v>1713</v>
      </c>
      <c r="H3287" s="348" t="s">
        <v>4685</v>
      </c>
      <c r="I3287" s="347">
        <v>30</v>
      </c>
      <c r="J3287" s="736"/>
      <c r="K3287" s="736"/>
      <c r="L3287" s="736">
        <v>1</v>
      </c>
      <c r="M3287" s="736"/>
      <c r="N3287" s="736"/>
      <c r="O3287" s="544"/>
      <c r="P3287" s="544"/>
      <c r="Q3287" s="544"/>
      <c r="R3287" s="413"/>
      <c r="S3287" s="347"/>
    </row>
    <row r="3288" spans="1:19" x14ac:dyDescent="0.25">
      <c r="A3288" t="s">
        <v>3317</v>
      </c>
      <c r="B3288" s="50" t="s">
        <v>1699</v>
      </c>
      <c r="C3288" s="51"/>
      <c r="D3288" s="346">
        <v>610000004343</v>
      </c>
      <c r="E3288" s="347">
        <f>VLOOKUP(D3288,'[1]Task list &amp; Maintenace plan'!$B:$G,6,FALSE)</f>
        <v>100777</v>
      </c>
      <c r="F3288" s="347" t="s">
        <v>4681</v>
      </c>
      <c r="G3288" s="348" t="s">
        <v>1716</v>
      </c>
      <c r="H3288" s="348" t="s">
        <v>4686</v>
      </c>
      <c r="I3288" s="347">
        <v>30</v>
      </c>
      <c r="J3288" s="736"/>
      <c r="K3288" s="736"/>
      <c r="L3288" s="736">
        <v>1</v>
      </c>
      <c r="M3288" s="736"/>
      <c r="N3288" s="736"/>
      <c r="O3288" s="544"/>
      <c r="P3288" s="544"/>
      <c r="Q3288" s="544"/>
      <c r="R3288" s="413"/>
      <c r="S3288" s="347"/>
    </row>
    <row r="3289" spans="1:19" x14ac:dyDescent="0.25">
      <c r="A3289" t="s">
        <v>3317</v>
      </c>
      <c r="B3289" s="50" t="s">
        <v>1699</v>
      </c>
      <c r="C3289" s="51"/>
      <c r="D3289" s="346">
        <v>610000004343</v>
      </c>
      <c r="E3289" s="347">
        <f>VLOOKUP(D3289,'[1]Task list &amp; Maintenace plan'!$B:$G,6,FALSE)</f>
        <v>100777</v>
      </c>
      <c r="F3289" s="347" t="s">
        <v>4681</v>
      </c>
      <c r="G3289" s="348" t="s">
        <v>1718</v>
      </c>
      <c r="H3289" s="348" t="s">
        <v>4687</v>
      </c>
      <c r="I3289" s="347">
        <v>30</v>
      </c>
      <c r="J3289" s="736"/>
      <c r="K3289" s="736"/>
      <c r="L3289" s="736">
        <v>1</v>
      </c>
      <c r="M3289" s="736"/>
      <c r="N3289" s="736"/>
      <c r="O3289" s="544"/>
      <c r="P3289" s="544"/>
      <c r="Q3289" s="544"/>
      <c r="R3289" s="413"/>
      <c r="S3289" s="347"/>
    </row>
    <row r="3290" spans="1:19" x14ac:dyDescent="0.25">
      <c r="A3290" t="s">
        <v>3317</v>
      </c>
      <c r="B3290" s="50" t="s">
        <v>1699</v>
      </c>
      <c r="C3290" s="51"/>
      <c r="D3290" s="346">
        <v>610000004343</v>
      </c>
      <c r="E3290" s="347">
        <f>VLOOKUP(D3290,'[1]Task list &amp; Maintenace plan'!$B:$G,6,FALSE)</f>
        <v>100777</v>
      </c>
      <c r="F3290" s="347" t="s">
        <v>4681</v>
      </c>
      <c r="G3290" s="348" t="s">
        <v>4662</v>
      </c>
      <c r="H3290" s="348" t="s">
        <v>4688</v>
      </c>
      <c r="I3290" s="347">
        <v>30</v>
      </c>
      <c r="J3290" s="736"/>
      <c r="K3290" s="736"/>
      <c r="L3290" s="736">
        <v>1</v>
      </c>
      <c r="M3290" s="736"/>
      <c r="N3290" s="736"/>
      <c r="O3290" s="544"/>
      <c r="P3290" s="544"/>
      <c r="Q3290" s="544"/>
      <c r="R3290" s="413"/>
      <c r="S3290" s="347"/>
    </row>
    <row r="3291" spans="1:19" x14ac:dyDescent="0.25">
      <c r="A3291" t="s">
        <v>3317</v>
      </c>
      <c r="B3291" s="50" t="s">
        <v>1699</v>
      </c>
      <c r="C3291" s="51"/>
      <c r="D3291" s="346">
        <v>610000004343</v>
      </c>
      <c r="E3291" s="347">
        <f>VLOOKUP(D3291,'[1]Task list &amp; Maintenace plan'!$B:$G,6,FALSE)</f>
        <v>100777</v>
      </c>
      <c r="F3291" s="347" t="s">
        <v>4681</v>
      </c>
      <c r="G3291" s="348" t="s">
        <v>4662</v>
      </c>
      <c r="H3291" s="348" t="s">
        <v>4689</v>
      </c>
      <c r="I3291" s="347">
        <v>30</v>
      </c>
      <c r="J3291" s="736"/>
      <c r="K3291" s="736"/>
      <c r="L3291" s="736">
        <v>1</v>
      </c>
      <c r="M3291" s="736"/>
      <c r="N3291" s="736"/>
      <c r="O3291" s="544"/>
      <c r="P3291" s="544"/>
      <c r="Q3291" s="544"/>
      <c r="R3291" s="413"/>
      <c r="S3291" s="347"/>
    </row>
    <row r="3292" spans="1:19" x14ac:dyDescent="0.25">
      <c r="A3292" t="s">
        <v>3317</v>
      </c>
      <c r="B3292" s="50" t="s">
        <v>1699</v>
      </c>
      <c r="C3292" s="51"/>
      <c r="D3292" s="346">
        <v>610000004343</v>
      </c>
      <c r="E3292" s="347">
        <f>VLOOKUP(D3292,'[1]Task list &amp; Maintenace plan'!$B:$G,6,FALSE)</f>
        <v>100777</v>
      </c>
      <c r="F3292" s="347" t="s">
        <v>4681</v>
      </c>
      <c r="G3292" s="348" t="s">
        <v>1714</v>
      </c>
      <c r="H3292" s="348" t="s">
        <v>4690</v>
      </c>
      <c r="I3292" s="347">
        <v>30</v>
      </c>
      <c r="J3292" s="736"/>
      <c r="K3292" s="736"/>
      <c r="L3292" s="736">
        <v>1</v>
      </c>
      <c r="M3292" s="736"/>
      <c r="N3292" s="736"/>
      <c r="O3292" s="544"/>
      <c r="P3292" s="544"/>
      <c r="Q3292" s="544"/>
      <c r="R3292" s="413"/>
      <c r="S3292" s="347"/>
    </row>
    <row r="3293" spans="1:19" x14ac:dyDescent="0.25">
      <c r="A3293" t="s">
        <v>3317</v>
      </c>
      <c r="B3293" s="50" t="s">
        <v>1699</v>
      </c>
      <c r="C3293" s="51"/>
      <c r="D3293" s="346">
        <v>610000004343</v>
      </c>
      <c r="E3293" s="347">
        <f>VLOOKUP(D3293,'[1]Task list &amp; Maintenace plan'!$B:$G,6,FALSE)</f>
        <v>100777</v>
      </c>
      <c r="F3293" s="347" t="s">
        <v>4681</v>
      </c>
      <c r="G3293" s="348" t="s">
        <v>4657</v>
      </c>
      <c r="H3293" s="348" t="s">
        <v>4691</v>
      </c>
      <c r="I3293" s="347">
        <v>30</v>
      </c>
      <c r="J3293" s="736"/>
      <c r="K3293" s="736"/>
      <c r="L3293" s="736">
        <v>1</v>
      </c>
      <c r="M3293" s="736"/>
      <c r="N3293" s="736"/>
      <c r="O3293" s="544"/>
      <c r="P3293" s="544"/>
      <c r="Q3293" s="544"/>
      <c r="R3293" s="413"/>
      <c r="S3293" s="347"/>
    </row>
    <row r="3294" spans="1:19" x14ac:dyDescent="0.25">
      <c r="A3294" t="s">
        <v>3317</v>
      </c>
      <c r="B3294" s="50" t="s">
        <v>1699</v>
      </c>
      <c r="C3294" s="51"/>
      <c r="D3294" s="346">
        <v>610000004343</v>
      </c>
      <c r="E3294" s="347">
        <f>VLOOKUP(D3294,'[1]Task list &amp; Maintenace plan'!$B:$G,6,FALSE)</f>
        <v>100777</v>
      </c>
      <c r="F3294" s="347" t="s">
        <v>4681</v>
      </c>
      <c r="G3294" s="348" t="s">
        <v>4657</v>
      </c>
      <c r="H3294" s="348" t="s">
        <v>4692</v>
      </c>
      <c r="I3294" s="347">
        <v>30</v>
      </c>
      <c r="J3294" s="736"/>
      <c r="K3294" s="736"/>
      <c r="L3294" s="736">
        <v>1</v>
      </c>
      <c r="M3294" s="736"/>
      <c r="N3294" s="736"/>
      <c r="O3294" s="544"/>
      <c r="P3294" s="544"/>
      <c r="Q3294" s="544"/>
      <c r="R3294" s="413"/>
      <c r="S3294" s="347"/>
    </row>
    <row r="3295" spans="1:19" x14ac:dyDescent="0.25">
      <c r="A3295" t="s">
        <v>3317</v>
      </c>
      <c r="B3295" s="50" t="s">
        <v>1699</v>
      </c>
      <c r="C3295" s="51"/>
      <c r="D3295" s="346">
        <v>610000004343</v>
      </c>
      <c r="E3295" s="347">
        <f>VLOOKUP(D3295,'[1]Task list &amp; Maintenace plan'!$B:$G,6,FALSE)</f>
        <v>100777</v>
      </c>
      <c r="F3295" s="347" t="s">
        <v>4681</v>
      </c>
      <c r="G3295" s="348" t="s">
        <v>1724</v>
      </c>
      <c r="H3295" s="348" t="s">
        <v>4693</v>
      </c>
      <c r="I3295" s="347">
        <v>30</v>
      </c>
      <c r="J3295" s="736"/>
      <c r="K3295" s="736"/>
      <c r="L3295" s="736">
        <v>1</v>
      </c>
      <c r="M3295" s="736"/>
      <c r="N3295" s="736"/>
      <c r="O3295" s="544"/>
      <c r="P3295" s="544"/>
      <c r="Q3295" s="544"/>
      <c r="R3295" s="413"/>
      <c r="S3295" s="347"/>
    </row>
    <row r="3296" spans="1:19" x14ac:dyDescent="0.25">
      <c r="A3296" t="s">
        <v>3317</v>
      </c>
      <c r="B3296" s="50" t="s">
        <v>1699</v>
      </c>
      <c r="C3296" s="51"/>
      <c r="D3296" s="346">
        <v>610000004343</v>
      </c>
      <c r="E3296" s="347">
        <f>VLOOKUP(D3296,'[1]Task list &amp; Maintenace plan'!$B:$G,6,FALSE)</f>
        <v>100777</v>
      </c>
      <c r="F3296" s="347" t="s">
        <v>4681</v>
      </c>
      <c r="G3296" s="348" t="s">
        <v>4672</v>
      </c>
      <c r="H3296" s="348" t="s">
        <v>4694</v>
      </c>
      <c r="I3296" s="347">
        <v>30</v>
      </c>
      <c r="J3296" s="736"/>
      <c r="K3296" s="736"/>
      <c r="L3296" s="736">
        <v>1</v>
      </c>
      <c r="M3296" s="736"/>
      <c r="N3296" s="736"/>
      <c r="O3296" s="544"/>
      <c r="P3296" s="544"/>
      <c r="Q3296" s="544"/>
      <c r="R3296" s="413"/>
      <c r="S3296" s="347"/>
    </row>
    <row r="3297" spans="1:19" x14ac:dyDescent="0.25">
      <c r="A3297" t="s">
        <v>3317</v>
      </c>
      <c r="B3297" s="50" t="s">
        <v>1699</v>
      </c>
      <c r="C3297" s="51"/>
      <c r="D3297" s="349">
        <v>610000004343</v>
      </c>
      <c r="E3297" s="350">
        <f>VLOOKUP(D3297,'[1]Task list &amp; Maintenace plan'!$B:$G,6,FALSE)</f>
        <v>100777</v>
      </c>
      <c r="F3297" s="350" t="s">
        <v>4681</v>
      </c>
      <c r="G3297" s="351" t="s">
        <v>1706</v>
      </c>
      <c r="H3297" s="351" t="s">
        <v>4695</v>
      </c>
      <c r="I3297" s="350">
        <v>30</v>
      </c>
      <c r="J3297" s="737"/>
      <c r="K3297" s="737"/>
      <c r="L3297" s="737">
        <v>1</v>
      </c>
      <c r="M3297" s="737"/>
      <c r="N3297" s="737"/>
      <c r="O3297" s="544"/>
      <c r="P3297" s="544"/>
      <c r="Q3297" s="544"/>
      <c r="R3297" s="414"/>
      <c r="S3297" s="350"/>
    </row>
    <row r="3298" spans="1:19" x14ac:dyDescent="0.25">
      <c r="A3298" t="s">
        <v>3317</v>
      </c>
      <c r="B3298" s="50" t="s">
        <v>1699</v>
      </c>
      <c r="C3298" s="51"/>
      <c r="D3298" s="423">
        <v>610000004344</v>
      </c>
      <c r="E3298" s="434">
        <f>VLOOKUP(D3298,'[1]Task list &amp; Maintenace plan'!$B:$G,6,FALSE)</f>
        <v>100778</v>
      </c>
      <c r="F3298" s="434" t="s">
        <v>4696</v>
      </c>
      <c r="G3298" s="433" t="s">
        <v>4657</v>
      </c>
      <c r="H3298" s="433" t="s">
        <v>4697</v>
      </c>
      <c r="I3298" s="434">
        <v>30</v>
      </c>
      <c r="J3298" s="436"/>
      <c r="K3298" s="436">
        <v>10</v>
      </c>
      <c r="L3298" s="436">
        <v>1</v>
      </c>
      <c r="M3298" s="436">
        <f>K3298*L3298</f>
        <v>10</v>
      </c>
      <c r="N3298" s="436" t="s">
        <v>20</v>
      </c>
      <c r="O3298" s="544"/>
      <c r="P3298" s="544"/>
      <c r="Q3298" s="544"/>
      <c r="R3298" s="435"/>
      <c r="S3298" s="434"/>
    </row>
    <row r="3299" spans="1:19" x14ac:dyDescent="0.25">
      <c r="A3299" t="s">
        <v>3317</v>
      </c>
      <c r="B3299" s="50" t="s">
        <v>1699</v>
      </c>
      <c r="C3299" s="51"/>
      <c r="D3299" s="343">
        <v>610000004345</v>
      </c>
      <c r="E3299" s="344">
        <f>VLOOKUP(D3299,'[1]Task list &amp; Maintenace plan'!$B:$G,6,FALSE)</f>
        <v>100779</v>
      </c>
      <c r="F3299" s="344" t="s">
        <v>4698</v>
      </c>
      <c r="G3299" s="345" t="s">
        <v>1711</v>
      </c>
      <c r="H3299" s="345" t="s">
        <v>4699</v>
      </c>
      <c r="I3299" s="344">
        <v>60</v>
      </c>
      <c r="J3299" s="733">
        <v>1</v>
      </c>
      <c r="K3299" s="733">
        <v>60</v>
      </c>
      <c r="L3299" s="733">
        <v>2</v>
      </c>
      <c r="M3299" s="733">
        <f>K3299*L3299</f>
        <v>120</v>
      </c>
      <c r="N3299" s="733" t="s">
        <v>468</v>
      </c>
      <c r="O3299" s="544"/>
      <c r="P3299" s="544"/>
      <c r="Q3299" s="544"/>
      <c r="R3299" s="418"/>
      <c r="S3299" s="344"/>
    </row>
    <row r="3300" spans="1:19" x14ac:dyDescent="0.25">
      <c r="A3300" t="s">
        <v>3317</v>
      </c>
      <c r="B3300" s="50" t="s">
        <v>1699</v>
      </c>
      <c r="C3300" s="51"/>
      <c r="D3300" s="346">
        <v>610000004345</v>
      </c>
      <c r="E3300" s="347">
        <f>VLOOKUP(D3300,'[1]Task list &amp; Maintenace plan'!$B:$G,6,FALSE)</f>
        <v>100779</v>
      </c>
      <c r="F3300" s="347" t="s">
        <v>4698</v>
      </c>
      <c r="G3300" s="348" t="s">
        <v>1713</v>
      </c>
      <c r="H3300" s="348" t="s">
        <v>4700</v>
      </c>
      <c r="I3300" s="347">
        <v>60</v>
      </c>
      <c r="J3300" s="736">
        <v>1</v>
      </c>
      <c r="K3300" s="736"/>
      <c r="L3300" s="736">
        <v>2</v>
      </c>
      <c r="M3300" s="736"/>
      <c r="N3300" s="736"/>
      <c r="O3300" s="544"/>
      <c r="P3300" s="544"/>
      <c r="Q3300" s="544"/>
      <c r="R3300" s="413"/>
      <c r="S3300" s="347"/>
    </row>
    <row r="3301" spans="1:19" x14ac:dyDescent="0.25">
      <c r="A3301" t="s">
        <v>3317</v>
      </c>
      <c r="B3301" s="50" t="s">
        <v>1699</v>
      </c>
      <c r="C3301" s="51"/>
      <c r="D3301" s="346">
        <v>610000004345</v>
      </c>
      <c r="E3301" s="347">
        <f>VLOOKUP(D3301,'[1]Task list &amp; Maintenace plan'!$B:$G,6,FALSE)</f>
        <v>100779</v>
      </c>
      <c r="F3301" s="347" t="s">
        <v>4698</v>
      </c>
      <c r="G3301" s="348" t="s">
        <v>1716</v>
      </c>
      <c r="H3301" s="348" t="s">
        <v>4701</v>
      </c>
      <c r="I3301" s="347">
        <v>60</v>
      </c>
      <c r="J3301" s="736">
        <v>1</v>
      </c>
      <c r="K3301" s="736"/>
      <c r="L3301" s="736">
        <v>2</v>
      </c>
      <c r="M3301" s="736"/>
      <c r="N3301" s="736"/>
      <c r="O3301" s="544"/>
      <c r="P3301" s="544"/>
      <c r="Q3301" s="544"/>
      <c r="R3301" s="413"/>
      <c r="S3301" s="347"/>
    </row>
    <row r="3302" spans="1:19" x14ac:dyDescent="0.25">
      <c r="A3302" t="s">
        <v>3317</v>
      </c>
      <c r="B3302" s="50" t="s">
        <v>1699</v>
      </c>
      <c r="C3302" s="51"/>
      <c r="D3302" s="349">
        <v>610000004345</v>
      </c>
      <c r="E3302" s="350">
        <f>VLOOKUP(D3302,'[1]Task list &amp; Maintenace plan'!$B:$G,6,FALSE)</f>
        <v>100779</v>
      </c>
      <c r="F3302" s="350" t="s">
        <v>4698</v>
      </c>
      <c r="G3302" s="351" t="s">
        <v>1718</v>
      </c>
      <c r="H3302" s="351" t="s">
        <v>4702</v>
      </c>
      <c r="I3302" s="350">
        <v>60</v>
      </c>
      <c r="J3302" s="737">
        <v>1</v>
      </c>
      <c r="K3302" s="737"/>
      <c r="L3302" s="737">
        <v>2</v>
      </c>
      <c r="M3302" s="737"/>
      <c r="N3302" s="737"/>
      <c r="O3302" s="544"/>
      <c r="P3302" s="544"/>
      <c r="Q3302" s="544"/>
      <c r="R3302" s="414"/>
      <c r="S3302" s="350"/>
    </row>
    <row r="3303" spans="1:19" x14ac:dyDescent="0.25">
      <c r="A3303" t="s">
        <v>3317</v>
      </c>
      <c r="B3303" s="50" t="s">
        <v>1699</v>
      </c>
      <c r="C3303" s="51"/>
      <c r="D3303" s="349">
        <v>610000004346</v>
      </c>
      <c r="E3303" s="350">
        <f>VLOOKUP(D3303,'[1]Task list &amp; Maintenace plan'!$B:$G,6,FALSE)</f>
        <v>100780</v>
      </c>
      <c r="F3303" s="350" t="s">
        <v>4703</v>
      </c>
      <c r="G3303" s="351" t="s">
        <v>4662</v>
      </c>
      <c r="H3303" s="351" t="s">
        <v>4704</v>
      </c>
      <c r="I3303" s="350">
        <v>90</v>
      </c>
      <c r="J3303" s="472">
        <v>1</v>
      </c>
      <c r="K3303" s="472">
        <v>40</v>
      </c>
      <c r="L3303" s="472">
        <v>2</v>
      </c>
      <c r="M3303" s="472">
        <f>K3303*L3303</f>
        <v>80</v>
      </c>
      <c r="N3303" s="472" t="s">
        <v>34</v>
      </c>
      <c r="O3303" s="544"/>
      <c r="P3303" s="544"/>
      <c r="Q3303" s="544"/>
      <c r="R3303" s="414"/>
      <c r="S3303" s="350"/>
    </row>
    <row r="3304" spans="1:19" x14ac:dyDescent="0.25">
      <c r="A3304" t="s">
        <v>3317</v>
      </c>
      <c r="B3304" s="50" t="s">
        <v>1699</v>
      </c>
      <c r="C3304" s="51"/>
      <c r="D3304" s="349">
        <v>610000004347</v>
      </c>
      <c r="E3304" s="350">
        <f>VLOOKUP(D3304,'[1]Task list &amp; Maintenace plan'!$B:$G,6,FALSE)</f>
        <v>100781</v>
      </c>
      <c r="F3304" s="350" t="s">
        <v>4705</v>
      </c>
      <c r="G3304" s="351" t="s">
        <v>4657</v>
      </c>
      <c r="H3304" s="351" t="s">
        <v>4706</v>
      </c>
      <c r="I3304" s="350">
        <v>180</v>
      </c>
      <c r="J3304" s="472">
        <v>1</v>
      </c>
      <c r="K3304" s="472">
        <v>90</v>
      </c>
      <c r="L3304" s="472">
        <v>2</v>
      </c>
      <c r="M3304" s="472">
        <f>K3304*L3304</f>
        <v>180</v>
      </c>
      <c r="N3304" s="472" t="s">
        <v>3174</v>
      </c>
      <c r="O3304" s="544"/>
      <c r="P3304" s="544"/>
      <c r="Q3304" s="544"/>
      <c r="R3304" s="414" t="s">
        <v>3642</v>
      </c>
      <c r="S3304" s="350" t="s">
        <v>3704</v>
      </c>
    </row>
    <row r="3305" spans="1:19" ht="15.75" thickBot="1" x14ac:dyDescent="0.3">
      <c r="A3305" t="s">
        <v>3317</v>
      </c>
      <c r="B3305" s="50" t="s">
        <v>1699</v>
      </c>
      <c r="C3305" s="214"/>
      <c r="D3305" s="357">
        <v>610000004348</v>
      </c>
      <c r="E3305" s="358">
        <f>VLOOKUP(D3305,'[1]Task list &amp; Maintenace plan'!$B:$G,6,FALSE)</f>
        <v>100782</v>
      </c>
      <c r="F3305" s="358" t="s">
        <v>4707</v>
      </c>
      <c r="G3305" s="359" t="s">
        <v>4657</v>
      </c>
      <c r="H3305" s="359" t="s">
        <v>4708</v>
      </c>
      <c r="I3305" s="358">
        <v>365</v>
      </c>
      <c r="J3305" s="499">
        <v>1</v>
      </c>
      <c r="K3305" s="499">
        <v>120</v>
      </c>
      <c r="L3305" s="499">
        <v>2</v>
      </c>
      <c r="M3305" s="499">
        <f>K3305*L3305</f>
        <v>240</v>
      </c>
      <c r="N3305" s="499" t="s">
        <v>468</v>
      </c>
      <c r="O3305" s="544"/>
      <c r="P3305" s="544"/>
      <c r="Q3305" s="544"/>
      <c r="R3305" s="542" t="s">
        <v>4709</v>
      </c>
      <c r="S3305" s="358" t="s">
        <v>3880</v>
      </c>
    </row>
    <row r="3306" spans="1:19" x14ac:dyDescent="0.25">
      <c r="A3306" t="s">
        <v>3317</v>
      </c>
      <c r="B3306" s="50" t="s">
        <v>1762</v>
      </c>
      <c r="C3306" s="51"/>
      <c r="D3306" s="555">
        <v>342288</v>
      </c>
      <c r="E3306" s="557">
        <f>VLOOKUP(D3306,'[1]Task list &amp; Maintenace plan'!$B:$G,6,FALSE)</f>
        <v>473</v>
      </c>
      <c r="F3306" s="557" t="s">
        <v>4710</v>
      </c>
      <c r="G3306" s="556" t="s">
        <v>1777</v>
      </c>
      <c r="H3306" s="556" t="s">
        <v>4711</v>
      </c>
      <c r="I3306" s="557">
        <v>7</v>
      </c>
      <c r="J3306" s="739">
        <v>1</v>
      </c>
      <c r="K3306" s="739">
        <v>10</v>
      </c>
      <c r="L3306" s="739">
        <v>1</v>
      </c>
      <c r="M3306" s="739">
        <f>K3306*L3306</f>
        <v>10</v>
      </c>
      <c r="N3306" s="739" t="s">
        <v>34</v>
      </c>
      <c r="O3306" s="544"/>
      <c r="P3306" s="544"/>
      <c r="Q3306" s="544"/>
      <c r="R3306" s="558"/>
      <c r="S3306" s="557"/>
    </row>
    <row r="3307" spans="1:19" x14ac:dyDescent="0.25">
      <c r="A3307" t="s">
        <v>3317</v>
      </c>
      <c r="B3307" s="50" t="s">
        <v>1762</v>
      </c>
      <c r="C3307" s="51"/>
      <c r="D3307" s="349">
        <v>342288</v>
      </c>
      <c r="E3307" s="350">
        <f>VLOOKUP(D3307,'[1]Task list &amp; Maintenace plan'!$B:$G,6,FALSE)</f>
        <v>473</v>
      </c>
      <c r="F3307" s="350" t="s">
        <v>4710</v>
      </c>
      <c r="G3307" s="351" t="s">
        <v>1777</v>
      </c>
      <c r="H3307" s="351" t="s">
        <v>4712</v>
      </c>
      <c r="I3307" s="350">
        <v>7</v>
      </c>
      <c r="J3307" s="737">
        <v>1</v>
      </c>
      <c r="K3307" s="737">
        <v>10</v>
      </c>
      <c r="L3307" s="737">
        <v>1</v>
      </c>
      <c r="M3307" s="737"/>
      <c r="N3307" s="737"/>
      <c r="O3307" s="544"/>
      <c r="P3307" s="544"/>
      <c r="Q3307" s="544"/>
      <c r="R3307" s="414"/>
      <c r="S3307" s="350"/>
    </row>
    <row r="3308" spans="1:19" x14ac:dyDescent="0.25">
      <c r="A3308" t="s">
        <v>3317</v>
      </c>
      <c r="B3308" s="50" t="s">
        <v>1762</v>
      </c>
      <c r="C3308" s="51"/>
      <c r="D3308" s="343">
        <v>610000004349</v>
      </c>
      <c r="E3308" s="344">
        <f>VLOOKUP(D3308,'[1]Task list &amp; Maintenace plan'!$B:$G,6,FALSE)</f>
        <v>100783</v>
      </c>
      <c r="F3308" s="344" t="s">
        <v>4713</v>
      </c>
      <c r="G3308" s="345" t="s">
        <v>1763</v>
      </c>
      <c r="H3308" s="345" t="s">
        <v>4714</v>
      </c>
      <c r="I3308" s="344">
        <v>30</v>
      </c>
      <c r="J3308" s="733"/>
      <c r="K3308" s="733">
        <v>10</v>
      </c>
      <c r="L3308" s="733">
        <v>1</v>
      </c>
      <c r="M3308" s="733">
        <f>K3308*L3308</f>
        <v>10</v>
      </c>
      <c r="N3308" s="733" t="s">
        <v>20</v>
      </c>
      <c r="O3308" s="544"/>
      <c r="P3308" s="544"/>
      <c r="Q3308" s="544"/>
      <c r="R3308" s="418"/>
      <c r="S3308" s="344"/>
    </row>
    <row r="3309" spans="1:19" x14ac:dyDescent="0.25">
      <c r="A3309" t="s">
        <v>3317</v>
      </c>
      <c r="B3309" s="50" t="s">
        <v>1762</v>
      </c>
      <c r="C3309" s="51"/>
      <c r="D3309" s="349">
        <v>610000004349</v>
      </c>
      <c r="E3309" s="350">
        <f>VLOOKUP(D3309,'[1]Task list &amp; Maintenace plan'!$B:$G,6,FALSE)</f>
        <v>100783</v>
      </c>
      <c r="F3309" s="350" t="s">
        <v>4713</v>
      </c>
      <c r="G3309" s="351" t="s">
        <v>1766</v>
      </c>
      <c r="H3309" s="351" t="s">
        <v>4715</v>
      </c>
      <c r="I3309" s="350">
        <v>30</v>
      </c>
      <c r="J3309" s="737"/>
      <c r="K3309" s="737"/>
      <c r="L3309" s="737">
        <v>1</v>
      </c>
      <c r="M3309" s="737"/>
      <c r="N3309" s="737"/>
      <c r="O3309" s="544"/>
      <c r="P3309" s="544"/>
      <c r="Q3309" s="544"/>
      <c r="R3309" s="414"/>
      <c r="S3309" s="350"/>
    </row>
    <row r="3310" spans="1:19" x14ac:dyDescent="0.25">
      <c r="A3310" t="s">
        <v>3317</v>
      </c>
      <c r="B3310" s="50" t="s">
        <v>1762</v>
      </c>
      <c r="C3310" s="51"/>
      <c r="D3310" s="360">
        <v>341697</v>
      </c>
      <c r="E3310" s="361">
        <f>VLOOKUP(D3310,'[1]Task list &amp; Maintenace plan'!$B:$G,6,FALSE)</f>
        <v>368</v>
      </c>
      <c r="F3310" s="361" t="s">
        <v>4716</v>
      </c>
      <c r="G3310" s="420" t="s">
        <v>1773</v>
      </c>
      <c r="H3310" s="420" t="s">
        <v>4717</v>
      </c>
      <c r="I3310" s="421">
        <v>30</v>
      </c>
      <c r="J3310" s="733">
        <v>1</v>
      </c>
      <c r="K3310" s="733">
        <v>90</v>
      </c>
      <c r="L3310" s="733">
        <v>2</v>
      </c>
      <c r="M3310" s="733">
        <f>K3310*L3310</f>
        <v>180</v>
      </c>
      <c r="N3310" s="733" t="s">
        <v>34</v>
      </c>
      <c r="O3310" s="544"/>
      <c r="P3310" s="544"/>
      <c r="Q3310" s="544"/>
      <c r="R3310" s="422"/>
      <c r="S3310" s="421"/>
    </row>
    <row r="3311" spans="1:19" x14ac:dyDescent="0.25">
      <c r="A3311" t="s">
        <v>3317</v>
      </c>
      <c r="B3311" s="50" t="s">
        <v>1762</v>
      </c>
      <c r="C3311" s="51"/>
      <c r="D3311" s="349">
        <v>341697</v>
      </c>
      <c r="E3311" s="350">
        <f>VLOOKUP(D3311,'[1]Task list &amp; Maintenace plan'!$B:$G,6,FALSE)</f>
        <v>368</v>
      </c>
      <c r="F3311" s="350" t="s">
        <v>4716</v>
      </c>
      <c r="G3311" s="351" t="s">
        <v>1775</v>
      </c>
      <c r="H3311" s="433" t="s">
        <v>4718</v>
      </c>
      <c r="I3311" s="350">
        <v>30</v>
      </c>
      <c r="J3311" s="737">
        <v>1</v>
      </c>
      <c r="K3311" s="737"/>
      <c r="L3311" s="737">
        <v>2</v>
      </c>
      <c r="M3311" s="737"/>
      <c r="N3311" s="737"/>
      <c r="O3311" s="544"/>
      <c r="P3311" s="544"/>
      <c r="Q3311" s="544"/>
      <c r="R3311" s="414"/>
      <c r="S3311" s="350"/>
    </row>
    <row r="3312" spans="1:19" x14ac:dyDescent="0.25">
      <c r="A3312" t="s">
        <v>3317</v>
      </c>
      <c r="B3312" s="50" t="s">
        <v>1762</v>
      </c>
      <c r="C3312" s="51"/>
      <c r="D3312" s="352">
        <v>342132</v>
      </c>
      <c r="E3312" s="353">
        <f>VLOOKUP(D3312,'[1]Task list &amp; Maintenace plan'!$B:$G,6,FALSE)</f>
        <v>445</v>
      </c>
      <c r="F3312" s="353" t="s">
        <v>4719</v>
      </c>
      <c r="G3312" s="61" t="s">
        <v>4720</v>
      </c>
      <c r="H3312" s="61" t="s">
        <v>4721</v>
      </c>
      <c r="I3312" s="353">
        <v>30</v>
      </c>
      <c r="J3312" s="412">
        <v>1</v>
      </c>
      <c r="K3312" s="412">
        <v>30</v>
      </c>
      <c r="L3312" s="412">
        <v>1</v>
      </c>
      <c r="M3312" s="412">
        <f>K3312*L3312</f>
        <v>30</v>
      </c>
      <c r="N3312" s="412" t="s">
        <v>34</v>
      </c>
      <c r="O3312" s="544"/>
      <c r="P3312" s="544"/>
      <c r="Q3312" s="544"/>
      <c r="R3312" s="411"/>
      <c r="S3312" s="353"/>
    </row>
    <row r="3313" spans="1:19" x14ac:dyDescent="0.25">
      <c r="A3313" t="s">
        <v>3317</v>
      </c>
      <c r="B3313" s="50" t="s">
        <v>1762</v>
      </c>
      <c r="C3313" s="51"/>
      <c r="D3313" s="352">
        <v>342287</v>
      </c>
      <c r="E3313" s="353">
        <f>VLOOKUP(D3313,'[1]Task list &amp; Maintenace plan'!$B:$G,6,FALSE)</f>
        <v>472</v>
      </c>
      <c r="F3313" s="353" t="s">
        <v>4722</v>
      </c>
      <c r="G3313" s="61" t="s">
        <v>1777</v>
      </c>
      <c r="H3313" s="61" t="s">
        <v>4723</v>
      </c>
      <c r="I3313" s="353">
        <v>30</v>
      </c>
      <c r="J3313" s="412">
        <v>1</v>
      </c>
      <c r="K3313" s="412">
        <v>10</v>
      </c>
      <c r="L3313" s="412">
        <v>1</v>
      </c>
      <c r="M3313" s="412">
        <f>K3313*L3313</f>
        <v>10</v>
      </c>
      <c r="N3313" s="412" t="s">
        <v>34</v>
      </c>
      <c r="O3313" s="544"/>
      <c r="P3313" s="544"/>
      <c r="Q3313" s="544"/>
      <c r="R3313" s="411"/>
      <c r="S3313" s="353"/>
    </row>
    <row r="3314" spans="1:19" x14ac:dyDescent="0.25">
      <c r="A3314" t="s">
        <v>3317</v>
      </c>
      <c r="B3314" s="50" t="s">
        <v>1762</v>
      </c>
      <c r="C3314" s="51"/>
      <c r="D3314" s="352">
        <v>342571</v>
      </c>
      <c r="E3314" s="353">
        <f>VLOOKUP(D3314,'[1]Task list &amp; Maintenace plan'!$B:$G,6,FALSE)</f>
        <v>577</v>
      </c>
      <c r="F3314" s="353" t="s">
        <v>4724</v>
      </c>
      <c r="G3314" s="61" t="s">
        <v>562</v>
      </c>
      <c r="H3314" s="61" t="s">
        <v>4725</v>
      </c>
      <c r="I3314" s="353">
        <v>30</v>
      </c>
      <c r="J3314" s="412">
        <v>1</v>
      </c>
      <c r="K3314" s="412">
        <v>10</v>
      </c>
      <c r="L3314" s="412">
        <v>1</v>
      </c>
      <c r="M3314" s="412">
        <f>K3314*L3314</f>
        <v>10</v>
      </c>
      <c r="N3314" s="412" t="s">
        <v>34</v>
      </c>
      <c r="O3314" s="544"/>
      <c r="P3314" s="544"/>
      <c r="Q3314" s="544"/>
      <c r="R3314" s="411"/>
      <c r="S3314" s="353"/>
    </row>
    <row r="3315" spans="1:19" x14ac:dyDescent="0.25">
      <c r="A3315" t="s">
        <v>3317</v>
      </c>
      <c r="B3315" s="50" t="s">
        <v>1762</v>
      </c>
      <c r="C3315" s="51"/>
      <c r="D3315" s="417">
        <v>610000004350</v>
      </c>
      <c r="E3315" s="421">
        <f>VLOOKUP(D3315,'[1]Task list &amp; Maintenace plan'!$B:$G,6,FALSE)</f>
        <v>100784</v>
      </c>
      <c r="F3315" s="421" t="s">
        <v>4726</v>
      </c>
      <c r="G3315" s="420" t="s">
        <v>1763</v>
      </c>
      <c r="H3315" s="420" t="s">
        <v>4727</v>
      </c>
      <c r="I3315" s="421">
        <v>180</v>
      </c>
      <c r="J3315" s="733">
        <v>1</v>
      </c>
      <c r="K3315" s="733">
        <v>60</v>
      </c>
      <c r="L3315" s="733">
        <v>2</v>
      </c>
      <c r="M3315" s="733">
        <f>K3315*L3315</f>
        <v>120</v>
      </c>
      <c r="N3315" s="733" t="s">
        <v>3174</v>
      </c>
      <c r="O3315" s="544"/>
      <c r="P3315" s="544"/>
      <c r="Q3315" s="544"/>
      <c r="R3315" s="422" t="s">
        <v>4728</v>
      </c>
      <c r="S3315" s="421" t="s">
        <v>3998</v>
      </c>
    </row>
    <row r="3316" spans="1:19" x14ac:dyDescent="0.25">
      <c r="A3316" t="s">
        <v>3317</v>
      </c>
      <c r="B3316" s="50" t="s">
        <v>1762</v>
      </c>
      <c r="C3316" s="51"/>
      <c r="D3316" s="346">
        <v>610000004350</v>
      </c>
      <c r="E3316" s="347">
        <f>VLOOKUP(D3316,'[1]Task list &amp; Maintenace plan'!$B:$G,6,FALSE)</f>
        <v>100784</v>
      </c>
      <c r="F3316" s="347" t="s">
        <v>4726</v>
      </c>
      <c r="G3316" s="348" t="s">
        <v>4729</v>
      </c>
      <c r="H3316" s="348" t="s">
        <v>4730</v>
      </c>
      <c r="I3316" s="347">
        <v>180</v>
      </c>
      <c r="J3316" s="736">
        <v>1</v>
      </c>
      <c r="K3316" s="736"/>
      <c r="L3316" s="736">
        <v>2</v>
      </c>
      <c r="M3316" s="736"/>
      <c r="N3316" s="736"/>
      <c r="O3316" s="544"/>
      <c r="P3316" s="544"/>
      <c r="Q3316" s="544"/>
      <c r="R3316" s="413" t="s">
        <v>4731</v>
      </c>
      <c r="S3316" s="347"/>
    </row>
    <row r="3317" spans="1:19" x14ac:dyDescent="0.25">
      <c r="A3317" t="s">
        <v>3317</v>
      </c>
      <c r="B3317" s="50" t="s">
        <v>1762</v>
      </c>
      <c r="C3317" s="51"/>
      <c r="D3317" s="349">
        <v>610000004350</v>
      </c>
      <c r="E3317" s="350">
        <f>VLOOKUP(D3317,'[1]Task list &amp; Maintenace plan'!$B:$G,6,FALSE)</f>
        <v>100784</v>
      </c>
      <c r="F3317" s="350" t="s">
        <v>4726</v>
      </c>
      <c r="G3317" s="351" t="s">
        <v>1766</v>
      </c>
      <c r="H3317" s="351" t="s">
        <v>4732</v>
      </c>
      <c r="I3317" s="350">
        <v>180</v>
      </c>
      <c r="J3317" s="737">
        <v>1</v>
      </c>
      <c r="K3317" s="737"/>
      <c r="L3317" s="737">
        <v>2</v>
      </c>
      <c r="M3317" s="737"/>
      <c r="N3317" s="737"/>
      <c r="O3317" s="544"/>
      <c r="P3317" s="544"/>
      <c r="Q3317" s="544"/>
      <c r="R3317" s="414"/>
      <c r="S3317" s="350"/>
    </row>
    <row r="3318" spans="1:19" x14ac:dyDescent="0.25">
      <c r="A3318" t="s">
        <v>3317</v>
      </c>
      <c r="B3318" s="50" t="s">
        <v>1762</v>
      </c>
      <c r="C3318" s="51"/>
      <c r="D3318" s="343">
        <v>348810</v>
      </c>
      <c r="E3318" s="344">
        <f>VLOOKUP(D3318,'[1]Task list &amp; Maintenace plan'!$B:$G,6,FALSE)</f>
        <v>1359</v>
      </c>
      <c r="F3318" s="344" t="s">
        <v>4733</v>
      </c>
      <c r="G3318" s="345" t="s">
        <v>1773</v>
      </c>
      <c r="H3318" s="345" t="s">
        <v>4734</v>
      </c>
      <c r="I3318" s="344">
        <v>365</v>
      </c>
      <c r="J3318" s="733">
        <v>1</v>
      </c>
      <c r="K3318" s="733">
        <v>45</v>
      </c>
      <c r="L3318" s="733">
        <v>2</v>
      </c>
      <c r="M3318" s="733">
        <f>K3318*L3318</f>
        <v>90</v>
      </c>
      <c r="N3318" s="733" t="s">
        <v>468</v>
      </c>
      <c r="O3318" s="544"/>
      <c r="P3318" s="544"/>
      <c r="Q3318" s="544"/>
      <c r="R3318" s="418" t="s">
        <v>4735</v>
      </c>
      <c r="S3318" s="344"/>
    </row>
    <row r="3319" spans="1:19" ht="15.75" thickBot="1" x14ac:dyDescent="0.3">
      <c r="A3319" t="s">
        <v>3317</v>
      </c>
      <c r="B3319" s="50" t="s">
        <v>1762</v>
      </c>
      <c r="C3319" s="214"/>
      <c r="D3319" s="466">
        <v>348810</v>
      </c>
      <c r="E3319" s="467">
        <f>VLOOKUP(D3319,'[1]Task list &amp; Maintenace plan'!$B:$G,6,FALSE)</f>
        <v>1359</v>
      </c>
      <c r="F3319" s="467" t="s">
        <v>4733</v>
      </c>
      <c r="G3319" s="468" t="s">
        <v>1775</v>
      </c>
      <c r="H3319" s="468" t="s">
        <v>4736</v>
      </c>
      <c r="I3319" s="467">
        <v>365</v>
      </c>
      <c r="J3319" s="738">
        <v>1</v>
      </c>
      <c r="K3319" s="738"/>
      <c r="L3319" s="738">
        <v>2</v>
      </c>
      <c r="M3319" s="738"/>
      <c r="N3319" s="738"/>
      <c r="O3319" s="544"/>
      <c r="P3319" s="544"/>
      <c r="Q3319" s="544"/>
      <c r="R3319" s="543" t="s">
        <v>4735</v>
      </c>
      <c r="S3319" s="467"/>
    </row>
    <row r="3320" spans="1:19" x14ac:dyDescent="0.25">
      <c r="A3320" t="s">
        <v>3317</v>
      </c>
      <c r="B3320" s="50" t="s">
        <v>1783</v>
      </c>
      <c r="C3320" s="51"/>
      <c r="D3320" s="343">
        <v>610000004351</v>
      </c>
      <c r="E3320" s="344">
        <f>VLOOKUP(D3320,'[1]Task list &amp; Maintenace plan'!$B:$G,6,FALSE)</f>
        <v>100785</v>
      </c>
      <c r="F3320" s="344" t="s">
        <v>4737</v>
      </c>
      <c r="G3320" s="345" t="s">
        <v>1792</v>
      </c>
      <c r="H3320" s="345" t="s">
        <v>4738</v>
      </c>
      <c r="I3320" s="344">
        <v>15</v>
      </c>
      <c r="J3320" s="739"/>
      <c r="K3320" s="739">
        <v>15</v>
      </c>
      <c r="L3320" s="739">
        <v>1</v>
      </c>
      <c r="M3320" s="739">
        <f>K3320*L3320</f>
        <v>15</v>
      </c>
      <c r="N3320" s="739" t="s">
        <v>3174</v>
      </c>
      <c r="O3320" s="544"/>
      <c r="P3320" s="544"/>
      <c r="Q3320" s="544"/>
      <c r="R3320" s="418"/>
      <c r="S3320" s="344"/>
    </row>
    <row r="3321" spans="1:19" x14ac:dyDescent="0.25">
      <c r="A3321" t="s">
        <v>3317</v>
      </c>
      <c r="B3321" s="50" t="s">
        <v>1783</v>
      </c>
      <c r="C3321" s="51"/>
      <c r="D3321" s="346">
        <v>610000004351</v>
      </c>
      <c r="E3321" s="347">
        <f>VLOOKUP(D3321,'[1]Task list &amp; Maintenace plan'!$B:$G,6,FALSE)</f>
        <v>100785</v>
      </c>
      <c r="F3321" s="347" t="s">
        <v>4737</v>
      </c>
      <c r="G3321" s="348" t="s">
        <v>1786</v>
      </c>
      <c r="H3321" s="348" t="s">
        <v>4739</v>
      </c>
      <c r="I3321" s="347">
        <v>15</v>
      </c>
      <c r="J3321" s="736"/>
      <c r="K3321" s="736"/>
      <c r="L3321" s="736">
        <v>1</v>
      </c>
      <c r="M3321" s="736"/>
      <c r="N3321" s="736"/>
      <c r="O3321" s="544"/>
      <c r="P3321" s="544"/>
      <c r="Q3321" s="544"/>
      <c r="R3321" s="413" t="s">
        <v>3159</v>
      </c>
      <c r="S3321" s="347"/>
    </row>
    <row r="3322" spans="1:19" x14ac:dyDescent="0.25">
      <c r="A3322" t="s">
        <v>3317</v>
      </c>
      <c r="B3322" s="50" t="s">
        <v>1783</v>
      </c>
      <c r="C3322" s="51"/>
      <c r="D3322" s="346">
        <v>610000004351</v>
      </c>
      <c r="E3322" s="347">
        <f>VLOOKUP(D3322,'[1]Task list &amp; Maintenace plan'!$B:$G,6,FALSE)</f>
        <v>100785</v>
      </c>
      <c r="F3322" s="347" t="s">
        <v>4737</v>
      </c>
      <c r="G3322" s="348" t="s">
        <v>1790</v>
      </c>
      <c r="H3322" s="348" t="s">
        <v>4740</v>
      </c>
      <c r="I3322" s="347">
        <v>15</v>
      </c>
      <c r="J3322" s="736"/>
      <c r="K3322" s="736"/>
      <c r="L3322" s="736">
        <v>1</v>
      </c>
      <c r="M3322" s="736"/>
      <c r="N3322" s="736"/>
      <c r="O3322" s="544"/>
      <c r="P3322" s="544"/>
      <c r="Q3322" s="544"/>
      <c r="R3322" s="413" t="s">
        <v>3159</v>
      </c>
      <c r="S3322" s="347"/>
    </row>
    <row r="3323" spans="1:19" x14ac:dyDescent="0.25">
      <c r="A3323" t="s">
        <v>3317</v>
      </c>
      <c r="B3323" s="50" t="s">
        <v>1783</v>
      </c>
      <c r="C3323" s="51"/>
      <c r="D3323" s="346">
        <v>610000004351</v>
      </c>
      <c r="E3323" s="347">
        <f>VLOOKUP(D3323,'[1]Task list &amp; Maintenace plan'!$B:$G,6,FALSE)</f>
        <v>100785</v>
      </c>
      <c r="F3323" s="347" t="s">
        <v>4737</v>
      </c>
      <c r="G3323" s="348" t="s">
        <v>1790</v>
      </c>
      <c r="H3323" s="348" t="s">
        <v>4741</v>
      </c>
      <c r="I3323" s="347">
        <v>15</v>
      </c>
      <c r="J3323" s="736"/>
      <c r="K3323" s="736"/>
      <c r="L3323" s="736">
        <v>1</v>
      </c>
      <c r="M3323" s="736"/>
      <c r="N3323" s="736"/>
      <c r="O3323" s="544"/>
      <c r="P3323" s="544"/>
      <c r="Q3323" s="544"/>
      <c r="R3323" s="413" t="s">
        <v>3159</v>
      </c>
      <c r="S3323" s="347"/>
    </row>
    <row r="3324" spans="1:19" x14ac:dyDescent="0.25">
      <c r="A3324" t="s">
        <v>3317</v>
      </c>
      <c r="B3324" s="50" t="s">
        <v>1783</v>
      </c>
      <c r="C3324" s="51"/>
      <c r="D3324" s="346">
        <v>610000004351</v>
      </c>
      <c r="E3324" s="347">
        <f>VLOOKUP(D3324,'[1]Task list &amp; Maintenace plan'!$B:$G,6,FALSE)</f>
        <v>100785</v>
      </c>
      <c r="F3324" s="347" t="s">
        <v>4737</v>
      </c>
      <c r="G3324" s="348" t="s">
        <v>1792</v>
      </c>
      <c r="H3324" s="348" t="s">
        <v>4742</v>
      </c>
      <c r="I3324" s="347">
        <v>15</v>
      </c>
      <c r="J3324" s="736"/>
      <c r="K3324" s="736"/>
      <c r="L3324" s="736">
        <v>1</v>
      </c>
      <c r="M3324" s="736"/>
      <c r="N3324" s="736"/>
      <c r="O3324" s="544"/>
      <c r="P3324" s="544"/>
      <c r="Q3324" s="544"/>
      <c r="R3324" s="413" t="s">
        <v>3159</v>
      </c>
      <c r="S3324" s="347"/>
    </row>
    <row r="3325" spans="1:19" x14ac:dyDescent="0.25">
      <c r="A3325" t="s">
        <v>3317</v>
      </c>
      <c r="B3325" s="50" t="s">
        <v>1783</v>
      </c>
      <c r="C3325" s="640"/>
      <c r="D3325" s="349">
        <v>610000004351</v>
      </c>
      <c r="E3325" s="350">
        <f>VLOOKUP(D3325,'[1]Task list &amp; Maintenace plan'!$B:$G,6,FALSE)</f>
        <v>100785</v>
      </c>
      <c r="F3325" s="350" t="s">
        <v>4737</v>
      </c>
      <c r="G3325" s="351" t="s">
        <v>1786</v>
      </c>
      <c r="H3325" s="351" t="s">
        <v>4743</v>
      </c>
      <c r="I3325" s="350">
        <v>15</v>
      </c>
      <c r="J3325" s="737"/>
      <c r="K3325" s="737"/>
      <c r="L3325" s="737">
        <v>1</v>
      </c>
      <c r="M3325" s="737"/>
      <c r="N3325" s="737"/>
      <c r="O3325" s="544"/>
      <c r="P3325" s="544"/>
      <c r="Q3325" s="544"/>
      <c r="R3325" s="414" t="s">
        <v>3159</v>
      </c>
      <c r="S3325" s="350"/>
    </row>
    <row r="3326" spans="1:19" x14ac:dyDescent="0.25">
      <c r="A3326" t="s">
        <v>3317</v>
      </c>
      <c r="B3326" s="50" t="s">
        <v>1783</v>
      </c>
      <c r="C3326" s="51"/>
      <c r="D3326" s="349">
        <v>610000004352</v>
      </c>
      <c r="E3326" s="350">
        <f>VLOOKUP(D3326,'[1]Task list &amp; Maintenace plan'!$B:$G,6,FALSE)</f>
        <v>100786</v>
      </c>
      <c r="F3326" s="350" t="s">
        <v>4744</v>
      </c>
      <c r="G3326" s="351" t="s">
        <v>1784</v>
      </c>
      <c r="H3326" s="351" t="s">
        <v>4745</v>
      </c>
      <c r="I3326" s="350">
        <v>30</v>
      </c>
      <c r="J3326" s="472">
        <v>1</v>
      </c>
      <c r="K3326" s="472"/>
      <c r="L3326" s="472">
        <v>2</v>
      </c>
      <c r="M3326" s="472"/>
      <c r="N3326" s="472" t="s">
        <v>34</v>
      </c>
      <c r="O3326" s="544"/>
      <c r="P3326" s="544"/>
      <c r="Q3326" s="544"/>
      <c r="R3326" s="414"/>
      <c r="S3326" s="350"/>
    </row>
    <row r="3327" spans="1:19" x14ac:dyDescent="0.25">
      <c r="A3327" t="s">
        <v>3317</v>
      </c>
      <c r="B3327" s="50" t="s">
        <v>1783</v>
      </c>
      <c r="C3327" s="51"/>
      <c r="D3327" s="343">
        <v>610000004353</v>
      </c>
      <c r="E3327" s="344">
        <f>VLOOKUP(D3327,'[1]Task list &amp; Maintenace plan'!$B:$G,6,FALSE)</f>
        <v>100787</v>
      </c>
      <c r="F3327" s="344" t="s">
        <v>4746</v>
      </c>
      <c r="G3327" s="345" t="s">
        <v>1788</v>
      </c>
      <c r="H3327" s="345" t="s">
        <v>4747</v>
      </c>
      <c r="I3327" s="344">
        <v>30</v>
      </c>
      <c r="J3327" s="733"/>
      <c r="K3327" s="733">
        <v>30</v>
      </c>
      <c r="L3327" s="733">
        <v>1</v>
      </c>
      <c r="M3327" s="733">
        <f>K3327*L3327</f>
        <v>30</v>
      </c>
      <c r="N3327" s="733" t="s">
        <v>20</v>
      </c>
      <c r="O3327" s="544"/>
      <c r="P3327" s="544"/>
      <c r="Q3327" s="544"/>
      <c r="R3327" s="418"/>
      <c r="S3327" s="344"/>
    </row>
    <row r="3328" spans="1:19" x14ac:dyDescent="0.25">
      <c r="A3328" t="s">
        <v>3317</v>
      </c>
      <c r="B3328" s="50" t="s">
        <v>1783</v>
      </c>
      <c r="C3328" s="51"/>
      <c r="D3328" s="346">
        <v>610000004353</v>
      </c>
      <c r="E3328" s="347">
        <f>VLOOKUP(D3328,'[1]Task list &amp; Maintenace plan'!$B:$G,6,FALSE)</f>
        <v>100787</v>
      </c>
      <c r="F3328" s="347" t="s">
        <v>4746</v>
      </c>
      <c r="G3328" s="348" t="s">
        <v>1788</v>
      </c>
      <c r="H3328" s="348" t="s">
        <v>4748</v>
      </c>
      <c r="I3328" s="347">
        <v>30</v>
      </c>
      <c r="J3328" s="736">
        <v>1</v>
      </c>
      <c r="K3328" s="736"/>
      <c r="L3328" s="736">
        <v>1</v>
      </c>
      <c r="M3328" s="736"/>
      <c r="N3328" s="736"/>
      <c r="O3328" s="544"/>
      <c r="P3328" s="544"/>
      <c r="Q3328" s="544"/>
      <c r="R3328" s="413" t="s">
        <v>4749</v>
      </c>
      <c r="S3328" s="347" t="s">
        <v>3342</v>
      </c>
    </row>
    <row r="3329" spans="1:19" x14ac:dyDescent="0.25">
      <c r="A3329" t="s">
        <v>3317</v>
      </c>
      <c r="B3329" s="50" t="s">
        <v>1783</v>
      </c>
      <c r="C3329" s="51"/>
      <c r="D3329" s="346">
        <v>610000004353</v>
      </c>
      <c r="E3329" s="347">
        <f>VLOOKUP(D3329,'[1]Task list &amp; Maintenace plan'!$B:$G,6,FALSE)</f>
        <v>100787</v>
      </c>
      <c r="F3329" s="347" t="s">
        <v>4746</v>
      </c>
      <c r="G3329" s="348" t="s">
        <v>1790</v>
      </c>
      <c r="H3329" s="348" t="s">
        <v>4750</v>
      </c>
      <c r="I3329" s="347">
        <v>30</v>
      </c>
      <c r="J3329" s="736"/>
      <c r="K3329" s="736"/>
      <c r="L3329" s="736">
        <v>1</v>
      </c>
      <c r="M3329" s="736"/>
      <c r="N3329" s="736"/>
      <c r="O3329" s="544"/>
      <c r="P3329" s="544"/>
      <c r="Q3329" s="544"/>
      <c r="R3329" s="413"/>
      <c r="S3329" s="347"/>
    </row>
    <row r="3330" spans="1:19" x14ac:dyDescent="0.25">
      <c r="A3330" t="s">
        <v>3317</v>
      </c>
      <c r="B3330" s="50" t="s">
        <v>1783</v>
      </c>
      <c r="C3330" s="51"/>
      <c r="D3330" s="346">
        <v>610000004353</v>
      </c>
      <c r="E3330" s="347">
        <f>VLOOKUP(D3330,'[1]Task list &amp; Maintenace plan'!$B:$G,6,FALSE)</f>
        <v>100787</v>
      </c>
      <c r="F3330" s="347" t="s">
        <v>4746</v>
      </c>
      <c r="G3330" s="348" t="s">
        <v>1786</v>
      </c>
      <c r="H3330" s="348" t="s">
        <v>4751</v>
      </c>
      <c r="I3330" s="347">
        <v>30</v>
      </c>
      <c r="J3330" s="736"/>
      <c r="K3330" s="736"/>
      <c r="L3330" s="736">
        <v>1</v>
      </c>
      <c r="M3330" s="736"/>
      <c r="N3330" s="736"/>
      <c r="O3330" s="544"/>
      <c r="P3330" s="544"/>
      <c r="Q3330" s="544"/>
      <c r="R3330" s="413"/>
      <c r="S3330" s="347"/>
    </row>
    <row r="3331" spans="1:19" x14ac:dyDescent="0.25">
      <c r="A3331" t="s">
        <v>3317</v>
      </c>
      <c r="B3331" s="50" t="s">
        <v>1783</v>
      </c>
      <c r="C3331" s="51"/>
      <c r="D3331" s="346">
        <v>610000004353</v>
      </c>
      <c r="E3331" s="347">
        <f>VLOOKUP(D3331,'[1]Task list &amp; Maintenace plan'!$B:$G,6,FALSE)</f>
        <v>100787</v>
      </c>
      <c r="F3331" s="347" t="s">
        <v>4746</v>
      </c>
      <c r="G3331" s="348" t="s">
        <v>1792</v>
      </c>
      <c r="H3331" s="348" t="s">
        <v>4752</v>
      </c>
      <c r="I3331" s="347">
        <v>30</v>
      </c>
      <c r="J3331" s="736"/>
      <c r="K3331" s="736"/>
      <c r="L3331" s="736">
        <v>1</v>
      </c>
      <c r="M3331" s="736"/>
      <c r="N3331" s="736"/>
      <c r="O3331" s="544"/>
      <c r="P3331" s="544"/>
      <c r="Q3331" s="544"/>
      <c r="R3331" s="413"/>
      <c r="S3331" s="347"/>
    </row>
    <row r="3332" spans="1:19" x14ac:dyDescent="0.25">
      <c r="A3332" t="s">
        <v>3317</v>
      </c>
      <c r="B3332" s="50" t="s">
        <v>1783</v>
      </c>
      <c r="C3332" s="51"/>
      <c r="D3332" s="346">
        <v>610000004353</v>
      </c>
      <c r="E3332" s="347">
        <f>VLOOKUP(D3332,'[1]Task list &amp; Maintenace plan'!$B:$G,6,FALSE)</f>
        <v>100787</v>
      </c>
      <c r="F3332" s="347" t="s">
        <v>4746</v>
      </c>
      <c r="G3332" s="348" t="s">
        <v>1790</v>
      </c>
      <c r="H3332" s="348" t="s">
        <v>4753</v>
      </c>
      <c r="I3332" s="347">
        <v>30</v>
      </c>
      <c r="J3332" s="736"/>
      <c r="K3332" s="736"/>
      <c r="L3332" s="736">
        <v>1</v>
      </c>
      <c r="M3332" s="736"/>
      <c r="N3332" s="736"/>
      <c r="O3332" s="544"/>
      <c r="P3332" s="544"/>
      <c r="Q3332" s="544"/>
      <c r="R3332" s="413"/>
      <c r="S3332" s="347"/>
    </row>
    <row r="3333" spans="1:19" x14ac:dyDescent="0.25">
      <c r="A3333" t="s">
        <v>3317</v>
      </c>
      <c r="B3333" s="50" t="s">
        <v>1783</v>
      </c>
      <c r="C3333" s="51"/>
      <c r="D3333" s="346">
        <v>610000004353</v>
      </c>
      <c r="E3333" s="347">
        <f>VLOOKUP(D3333,'[1]Task list &amp; Maintenace plan'!$B:$G,6,FALSE)</f>
        <v>100787</v>
      </c>
      <c r="F3333" s="347" t="s">
        <v>4746</v>
      </c>
      <c r="G3333" s="348" t="s">
        <v>1790</v>
      </c>
      <c r="H3333" s="348" t="s">
        <v>4754</v>
      </c>
      <c r="I3333" s="347">
        <v>30</v>
      </c>
      <c r="J3333" s="736"/>
      <c r="K3333" s="736"/>
      <c r="L3333" s="736">
        <v>1</v>
      </c>
      <c r="M3333" s="736"/>
      <c r="N3333" s="736"/>
      <c r="O3333" s="544"/>
      <c r="P3333" s="544"/>
      <c r="Q3333" s="544"/>
      <c r="R3333" s="413"/>
      <c r="S3333" s="347"/>
    </row>
    <row r="3334" spans="1:19" x14ac:dyDescent="0.25">
      <c r="A3334" t="s">
        <v>3317</v>
      </c>
      <c r="B3334" s="50" t="s">
        <v>1783</v>
      </c>
      <c r="C3334" s="51"/>
      <c r="D3334" s="346">
        <v>610000004353</v>
      </c>
      <c r="E3334" s="347">
        <f>VLOOKUP(D3334,'[1]Task list &amp; Maintenace plan'!$B:$G,6,FALSE)</f>
        <v>100787</v>
      </c>
      <c r="F3334" s="347" t="s">
        <v>4746</v>
      </c>
      <c r="G3334" s="348" t="s">
        <v>1786</v>
      </c>
      <c r="H3334" s="348" t="s">
        <v>4755</v>
      </c>
      <c r="I3334" s="347">
        <v>30</v>
      </c>
      <c r="J3334" s="736"/>
      <c r="K3334" s="736"/>
      <c r="L3334" s="736">
        <v>1</v>
      </c>
      <c r="M3334" s="736"/>
      <c r="N3334" s="736"/>
      <c r="O3334" s="544"/>
      <c r="P3334" s="544"/>
      <c r="Q3334" s="544"/>
      <c r="R3334" s="413"/>
      <c r="S3334" s="347"/>
    </row>
    <row r="3335" spans="1:19" x14ac:dyDescent="0.25">
      <c r="A3335" t="s">
        <v>3317</v>
      </c>
      <c r="B3335" s="50" t="s">
        <v>1783</v>
      </c>
      <c r="C3335" s="51"/>
      <c r="D3335" s="346">
        <v>610000004353</v>
      </c>
      <c r="E3335" s="347">
        <f>VLOOKUP(D3335,'[1]Task list &amp; Maintenace plan'!$B:$G,6,FALSE)</f>
        <v>100787</v>
      </c>
      <c r="F3335" s="347" t="s">
        <v>4746</v>
      </c>
      <c r="G3335" s="348" t="s">
        <v>1786</v>
      </c>
      <c r="H3335" s="348" t="s">
        <v>4756</v>
      </c>
      <c r="I3335" s="347">
        <v>30</v>
      </c>
      <c r="J3335" s="736"/>
      <c r="K3335" s="736"/>
      <c r="L3335" s="736">
        <v>1</v>
      </c>
      <c r="M3335" s="736"/>
      <c r="N3335" s="736"/>
      <c r="O3335" s="544"/>
      <c r="P3335" s="544"/>
      <c r="Q3335" s="544"/>
      <c r="R3335" s="413"/>
      <c r="S3335" s="347"/>
    </row>
    <row r="3336" spans="1:19" x14ac:dyDescent="0.25">
      <c r="A3336" t="s">
        <v>3317</v>
      </c>
      <c r="B3336" s="50" t="s">
        <v>1783</v>
      </c>
      <c r="C3336" s="51"/>
      <c r="D3336" s="346">
        <v>610000004353</v>
      </c>
      <c r="E3336" s="347">
        <f>VLOOKUP(D3336,'[1]Task list &amp; Maintenace plan'!$B:$G,6,FALSE)</f>
        <v>100787</v>
      </c>
      <c r="F3336" s="347" t="s">
        <v>4746</v>
      </c>
      <c r="G3336" s="348" t="s">
        <v>1786</v>
      </c>
      <c r="H3336" s="348" t="s">
        <v>4757</v>
      </c>
      <c r="I3336" s="347">
        <v>30</v>
      </c>
      <c r="J3336" s="736"/>
      <c r="K3336" s="736"/>
      <c r="L3336" s="736">
        <v>1</v>
      </c>
      <c r="M3336" s="736"/>
      <c r="N3336" s="736"/>
      <c r="O3336" s="544"/>
      <c r="P3336" s="544"/>
      <c r="Q3336" s="544"/>
      <c r="R3336" s="413"/>
      <c r="S3336" s="347"/>
    </row>
    <row r="3337" spans="1:19" x14ac:dyDescent="0.25">
      <c r="A3337" t="s">
        <v>3317</v>
      </c>
      <c r="B3337" s="50" t="s">
        <v>1783</v>
      </c>
      <c r="C3337" s="51"/>
      <c r="D3337" s="349">
        <v>610000004353</v>
      </c>
      <c r="E3337" s="350">
        <f>VLOOKUP(D3337,'[1]Task list &amp; Maintenace plan'!$B:$G,6,FALSE)</f>
        <v>100787</v>
      </c>
      <c r="F3337" s="350" t="s">
        <v>4746</v>
      </c>
      <c r="G3337" s="351" t="s">
        <v>1786</v>
      </c>
      <c r="H3337" s="351" t="s">
        <v>4758</v>
      </c>
      <c r="I3337" s="350">
        <v>30</v>
      </c>
      <c r="J3337" s="737"/>
      <c r="K3337" s="737"/>
      <c r="L3337" s="737">
        <v>1</v>
      </c>
      <c r="M3337" s="737"/>
      <c r="N3337" s="737"/>
      <c r="O3337" s="544"/>
      <c r="P3337" s="544"/>
      <c r="Q3337" s="544"/>
      <c r="R3337" s="414"/>
      <c r="S3337" s="350"/>
    </row>
    <row r="3338" spans="1:19" x14ac:dyDescent="0.25">
      <c r="A3338" t="s">
        <v>3317</v>
      </c>
      <c r="B3338" s="50" t="s">
        <v>1783</v>
      </c>
      <c r="C3338" s="51"/>
      <c r="D3338" s="423">
        <v>610000004354</v>
      </c>
      <c r="E3338" s="434">
        <f>VLOOKUP(D3338,'[1]Task list &amp; Maintenace plan'!$B:$G,6,FALSE)</f>
        <v>100788</v>
      </c>
      <c r="F3338" s="434" t="s">
        <v>4759</v>
      </c>
      <c r="G3338" s="433" t="s">
        <v>1786</v>
      </c>
      <c r="H3338" s="433" t="s">
        <v>4760</v>
      </c>
      <c r="I3338" s="434">
        <v>30</v>
      </c>
      <c r="J3338" s="436"/>
      <c r="K3338" s="436">
        <v>15</v>
      </c>
      <c r="L3338" s="436">
        <v>1</v>
      </c>
      <c r="M3338" s="436">
        <f>K3338*L3338</f>
        <v>15</v>
      </c>
      <c r="N3338" s="436" t="s">
        <v>20</v>
      </c>
      <c r="O3338" s="544"/>
      <c r="P3338" s="544"/>
      <c r="Q3338" s="544"/>
      <c r="R3338" s="435"/>
      <c r="S3338" s="434"/>
    </row>
    <row r="3339" spans="1:19" x14ac:dyDescent="0.25">
      <c r="A3339" t="s">
        <v>3317</v>
      </c>
      <c r="B3339" s="50" t="s">
        <v>1783</v>
      </c>
      <c r="C3339" s="51"/>
      <c r="D3339" s="349">
        <v>610000004356</v>
      </c>
      <c r="E3339" s="350">
        <f>VLOOKUP(D3339,'[1]Task list &amp; Maintenace plan'!$B:$G,6,FALSE)</f>
        <v>100790</v>
      </c>
      <c r="F3339" s="350" t="s">
        <v>4761</v>
      </c>
      <c r="G3339" s="351" t="s">
        <v>1786</v>
      </c>
      <c r="H3339" s="351" t="s">
        <v>4762</v>
      </c>
      <c r="I3339" s="350">
        <v>30</v>
      </c>
      <c r="J3339" s="472">
        <v>1</v>
      </c>
      <c r="K3339" s="472">
        <v>30</v>
      </c>
      <c r="L3339" s="472">
        <v>2</v>
      </c>
      <c r="M3339" s="472">
        <f>K3339*L3339</f>
        <v>60</v>
      </c>
      <c r="N3339" s="472" t="s">
        <v>468</v>
      </c>
      <c r="O3339" s="544"/>
      <c r="P3339" s="544"/>
      <c r="Q3339" s="544"/>
      <c r="R3339" s="414"/>
      <c r="S3339" s="350"/>
    </row>
    <row r="3340" spans="1:19" x14ac:dyDescent="0.25">
      <c r="A3340" t="s">
        <v>3317</v>
      </c>
      <c r="B3340" s="50" t="s">
        <v>1783</v>
      </c>
      <c r="C3340" s="51"/>
      <c r="D3340" s="343">
        <v>610000004357</v>
      </c>
      <c r="E3340" s="344">
        <f>VLOOKUP(D3340,'[1]Task list &amp; Maintenace plan'!$B:$G,6,FALSE)</f>
        <v>100791</v>
      </c>
      <c r="F3340" s="344" t="s">
        <v>4763</v>
      </c>
      <c r="G3340" s="418" t="s">
        <v>1788</v>
      </c>
      <c r="H3340" s="418" t="s">
        <v>4764</v>
      </c>
      <c r="I3340" s="344">
        <v>30</v>
      </c>
      <c r="J3340" s="733">
        <v>1</v>
      </c>
      <c r="K3340" s="733">
        <v>30</v>
      </c>
      <c r="L3340" s="733">
        <v>2</v>
      </c>
      <c r="M3340" s="733">
        <f>K3340*L3340</f>
        <v>60</v>
      </c>
      <c r="N3340" s="733" t="s">
        <v>3174</v>
      </c>
      <c r="O3340" s="544"/>
      <c r="P3340" s="544"/>
      <c r="Q3340" s="544"/>
      <c r="R3340" s="418"/>
      <c r="S3340" s="344"/>
    </row>
    <row r="3341" spans="1:19" x14ac:dyDescent="0.25">
      <c r="A3341" t="s">
        <v>3317</v>
      </c>
      <c r="B3341" s="50" t="s">
        <v>1783</v>
      </c>
      <c r="C3341" s="51"/>
      <c r="D3341" s="349">
        <v>610000004357</v>
      </c>
      <c r="E3341" s="350">
        <f>VLOOKUP(D3341,'[1]Task list &amp; Maintenace plan'!$B:$G,6,FALSE)</f>
        <v>100791</v>
      </c>
      <c r="F3341" s="350" t="s">
        <v>4763</v>
      </c>
      <c r="G3341" s="414" t="s">
        <v>1788</v>
      </c>
      <c r="H3341" s="351" t="s">
        <v>4765</v>
      </c>
      <c r="I3341" s="350">
        <v>30</v>
      </c>
      <c r="J3341" s="737">
        <v>1</v>
      </c>
      <c r="K3341" s="737">
        <v>30</v>
      </c>
      <c r="L3341" s="737">
        <v>2</v>
      </c>
      <c r="M3341" s="737"/>
      <c r="N3341" s="737"/>
      <c r="O3341" s="544"/>
      <c r="P3341" s="544"/>
      <c r="Q3341" s="544"/>
      <c r="R3341" s="414" t="s">
        <v>4766</v>
      </c>
      <c r="S3341" s="350"/>
    </row>
    <row r="3342" spans="1:19" x14ac:dyDescent="0.25">
      <c r="A3342" t="s">
        <v>3317</v>
      </c>
      <c r="B3342" s="50" t="s">
        <v>1783</v>
      </c>
      <c r="C3342" s="51"/>
      <c r="D3342" s="352">
        <v>343909</v>
      </c>
      <c r="E3342" s="434">
        <f>VLOOKUP(D3342,'[1]Task list &amp; Maintenace plan'!$B:$G,6,FALSE)</f>
        <v>754</v>
      </c>
      <c r="F3342" s="353" t="s">
        <v>4767</v>
      </c>
      <c r="G3342" s="351" t="s">
        <v>1786</v>
      </c>
      <c r="H3342" s="61" t="s">
        <v>4768</v>
      </c>
      <c r="I3342" s="353">
        <v>30</v>
      </c>
      <c r="J3342" s="412">
        <v>1</v>
      </c>
      <c r="K3342" s="412">
        <v>30</v>
      </c>
      <c r="L3342" s="412">
        <v>2</v>
      </c>
      <c r="M3342" s="412">
        <f>K3342*L3342</f>
        <v>60</v>
      </c>
      <c r="N3342" s="412" t="s">
        <v>468</v>
      </c>
      <c r="O3342" s="544"/>
      <c r="P3342" s="544"/>
      <c r="Q3342" s="544"/>
      <c r="R3342" s="411"/>
      <c r="S3342" s="353"/>
    </row>
    <row r="3343" spans="1:19" x14ac:dyDescent="0.25">
      <c r="A3343" t="s">
        <v>3317</v>
      </c>
      <c r="B3343" s="50" t="s">
        <v>1783</v>
      </c>
      <c r="C3343" s="51"/>
      <c r="D3343" s="343">
        <v>610000004358</v>
      </c>
      <c r="E3343" s="344">
        <f>VLOOKUP(D3343,'[1]Task list &amp; Maintenace plan'!$B:$G,6,FALSE)</f>
        <v>100792</v>
      </c>
      <c r="F3343" s="344" t="s">
        <v>4769</v>
      </c>
      <c r="G3343" s="345" t="s">
        <v>1786</v>
      </c>
      <c r="H3343" s="345" t="s">
        <v>4770</v>
      </c>
      <c r="I3343" s="344">
        <v>90</v>
      </c>
      <c r="J3343" s="733">
        <v>1</v>
      </c>
      <c r="K3343" s="733">
        <v>60</v>
      </c>
      <c r="L3343" s="733">
        <v>2</v>
      </c>
      <c r="M3343" s="733">
        <f>K3343*L3343</f>
        <v>120</v>
      </c>
      <c r="N3343" s="733" t="s">
        <v>34</v>
      </c>
      <c r="O3343" s="544"/>
      <c r="P3343" s="544"/>
      <c r="Q3343" s="544"/>
      <c r="R3343" s="418"/>
      <c r="S3343" s="344"/>
    </row>
    <row r="3344" spans="1:19" x14ac:dyDescent="0.25">
      <c r="A3344" t="s">
        <v>3317</v>
      </c>
      <c r="B3344" s="50" t="s">
        <v>1783</v>
      </c>
      <c r="C3344" s="51"/>
      <c r="D3344" s="360">
        <v>610000004358</v>
      </c>
      <c r="E3344" s="361">
        <f>VLOOKUP(D3344,'[1]Task list &amp; Maintenace plan'!$B:$G,6,FALSE)</f>
        <v>100792</v>
      </c>
      <c r="F3344" s="361" t="s">
        <v>4769</v>
      </c>
      <c r="G3344" s="362" t="s">
        <v>1784</v>
      </c>
      <c r="H3344" s="362" t="s">
        <v>4771</v>
      </c>
      <c r="I3344" s="361">
        <v>90</v>
      </c>
      <c r="J3344" s="736">
        <v>1</v>
      </c>
      <c r="K3344" s="736"/>
      <c r="L3344" s="736">
        <v>2</v>
      </c>
      <c r="M3344" s="736"/>
      <c r="N3344" s="736"/>
      <c r="O3344" s="544"/>
      <c r="P3344" s="544"/>
      <c r="Q3344" s="544"/>
      <c r="R3344" s="419"/>
      <c r="S3344" s="361"/>
    </row>
    <row r="3345" spans="1:19" x14ac:dyDescent="0.25">
      <c r="A3345" t="s">
        <v>3317</v>
      </c>
      <c r="B3345" s="50" t="s">
        <v>1783</v>
      </c>
      <c r="C3345" s="51"/>
      <c r="D3345" s="349">
        <v>610000004358</v>
      </c>
      <c r="E3345" s="350">
        <f>VLOOKUP(D3345,'[1]Task list &amp; Maintenace plan'!$B:$G,6,FALSE)</f>
        <v>100792</v>
      </c>
      <c r="F3345" s="350" t="s">
        <v>4769</v>
      </c>
      <c r="G3345" s="351" t="s">
        <v>1784</v>
      </c>
      <c r="H3345" s="351" t="s">
        <v>4772</v>
      </c>
      <c r="I3345" s="350">
        <v>90</v>
      </c>
      <c r="J3345" s="737">
        <v>1</v>
      </c>
      <c r="K3345" s="737"/>
      <c r="L3345" s="737">
        <v>2</v>
      </c>
      <c r="M3345" s="737"/>
      <c r="N3345" s="737"/>
      <c r="O3345" s="544"/>
      <c r="P3345" s="544"/>
      <c r="Q3345" s="544"/>
      <c r="R3345" s="414"/>
      <c r="S3345" s="350"/>
    </row>
    <row r="3346" spans="1:19" x14ac:dyDescent="0.25">
      <c r="A3346" t="s">
        <v>3317</v>
      </c>
      <c r="B3346" s="50" t="s">
        <v>1783</v>
      </c>
      <c r="C3346" s="51"/>
      <c r="D3346" s="352">
        <v>342402</v>
      </c>
      <c r="E3346" s="353">
        <f>VLOOKUP(D3346,'[1]Task list &amp; Maintenace plan'!$B:$G,6,FALSE)</f>
        <v>522</v>
      </c>
      <c r="F3346" s="353" t="s">
        <v>4773</v>
      </c>
      <c r="G3346" s="61" t="s">
        <v>4774</v>
      </c>
      <c r="H3346" s="61" t="s">
        <v>4775</v>
      </c>
      <c r="I3346" s="353">
        <v>90</v>
      </c>
      <c r="J3346" s="412">
        <v>1</v>
      </c>
      <c r="K3346" s="412">
        <v>30</v>
      </c>
      <c r="L3346" s="412">
        <v>2</v>
      </c>
      <c r="M3346" s="412">
        <f>K3346*L3346</f>
        <v>60</v>
      </c>
      <c r="N3346" s="412" t="s">
        <v>34</v>
      </c>
      <c r="O3346" s="544"/>
      <c r="P3346" s="544"/>
      <c r="Q3346" s="544"/>
      <c r="R3346" s="411"/>
      <c r="S3346" s="353"/>
    </row>
    <row r="3347" spans="1:19" x14ac:dyDescent="0.25">
      <c r="A3347" t="s">
        <v>3317</v>
      </c>
      <c r="B3347" s="50" t="s">
        <v>1783</v>
      </c>
      <c r="C3347" s="51"/>
      <c r="D3347" s="352">
        <v>345957</v>
      </c>
      <c r="E3347" s="353">
        <f>VLOOKUP(D3347,'[1]Task list &amp; Maintenace plan'!$B:$G,6,FALSE)</f>
        <v>1187</v>
      </c>
      <c r="F3347" s="353" t="s">
        <v>4776</v>
      </c>
      <c r="G3347" s="61" t="s">
        <v>1784</v>
      </c>
      <c r="H3347" s="61" t="s">
        <v>4777</v>
      </c>
      <c r="I3347" s="353">
        <v>90</v>
      </c>
      <c r="J3347" s="412">
        <v>1</v>
      </c>
      <c r="K3347" s="412">
        <v>30</v>
      </c>
      <c r="L3347" s="412">
        <v>2</v>
      </c>
      <c r="M3347" s="412">
        <f>K3347*L3347</f>
        <v>60</v>
      </c>
      <c r="N3347" s="412" t="s">
        <v>468</v>
      </c>
      <c r="O3347" s="544"/>
      <c r="P3347" s="544"/>
      <c r="Q3347" s="544"/>
      <c r="R3347" s="411" t="s">
        <v>4778</v>
      </c>
      <c r="S3347" s="353"/>
    </row>
    <row r="3348" spans="1:19" x14ac:dyDescent="0.25">
      <c r="A3348" t="s">
        <v>3317</v>
      </c>
      <c r="B3348" s="50" t="s">
        <v>1783</v>
      </c>
      <c r="C3348" s="51"/>
      <c r="D3348" s="352">
        <v>610000004355</v>
      </c>
      <c r="E3348" s="353">
        <f>VLOOKUP(D3348,'[1]Task list &amp; Maintenace plan'!$B:$G,6,FALSE)</f>
        <v>100789</v>
      </c>
      <c r="F3348" s="353" t="s">
        <v>4779</v>
      </c>
      <c r="G3348" s="61" t="s">
        <v>4780</v>
      </c>
      <c r="H3348" s="61" t="s">
        <v>4781</v>
      </c>
      <c r="I3348" s="353">
        <v>120</v>
      </c>
      <c r="J3348" s="412">
        <v>1</v>
      </c>
      <c r="K3348" s="412">
        <v>60</v>
      </c>
      <c r="L3348" s="412">
        <v>2</v>
      </c>
      <c r="M3348" s="412">
        <f>K3348*L3348</f>
        <v>120</v>
      </c>
      <c r="N3348" s="412" t="s">
        <v>468</v>
      </c>
      <c r="O3348" s="544"/>
      <c r="P3348" s="544"/>
      <c r="Q3348" s="544"/>
      <c r="R3348" s="411"/>
      <c r="S3348" s="353"/>
    </row>
    <row r="3349" spans="1:19" x14ac:dyDescent="0.25">
      <c r="A3349" t="s">
        <v>3317</v>
      </c>
      <c r="B3349" s="50" t="s">
        <v>1783</v>
      </c>
      <c r="C3349" s="51"/>
      <c r="D3349" s="343">
        <v>610000004359</v>
      </c>
      <c r="E3349" s="344">
        <f>VLOOKUP(D3349,'[1]Task list &amp; Maintenace plan'!$B:$G,6,FALSE)</f>
        <v>100793</v>
      </c>
      <c r="F3349" s="344" t="s">
        <v>4782</v>
      </c>
      <c r="G3349" s="345" t="s">
        <v>1784</v>
      </c>
      <c r="H3349" s="345" t="s">
        <v>4783</v>
      </c>
      <c r="I3349" s="344">
        <v>180</v>
      </c>
      <c r="J3349" s="733">
        <v>1</v>
      </c>
      <c r="K3349" s="733">
        <v>120</v>
      </c>
      <c r="L3349" s="733">
        <v>2</v>
      </c>
      <c r="M3349" s="733">
        <f>K3349*L3349</f>
        <v>240</v>
      </c>
      <c r="N3349" s="733" t="s">
        <v>3174</v>
      </c>
      <c r="O3349" s="544"/>
      <c r="P3349" s="544"/>
      <c r="Q3349" s="544"/>
      <c r="R3349" s="418" t="s">
        <v>3674</v>
      </c>
      <c r="S3349" s="344" t="s">
        <v>4784</v>
      </c>
    </row>
    <row r="3350" spans="1:19" x14ac:dyDescent="0.25">
      <c r="A3350" t="s">
        <v>3317</v>
      </c>
      <c r="B3350" s="50" t="s">
        <v>1783</v>
      </c>
      <c r="C3350" s="51"/>
      <c r="D3350" s="346">
        <v>610000004359</v>
      </c>
      <c r="E3350" s="347">
        <f>VLOOKUP(D3350,'[1]Task list &amp; Maintenace plan'!$B:$G,6,FALSE)</f>
        <v>100793</v>
      </c>
      <c r="F3350" s="347" t="s">
        <v>4782</v>
      </c>
      <c r="G3350" s="348" t="s">
        <v>1790</v>
      </c>
      <c r="H3350" s="348" t="s">
        <v>4785</v>
      </c>
      <c r="I3350" s="347">
        <v>180</v>
      </c>
      <c r="J3350" s="736">
        <v>1</v>
      </c>
      <c r="K3350" s="736"/>
      <c r="L3350" s="736">
        <v>2</v>
      </c>
      <c r="M3350" s="736"/>
      <c r="N3350" s="736"/>
      <c r="O3350" s="544"/>
      <c r="P3350" s="544"/>
      <c r="Q3350" s="544"/>
      <c r="R3350" s="413" t="s">
        <v>3674</v>
      </c>
      <c r="S3350" s="347" t="s">
        <v>4786</v>
      </c>
    </row>
    <row r="3351" spans="1:19" x14ac:dyDescent="0.25">
      <c r="A3351" t="s">
        <v>3317</v>
      </c>
      <c r="B3351" s="50" t="s">
        <v>1783</v>
      </c>
      <c r="C3351" s="51"/>
      <c r="D3351" s="346">
        <v>610000004359</v>
      </c>
      <c r="E3351" s="347">
        <f>VLOOKUP(D3351,'[1]Task list &amp; Maintenace plan'!$B:$G,6,FALSE)</f>
        <v>100793</v>
      </c>
      <c r="F3351" s="347" t="s">
        <v>4782</v>
      </c>
      <c r="G3351" s="348" t="s">
        <v>1786</v>
      </c>
      <c r="H3351" s="348" t="s">
        <v>4787</v>
      </c>
      <c r="I3351" s="347">
        <v>180</v>
      </c>
      <c r="J3351" s="736">
        <v>1</v>
      </c>
      <c r="K3351" s="736"/>
      <c r="L3351" s="736">
        <v>2</v>
      </c>
      <c r="M3351" s="736"/>
      <c r="N3351" s="736"/>
      <c r="O3351" s="544"/>
      <c r="P3351" s="544"/>
      <c r="Q3351" s="544"/>
      <c r="R3351" s="413" t="s">
        <v>3869</v>
      </c>
      <c r="S3351" s="347" t="s">
        <v>4788</v>
      </c>
    </row>
    <row r="3352" spans="1:19" x14ac:dyDescent="0.25">
      <c r="A3352" t="s">
        <v>3317</v>
      </c>
      <c r="B3352" s="50" t="s">
        <v>1783</v>
      </c>
      <c r="C3352" s="51"/>
      <c r="D3352" s="346">
        <v>610000004359</v>
      </c>
      <c r="E3352" s="347">
        <f>VLOOKUP(D3352,'[1]Task list &amp; Maintenace plan'!$B:$G,6,FALSE)</f>
        <v>100793</v>
      </c>
      <c r="F3352" s="347" t="s">
        <v>4782</v>
      </c>
      <c r="G3352" s="348" t="s">
        <v>1792</v>
      </c>
      <c r="H3352" s="348" t="s">
        <v>4789</v>
      </c>
      <c r="I3352" s="347">
        <v>180</v>
      </c>
      <c r="J3352" s="736">
        <v>1</v>
      </c>
      <c r="K3352" s="736"/>
      <c r="L3352" s="736">
        <v>2</v>
      </c>
      <c r="M3352" s="736"/>
      <c r="N3352" s="736"/>
      <c r="O3352" s="544"/>
      <c r="P3352" s="544"/>
      <c r="Q3352" s="544"/>
      <c r="R3352" s="413" t="s">
        <v>3674</v>
      </c>
      <c r="S3352" s="347" t="s">
        <v>3998</v>
      </c>
    </row>
    <row r="3353" spans="1:19" x14ac:dyDescent="0.25">
      <c r="A3353" t="s">
        <v>3317</v>
      </c>
      <c r="B3353" s="50" t="s">
        <v>1783</v>
      </c>
      <c r="C3353" s="51"/>
      <c r="D3353" s="349">
        <v>610000004359</v>
      </c>
      <c r="E3353" s="350">
        <f>VLOOKUP(D3353,'[1]Task list &amp; Maintenace plan'!$B:$G,6,FALSE)</f>
        <v>100793</v>
      </c>
      <c r="F3353" s="350" t="s">
        <v>4782</v>
      </c>
      <c r="G3353" s="351" t="s">
        <v>1788</v>
      </c>
      <c r="H3353" s="351" t="s">
        <v>4790</v>
      </c>
      <c r="I3353" s="350">
        <v>180</v>
      </c>
      <c r="J3353" s="737">
        <v>1</v>
      </c>
      <c r="K3353" s="737"/>
      <c r="L3353" s="737">
        <v>2</v>
      </c>
      <c r="M3353" s="737"/>
      <c r="N3353" s="737"/>
      <c r="O3353" s="544"/>
      <c r="P3353" s="544"/>
      <c r="Q3353" s="544"/>
      <c r="R3353" s="414" t="s">
        <v>3674</v>
      </c>
      <c r="S3353" s="350" t="s">
        <v>3502</v>
      </c>
    </row>
    <row r="3354" spans="1:19" x14ac:dyDescent="0.25">
      <c r="A3354" t="s">
        <v>3317</v>
      </c>
      <c r="B3354" s="50" t="s">
        <v>1783</v>
      </c>
      <c r="C3354" s="51"/>
      <c r="D3354" s="352">
        <v>356975</v>
      </c>
      <c r="E3354" s="353">
        <f>VLOOKUP(D3354,'[1]Task list &amp; Maintenace plan'!$B:$G,6,FALSE)</f>
        <v>2029</v>
      </c>
      <c r="F3354" s="353" t="s">
        <v>4791</v>
      </c>
      <c r="G3354" s="61" t="s">
        <v>1784</v>
      </c>
      <c r="H3354" s="61" t="s">
        <v>4792</v>
      </c>
      <c r="I3354" s="353">
        <v>365</v>
      </c>
      <c r="J3354" s="412">
        <v>1</v>
      </c>
      <c r="K3354" s="412">
        <v>120</v>
      </c>
      <c r="L3354" s="412">
        <v>3</v>
      </c>
      <c r="M3354" s="412">
        <f t="shared" ref="M3354:M3364" si="23">K3354*L3354</f>
        <v>360</v>
      </c>
      <c r="N3354" s="412" t="s">
        <v>468</v>
      </c>
      <c r="O3354" s="544"/>
      <c r="P3354" s="544"/>
      <c r="Q3354" s="544"/>
      <c r="R3354" s="411"/>
      <c r="S3354" s="353"/>
    </row>
    <row r="3355" spans="1:19" x14ac:dyDescent="0.25">
      <c r="A3355" t="s">
        <v>3317</v>
      </c>
      <c r="B3355" s="50" t="s">
        <v>1783</v>
      </c>
      <c r="C3355" s="51"/>
      <c r="D3355" s="352">
        <v>610000004361</v>
      </c>
      <c r="E3355" s="353">
        <f>VLOOKUP(D3355,'[1]Task list &amp; Maintenace plan'!$B:$G,6,FALSE)</f>
        <v>100795</v>
      </c>
      <c r="F3355" s="353" t="s">
        <v>4793</v>
      </c>
      <c r="G3355" s="61" t="s">
        <v>1788</v>
      </c>
      <c r="H3355" s="61" t="s">
        <v>4794</v>
      </c>
      <c r="I3355" s="353">
        <v>180</v>
      </c>
      <c r="J3355" s="412">
        <v>1</v>
      </c>
      <c r="K3355" s="412">
        <v>120</v>
      </c>
      <c r="L3355" s="412">
        <v>3</v>
      </c>
      <c r="M3355" s="412">
        <f t="shared" si="23"/>
        <v>360</v>
      </c>
      <c r="N3355" s="412" t="s">
        <v>468</v>
      </c>
      <c r="O3355" s="544"/>
      <c r="P3355" s="544"/>
      <c r="Q3355" s="544"/>
      <c r="R3355" s="411"/>
      <c r="S3355" s="353"/>
    </row>
    <row r="3356" spans="1:19" x14ac:dyDescent="0.25">
      <c r="A3356" t="s">
        <v>3317</v>
      </c>
      <c r="B3356" s="50" t="s">
        <v>1783</v>
      </c>
      <c r="C3356" s="51"/>
      <c r="D3356" s="417">
        <v>342295</v>
      </c>
      <c r="E3356" s="421">
        <f>VLOOKUP(D3356,'[1]Task list &amp; Maintenace plan'!$B:$G,6,FALSE)</f>
        <v>467</v>
      </c>
      <c r="F3356" s="421" t="s">
        <v>4795</v>
      </c>
      <c r="G3356" s="420" t="s">
        <v>1786</v>
      </c>
      <c r="H3356" s="420" t="s">
        <v>4796</v>
      </c>
      <c r="I3356" s="421">
        <v>365</v>
      </c>
      <c r="J3356" s="733">
        <v>1</v>
      </c>
      <c r="K3356" s="733">
        <v>180</v>
      </c>
      <c r="L3356" s="733">
        <v>3</v>
      </c>
      <c r="M3356" s="733">
        <f t="shared" si="23"/>
        <v>540</v>
      </c>
      <c r="N3356" s="733" t="s">
        <v>3174</v>
      </c>
      <c r="O3356" s="544"/>
      <c r="P3356" s="544"/>
      <c r="Q3356" s="544"/>
      <c r="R3356" s="422" t="s">
        <v>3703</v>
      </c>
      <c r="S3356" s="421" t="s">
        <v>4797</v>
      </c>
    </row>
    <row r="3357" spans="1:19" x14ac:dyDescent="0.25">
      <c r="A3357" t="s">
        <v>3317</v>
      </c>
      <c r="B3357" s="50" t="s">
        <v>1783</v>
      </c>
      <c r="C3357" s="51"/>
      <c r="D3357" s="415">
        <v>342295</v>
      </c>
      <c r="E3357" s="493">
        <v>467</v>
      </c>
      <c r="F3357" s="493" t="s">
        <v>4798</v>
      </c>
      <c r="G3357" s="494" t="s">
        <v>1786</v>
      </c>
      <c r="H3357" s="494" t="s">
        <v>4799</v>
      </c>
      <c r="I3357" s="493">
        <v>365</v>
      </c>
      <c r="J3357" s="737">
        <v>1</v>
      </c>
      <c r="K3357" s="737">
        <v>180</v>
      </c>
      <c r="L3357" s="737">
        <v>3</v>
      </c>
      <c r="M3357" s="737">
        <f t="shared" si="23"/>
        <v>540</v>
      </c>
      <c r="N3357" s="737"/>
      <c r="O3357" s="544"/>
      <c r="P3357" s="544"/>
      <c r="Q3357" s="544"/>
      <c r="R3357" s="641" t="s">
        <v>4800</v>
      </c>
      <c r="S3357" s="493"/>
    </row>
    <row r="3358" spans="1:19" ht="15.75" thickBot="1" x14ac:dyDescent="0.3">
      <c r="A3358" t="s">
        <v>3317</v>
      </c>
      <c r="B3358" s="50" t="s">
        <v>1783</v>
      </c>
      <c r="C3358" s="214"/>
      <c r="D3358" s="357"/>
      <c r="E3358" s="358"/>
      <c r="F3358" s="358"/>
      <c r="G3358" s="359"/>
      <c r="H3358" s="359"/>
      <c r="I3358" s="358"/>
      <c r="J3358" s="642"/>
      <c r="K3358" s="642"/>
      <c r="L3358" s="642"/>
      <c r="M3358" s="642"/>
      <c r="N3358" s="642"/>
      <c r="O3358" s="544"/>
      <c r="P3358" s="544"/>
      <c r="Q3358" s="544"/>
      <c r="R3358" s="542"/>
      <c r="S3358" s="358"/>
    </row>
    <row r="3359" spans="1:19" x14ac:dyDescent="0.25">
      <c r="A3359" t="s">
        <v>3317</v>
      </c>
      <c r="B3359" s="50" t="s">
        <v>1850</v>
      </c>
      <c r="C3359" s="51"/>
      <c r="D3359" s="343">
        <v>610000004362</v>
      </c>
      <c r="E3359" s="344">
        <f>VLOOKUP(D3359,'[1]Task list &amp; Maintenace plan'!$B:$G,6,FALSE)</f>
        <v>100796</v>
      </c>
      <c r="F3359" s="344" t="s">
        <v>4801</v>
      </c>
      <c r="G3359" s="345" t="s">
        <v>1851</v>
      </c>
      <c r="H3359" s="345" t="s">
        <v>4802</v>
      </c>
      <c r="I3359" s="344">
        <v>30</v>
      </c>
      <c r="J3359" s="739">
        <v>1</v>
      </c>
      <c r="K3359" s="739">
        <v>15</v>
      </c>
      <c r="L3359" s="739">
        <v>1</v>
      </c>
      <c r="M3359" s="739">
        <f t="shared" si="23"/>
        <v>15</v>
      </c>
      <c r="N3359" s="739" t="s">
        <v>3174</v>
      </c>
      <c r="O3359" s="544"/>
      <c r="P3359" s="544"/>
      <c r="Q3359" s="544"/>
      <c r="R3359" s="418"/>
      <c r="S3359" s="344"/>
    </row>
    <row r="3360" spans="1:19" x14ac:dyDescent="0.25">
      <c r="A3360" t="s">
        <v>3317</v>
      </c>
      <c r="B3360" s="50" t="s">
        <v>1850</v>
      </c>
      <c r="C3360" s="51"/>
      <c r="D3360" s="346">
        <v>610000004362</v>
      </c>
      <c r="E3360" s="347">
        <f>VLOOKUP(D3360,'[1]Task list &amp; Maintenace plan'!$B:$G,6,FALSE)</f>
        <v>100796</v>
      </c>
      <c r="F3360" s="347" t="s">
        <v>4801</v>
      </c>
      <c r="G3360" s="348" t="s">
        <v>1855</v>
      </c>
      <c r="H3360" s="348" t="s">
        <v>4803</v>
      </c>
      <c r="I3360" s="347">
        <v>30</v>
      </c>
      <c r="J3360" s="736">
        <v>1</v>
      </c>
      <c r="K3360" s="736">
        <v>15</v>
      </c>
      <c r="L3360" s="736">
        <v>1</v>
      </c>
      <c r="M3360" s="736">
        <f t="shared" si="23"/>
        <v>15</v>
      </c>
      <c r="N3360" s="736"/>
      <c r="O3360" s="544"/>
      <c r="P3360" s="544"/>
      <c r="Q3360" s="544"/>
      <c r="R3360" s="413"/>
      <c r="S3360" s="347"/>
    </row>
    <row r="3361" spans="1:19" x14ac:dyDescent="0.25">
      <c r="A3361" t="s">
        <v>3317</v>
      </c>
      <c r="B3361" s="50" t="s">
        <v>1850</v>
      </c>
      <c r="C3361" s="51"/>
      <c r="D3361" s="346">
        <v>610000004362</v>
      </c>
      <c r="E3361" s="347">
        <f>VLOOKUP(D3361,'[1]Task list &amp; Maintenace plan'!$B:$G,6,FALSE)</f>
        <v>100796</v>
      </c>
      <c r="F3361" s="347" t="s">
        <v>4801</v>
      </c>
      <c r="G3361" s="348" t="s">
        <v>1851</v>
      </c>
      <c r="H3361" s="348" t="s">
        <v>4804</v>
      </c>
      <c r="I3361" s="347">
        <v>30</v>
      </c>
      <c r="J3361" s="736">
        <v>1</v>
      </c>
      <c r="K3361" s="736">
        <v>15</v>
      </c>
      <c r="L3361" s="736">
        <v>1</v>
      </c>
      <c r="M3361" s="736">
        <f t="shared" si="23"/>
        <v>15</v>
      </c>
      <c r="N3361" s="736"/>
      <c r="O3361" s="544"/>
      <c r="P3361" s="544"/>
      <c r="Q3361" s="544"/>
      <c r="R3361" s="413" t="s">
        <v>3159</v>
      </c>
      <c r="S3361" s="347"/>
    </row>
    <row r="3362" spans="1:19" x14ac:dyDescent="0.25">
      <c r="A3362" t="s">
        <v>3317</v>
      </c>
      <c r="B3362" s="50" t="s">
        <v>1850</v>
      </c>
      <c r="C3362" s="51"/>
      <c r="D3362" s="346">
        <v>610000004362</v>
      </c>
      <c r="E3362" s="347">
        <f>VLOOKUP(D3362,'[1]Task list &amp; Maintenace plan'!$B:$G,6,FALSE)</f>
        <v>100796</v>
      </c>
      <c r="F3362" s="347" t="s">
        <v>4801</v>
      </c>
      <c r="G3362" s="348" t="s">
        <v>1855</v>
      </c>
      <c r="H3362" s="348" t="s">
        <v>4805</v>
      </c>
      <c r="I3362" s="347">
        <v>30</v>
      </c>
      <c r="J3362" s="736">
        <v>1</v>
      </c>
      <c r="K3362" s="736">
        <v>15</v>
      </c>
      <c r="L3362" s="736">
        <v>1</v>
      </c>
      <c r="M3362" s="736">
        <f t="shared" si="23"/>
        <v>15</v>
      </c>
      <c r="N3362" s="736"/>
      <c r="O3362" s="544"/>
      <c r="P3362" s="544"/>
      <c r="Q3362" s="544"/>
      <c r="R3362" s="413" t="s">
        <v>3159</v>
      </c>
      <c r="S3362" s="347"/>
    </row>
    <row r="3363" spans="1:19" x14ac:dyDescent="0.25">
      <c r="A3363" t="s">
        <v>3317</v>
      </c>
      <c r="B3363" s="50" t="s">
        <v>1850</v>
      </c>
      <c r="C3363" s="51"/>
      <c r="D3363" s="349">
        <v>610000004362</v>
      </c>
      <c r="E3363" s="350">
        <f>VLOOKUP(D3363,'[1]Task list &amp; Maintenace plan'!$B:$G,6,FALSE)</f>
        <v>100796</v>
      </c>
      <c r="F3363" s="350" t="s">
        <v>4801</v>
      </c>
      <c r="G3363" s="351" t="s">
        <v>1853</v>
      </c>
      <c r="H3363" s="351" t="s">
        <v>4806</v>
      </c>
      <c r="I3363" s="350">
        <v>30</v>
      </c>
      <c r="J3363" s="737">
        <v>1</v>
      </c>
      <c r="K3363" s="737">
        <v>15</v>
      </c>
      <c r="L3363" s="737">
        <v>1</v>
      </c>
      <c r="M3363" s="737">
        <f t="shared" si="23"/>
        <v>15</v>
      </c>
      <c r="N3363" s="737"/>
      <c r="O3363" s="544"/>
      <c r="P3363" s="544"/>
      <c r="Q3363" s="544"/>
      <c r="R3363" s="414" t="s">
        <v>3159</v>
      </c>
      <c r="S3363" s="350"/>
    </row>
    <row r="3364" spans="1:19" x14ac:dyDescent="0.25">
      <c r="A3364" t="s">
        <v>3317</v>
      </c>
      <c r="B3364" s="50" t="s">
        <v>1850</v>
      </c>
      <c r="C3364" s="51"/>
      <c r="D3364" s="343">
        <v>610000004363</v>
      </c>
      <c r="E3364" s="344">
        <f>VLOOKUP(D3364,'[1]Task list &amp; Maintenace plan'!$B:$G,6,FALSE)</f>
        <v>100797</v>
      </c>
      <c r="F3364" s="344" t="s">
        <v>4807</v>
      </c>
      <c r="G3364" s="345" t="s">
        <v>1851</v>
      </c>
      <c r="H3364" s="345" t="s">
        <v>4808</v>
      </c>
      <c r="I3364" s="344">
        <v>30</v>
      </c>
      <c r="J3364" s="733"/>
      <c r="K3364" s="733">
        <v>15</v>
      </c>
      <c r="L3364" s="733">
        <v>1</v>
      </c>
      <c r="M3364" s="733">
        <f t="shared" si="23"/>
        <v>15</v>
      </c>
      <c r="N3364" s="733" t="s">
        <v>20</v>
      </c>
      <c r="O3364" s="544"/>
      <c r="P3364" s="544"/>
      <c r="Q3364" s="544"/>
      <c r="R3364" s="418"/>
      <c r="S3364" s="344"/>
    </row>
    <row r="3365" spans="1:19" x14ac:dyDescent="0.25">
      <c r="A3365" t="s">
        <v>3317</v>
      </c>
      <c r="B3365" s="50" t="s">
        <v>1850</v>
      </c>
      <c r="C3365" s="51"/>
      <c r="D3365" s="346">
        <v>610000004363</v>
      </c>
      <c r="E3365" s="347">
        <f>VLOOKUP(D3365,'[1]Task list &amp; Maintenace plan'!$B:$G,6,FALSE)</f>
        <v>100797</v>
      </c>
      <c r="F3365" s="347" t="s">
        <v>4807</v>
      </c>
      <c r="G3365" s="348" t="s">
        <v>1851</v>
      </c>
      <c r="H3365" s="348" t="s">
        <v>4809</v>
      </c>
      <c r="I3365" s="347">
        <v>30</v>
      </c>
      <c r="J3365" s="736"/>
      <c r="K3365" s="736"/>
      <c r="L3365" s="736">
        <v>1</v>
      </c>
      <c r="M3365" s="736"/>
      <c r="N3365" s="736"/>
      <c r="O3365" s="544"/>
      <c r="P3365" s="544"/>
      <c r="Q3365" s="544"/>
      <c r="R3365" s="413"/>
      <c r="S3365" s="347"/>
    </row>
    <row r="3366" spans="1:19" x14ac:dyDescent="0.25">
      <c r="A3366" t="s">
        <v>3317</v>
      </c>
      <c r="B3366" s="50" t="s">
        <v>1850</v>
      </c>
      <c r="C3366" s="51"/>
      <c r="D3366" s="346">
        <v>610000004363</v>
      </c>
      <c r="E3366" s="347">
        <f>VLOOKUP(D3366,'[1]Task list &amp; Maintenace plan'!$B:$G,6,FALSE)</f>
        <v>100797</v>
      </c>
      <c r="F3366" s="347" t="s">
        <v>4807</v>
      </c>
      <c r="G3366" s="348" t="s">
        <v>1851</v>
      </c>
      <c r="H3366" s="348" t="s">
        <v>4810</v>
      </c>
      <c r="I3366" s="347">
        <v>30</v>
      </c>
      <c r="J3366" s="736"/>
      <c r="K3366" s="736"/>
      <c r="L3366" s="736">
        <v>1</v>
      </c>
      <c r="M3366" s="736"/>
      <c r="N3366" s="736"/>
      <c r="O3366" s="544"/>
      <c r="P3366" s="544"/>
      <c r="Q3366" s="544"/>
      <c r="R3366" s="413"/>
      <c r="S3366" s="347"/>
    </row>
    <row r="3367" spans="1:19" x14ac:dyDescent="0.25">
      <c r="A3367" t="s">
        <v>3317</v>
      </c>
      <c r="B3367" s="50" t="s">
        <v>1850</v>
      </c>
      <c r="C3367" s="51"/>
      <c r="D3367" s="349">
        <v>610000004363</v>
      </c>
      <c r="E3367" s="350">
        <f>VLOOKUP(D3367,'[1]Task list &amp; Maintenace plan'!$B:$G,6,FALSE)</f>
        <v>100797</v>
      </c>
      <c r="F3367" s="350" t="s">
        <v>4807</v>
      </c>
      <c r="G3367" s="351" t="s">
        <v>1855</v>
      </c>
      <c r="H3367" s="351" t="s">
        <v>4811</v>
      </c>
      <c r="I3367" s="350">
        <v>30</v>
      </c>
      <c r="J3367" s="737"/>
      <c r="K3367" s="737"/>
      <c r="L3367" s="737">
        <v>1</v>
      </c>
      <c r="M3367" s="737"/>
      <c r="N3367" s="737"/>
      <c r="O3367" s="544"/>
      <c r="P3367" s="544"/>
      <c r="Q3367" s="544"/>
      <c r="R3367" s="414"/>
      <c r="S3367" s="350"/>
    </row>
    <row r="3368" spans="1:19" x14ac:dyDescent="0.25">
      <c r="A3368" t="s">
        <v>3317</v>
      </c>
      <c r="B3368" s="50" t="s">
        <v>1850</v>
      </c>
      <c r="C3368" s="51"/>
      <c r="D3368" s="423">
        <v>356703</v>
      </c>
      <c r="E3368" s="434">
        <f>VLOOKUP(D3368,'[1]Task list &amp; Maintenace plan'!$B:$G,6,FALSE)</f>
        <v>1617</v>
      </c>
      <c r="F3368" s="434" t="s">
        <v>4812</v>
      </c>
      <c r="G3368" s="433" t="s">
        <v>1858</v>
      </c>
      <c r="H3368" s="433" t="s">
        <v>4813</v>
      </c>
      <c r="I3368" s="434">
        <v>90</v>
      </c>
      <c r="J3368" s="436">
        <v>1</v>
      </c>
      <c r="K3368" s="436">
        <v>30</v>
      </c>
      <c r="L3368" s="436">
        <v>1</v>
      </c>
      <c r="M3368" s="436">
        <f>K3368*L3368</f>
        <v>30</v>
      </c>
      <c r="N3368" s="436" t="s">
        <v>3174</v>
      </c>
      <c r="O3368" s="544"/>
      <c r="P3368" s="544"/>
      <c r="Q3368" s="544"/>
      <c r="R3368" s="435"/>
      <c r="S3368" s="434"/>
    </row>
    <row r="3369" spans="1:19" x14ac:dyDescent="0.25">
      <c r="A3369" t="s">
        <v>3317</v>
      </c>
      <c r="B3369" s="50" t="s">
        <v>1850</v>
      </c>
      <c r="C3369" s="51"/>
      <c r="D3369" s="352">
        <v>610000004364</v>
      </c>
      <c r="E3369" s="353">
        <f>VLOOKUP(D3369,'[1]Task list &amp; Maintenace plan'!$B:$G,6,FALSE)</f>
        <v>100798</v>
      </c>
      <c r="F3369" s="353" t="s">
        <v>4814</v>
      </c>
      <c r="G3369" s="61" t="s">
        <v>1855</v>
      </c>
      <c r="H3369" s="61" t="s">
        <v>4815</v>
      </c>
      <c r="I3369" s="353">
        <v>120</v>
      </c>
      <c r="J3369" s="412">
        <v>1</v>
      </c>
      <c r="K3369" s="412">
        <v>60</v>
      </c>
      <c r="L3369" s="412">
        <v>2</v>
      </c>
      <c r="M3369" s="412">
        <f>K3369*L3369</f>
        <v>120</v>
      </c>
      <c r="N3369" s="412" t="s">
        <v>3174</v>
      </c>
      <c r="O3369" s="544"/>
      <c r="P3369" s="544"/>
      <c r="Q3369" s="544"/>
      <c r="R3369" s="411" t="s">
        <v>3674</v>
      </c>
      <c r="S3369" s="353" t="s">
        <v>3998</v>
      </c>
    </row>
    <row r="3370" spans="1:19" x14ac:dyDescent="0.25">
      <c r="A3370" t="s">
        <v>3317</v>
      </c>
      <c r="B3370" s="50" t="s">
        <v>1850</v>
      </c>
      <c r="C3370" s="51"/>
      <c r="D3370" s="352">
        <v>610000004365</v>
      </c>
      <c r="E3370" s="353">
        <f>VLOOKUP(D3370,'[1]Task list &amp; Maintenace plan'!$B:$G,6,FALSE)</f>
        <v>100799</v>
      </c>
      <c r="F3370" s="353" t="s">
        <v>4816</v>
      </c>
      <c r="G3370" s="61" t="s">
        <v>1855</v>
      </c>
      <c r="H3370" s="61" t="s">
        <v>4817</v>
      </c>
      <c r="I3370" s="353">
        <v>120</v>
      </c>
      <c r="J3370" s="412">
        <v>1</v>
      </c>
      <c r="K3370" s="412">
        <v>60</v>
      </c>
      <c r="L3370" s="412">
        <v>2</v>
      </c>
      <c r="M3370" s="412">
        <f>K3370*L3370</f>
        <v>120</v>
      </c>
      <c r="N3370" s="412" t="s">
        <v>468</v>
      </c>
      <c r="O3370" s="544"/>
      <c r="P3370" s="544"/>
      <c r="Q3370" s="544"/>
      <c r="R3370" s="411"/>
      <c r="S3370" s="353"/>
    </row>
    <row r="3371" spans="1:19" ht="15.75" thickBot="1" x14ac:dyDescent="0.3">
      <c r="A3371" t="s">
        <v>3317</v>
      </c>
      <c r="B3371" s="50" t="s">
        <v>1850</v>
      </c>
      <c r="C3371" s="51"/>
      <c r="D3371" s="363">
        <v>352101</v>
      </c>
      <c r="E3371" s="364">
        <f>VLOOKUP(D3371,'[1]Task list &amp; Maintenace plan'!$B:$G,6,FALSE)</f>
        <v>1438</v>
      </c>
      <c r="F3371" s="364" t="s">
        <v>4818</v>
      </c>
      <c r="G3371" s="365" t="s">
        <v>1851</v>
      </c>
      <c r="H3371" s="365" t="s">
        <v>4819</v>
      </c>
      <c r="I3371" s="364">
        <v>365</v>
      </c>
      <c r="J3371" s="437">
        <v>1</v>
      </c>
      <c r="K3371" s="437">
        <v>180</v>
      </c>
      <c r="L3371" s="437">
        <v>2</v>
      </c>
      <c r="M3371" s="437">
        <f>K3371*L3371</f>
        <v>360</v>
      </c>
      <c r="N3371" s="437" t="s">
        <v>468</v>
      </c>
      <c r="O3371" s="544"/>
      <c r="P3371" s="544"/>
      <c r="Q3371" s="544"/>
      <c r="R3371" s="427"/>
      <c r="S3371" s="364"/>
    </row>
    <row r="3372" spans="1:19" ht="15.75" thickBot="1" x14ac:dyDescent="0.3">
      <c r="A3372" t="s">
        <v>3317</v>
      </c>
      <c r="B3372" s="438" t="s">
        <v>1908</v>
      </c>
      <c r="C3372" s="643"/>
      <c r="D3372" s="343">
        <v>610000004366</v>
      </c>
      <c r="E3372" s="344">
        <f>VLOOKUP(D3372,'[1]Task list &amp; Maintenace plan'!$B:$G,6,FALSE)</f>
        <v>100800</v>
      </c>
      <c r="F3372" s="344" t="s">
        <v>4821</v>
      </c>
      <c r="G3372" s="345" t="s">
        <v>4820</v>
      </c>
      <c r="H3372" s="345" t="s">
        <v>4822</v>
      </c>
      <c r="I3372" s="344">
        <v>15</v>
      </c>
      <c r="J3372" s="739">
        <v>1</v>
      </c>
      <c r="K3372" s="739">
        <v>30</v>
      </c>
      <c r="L3372" s="739">
        <v>2</v>
      </c>
      <c r="M3372" s="739">
        <f>K3372*L3372</f>
        <v>60</v>
      </c>
      <c r="N3372" s="739" t="s">
        <v>3174</v>
      </c>
      <c r="O3372" s="544"/>
      <c r="P3372" s="544"/>
      <c r="Q3372" s="544"/>
      <c r="R3372" s="418" t="s">
        <v>3159</v>
      </c>
      <c r="S3372" s="344"/>
    </row>
    <row r="3373" spans="1:19" ht="15.75" thickBot="1" x14ac:dyDescent="0.3">
      <c r="A3373" t="s">
        <v>3317</v>
      </c>
      <c r="B3373" s="438" t="s">
        <v>1908</v>
      </c>
      <c r="C3373" s="51"/>
      <c r="D3373" s="346">
        <v>610000004366</v>
      </c>
      <c r="E3373" s="347">
        <f>VLOOKUP(D3373,'[1]Task list &amp; Maintenace plan'!$B:$G,6,FALSE)</f>
        <v>100800</v>
      </c>
      <c r="F3373" s="347" t="s">
        <v>4821</v>
      </c>
      <c r="G3373" s="348" t="s">
        <v>4820</v>
      </c>
      <c r="H3373" s="348" t="s">
        <v>4824</v>
      </c>
      <c r="I3373" s="347">
        <v>15</v>
      </c>
      <c r="J3373" s="736">
        <v>1</v>
      </c>
      <c r="K3373" s="736"/>
      <c r="L3373" s="736">
        <v>2</v>
      </c>
      <c r="M3373" s="736"/>
      <c r="N3373" s="736"/>
      <c r="O3373" s="544"/>
      <c r="P3373" s="544"/>
      <c r="Q3373" s="544"/>
      <c r="R3373" s="413" t="s">
        <v>3159</v>
      </c>
      <c r="S3373" s="347"/>
    </row>
    <row r="3374" spans="1:19" ht="15.75" thickBot="1" x14ac:dyDescent="0.3">
      <c r="A3374" t="s">
        <v>3317</v>
      </c>
      <c r="B3374" s="438" t="s">
        <v>1908</v>
      </c>
      <c r="C3374" s="51"/>
      <c r="D3374" s="346">
        <v>610000004366</v>
      </c>
      <c r="E3374" s="347">
        <f>VLOOKUP(D3374,'[1]Task list &amp; Maintenace plan'!$B:$G,6,FALSE)</f>
        <v>100800</v>
      </c>
      <c r="F3374" s="347" t="s">
        <v>4821</v>
      </c>
      <c r="G3374" s="348" t="s">
        <v>4820</v>
      </c>
      <c r="H3374" s="348" t="s">
        <v>4825</v>
      </c>
      <c r="I3374" s="347">
        <v>15</v>
      </c>
      <c r="J3374" s="736"/>
      <c r="K3374" s="736"/>
      <c r="L3374" s="736">
        <v>2</v>
      </c>
      <c r="M3374" s="736"/>
      <c r="N3374" s="736"/>
      <c r="O3374" s="544"/>
      <c r="P3374" s="544"/>
      <c r="Q3374" s="544"/>
      <c r="R3374" s="413" t="s">
        <v>3159</v>
      </c>
      <c r="S3374" s="347"/>
    </row>
    <row r="3375" spans="1:19" ht="15.75" thickBot="1" x14ac:dyDescent="0.3">
      <c r="A3375" t="s">
        <v>3317</v>
      </c>
      <c r="B3375" s="438" t="s">
        <v>1908</v>
      </c>
      <c r="C3375" s="51"/>
      <c r="D3375" s="346">
        <v>610000004366</v>
      </c>
      <c r="E3375" s="347">
        <f>VLOOKUP(D3375,'[1]Task list &amp; Maintenace plan'!$B:$G,6,FALSE)</f>
        <v>100800</v>
      </c>
      <c r="F3375" s="347" t="s">
        <v>4821</v>
      </c>
      <c r="G3375" s="348" t="s">
        <v>4820</v>
      </c>
      <c r="H3375" s="348" t="s">
        <v>4826</v>
      </c>
      <c r="I3375" s="347">
        <v>15</v>
      </c>
      <c r="J3375" s="736"/>
      <c r="K3375" s="736"/>
      <c r="L3375" s="736">
        <v>2</v>
      </c>
      <c r="M3375" s="736"/>
      <c r="N3375" s="736"/>
      <c r="O3375" s="544"/>
      <c r="P3375" s="544"/>
      <c r="Q3375" s="544"/>
      <c r="R3375" s="413" t="s">
        <v>3159</v>
      </c>
      <c r="S3375" s="347"/>
    </row>
    <row r="3376" spans="1:19" ht="15.75" thickBot="1" x14ac:dyDescent="0.3">
      <c r="A3376" t="s">
        <v>3317</v>
      </c>
      <c r="B3376" s="438" t="s">
        <v>1908</v>
      </c>
      <c r="C3376" s="51"/>
      <c r="D3376" s="346">
        <v>610000004366</v>
      </c>
      <c r="E3376" s="347">
        <f>VLOOKUP(D3376,'[1]Task list &amp; Maintenace plan'!$B:$G,6,FALSE)</f>
        <v>100800</v>
      </c>
      <c r="F3376" s="347" t="s">
        <v>4821</v>
      </c>
      <c r="G3376" s="348" t="s">
        <v>4820</v>
      </c>
      <c r="H3376" s="348" t="s">
        <v>4827</v>
      </c>
      <c r="I3376" s="347">
        <v>15</v>
      </c>
      <c r="J3376" s="736"/>
      <c r="K3376" s="736"/>
      <c r="L3376" s="736">
        <v>2</v>
      </c>
      <c r="M3376" s="736"/>
      <c r="N3376" s="736"/>
      <c r="O3376" s="544"/>
      <c r="P3376" s="544"/>
      <c r="Q3376" s="544"/>
      <c r="R3376" s="413" t="s">
        <v>3330</v>
      </c>
      <c r="S3376" s="347"/>
    </row>
    <row r="3377" spans="1:19" ht="15.75" thickBot="1" x14ac:dyDescent="0.3">
      <c r="A3377" t="s">
        <v>3317</v>
      </c>
      <c r="B3377" s="438" t="s">
        <v>1908</v>
      </c>
      <c r="C3377" s="51"/>
      <c r="D3377" s="346">
        <v>610000004366</v>
      </c>
      <c r="E3377" s="347">
        <f>VLOOKUP(D3377,'[1]Task list &amp; Maintenace plan'!$B:$G,6,FALSE)</f>
        <v>100800</v>
      </c>
      <c r="F3377" s="347" t="s">
        <v>4821</v>
      </c>
      <c r="G3377" s="348" t="s">
        <v>4820</v>
      </c>
      <c r="H3377" s="348" t="s">
        <v>4828</v>
      </c>
      <c r="I3377" s="347">
        <v>15</v>
      </c>
      <c r="J3377" s="736"/>
      <c r="K3377" s="736"/>
      <c r="L3377" s="736">
        <v>2</v>
      </c>
      <c r="M3377" s="736"/>
      <c r="N3377" s="736"/>
      <c r="O3377" s="544"/>
      <c r="P3377" s="544"/>
      <c r="Q3377" s="544"/>
      <c r="R3377" s="413" t="s">
        <v>3330</v>
      </c>
      <c r="S3377" s="347"/>
    </row>
    <row r="3378" spans="1:19" ht="15.75" thickBot="1" x14ac:dyDescent="0.3">
      <c r="A3378" t="s">
        <v>3317</v>
      </c>
      <c r="B3378" s="438" t="s">
        <v>1908</v>
      </c>
      <c r="C3378" s="51"/>
      <c r="D3378" s="346">
        <v>610000004366</v>
      </c>
      <c r="E3378" s="347">
        <f>VLOOKUP(D3378,'[1]Task list &amp; Maintenace plan'!$B:$G,6,FALSE)</f>
        <v>100800</v>
      </c>
      <c r="F3378" s="347" t="s">
        <v>4821</v>
      </c>
      <c r="G3378" s="348" t="s">
        <v>1913</v>
      </c>
      <c r="H3378" s="348" t="s">
        <v>4829</v>
      </c>
      <c r="I3378" s="347">
        <v>15</v>
      </c>
      <c r="J3378" s="736"/>
      <c r="K3378" s="736"/>
      <c r="L3378" s="736">
        <v>2</v>
      </c>
      <c r="M3378" s="736"/>
      <c r="N3378" s="736"/>
      <c r="O3378" s="544"/>
      <c r="P3378" s="544"/>
      <c r="Q3378" s="544"/>
      <c r="R3378" s="413" t="s">
        <v>3159</v>
      </c>
      <c r="S3378" s="347"/>
    </row>
    <row r="3379" spans="1:19" ht="15.75" thickBot="1" x14ac:dyDescent="0.3">
      <c r="A3379" t="s">
        <v>3317</v>
      </c>
      <c r="B3379" s="438" t="s">
        <v>1908</v>
      </c>
      <c r="C3379" s="51"/>
      <c r="D3379" s="346">
        <v>610000004366</v>
      </c>
      <c r="E3379" s="347">
        <f>VLOOKUP(D3379,'[1]Task list &amp; Maintenace plan'!$B:$G,6,FALSE)</f>
        <v>100800</v>
      </c>
      <c r="F3379" s="347" t="s">
        <v>4821</v>
      </c>
      <c r="G3379" s="348" t="s">
        <v>1913</v>
      </c>
      <c r="H3379" s="348" t="s">
        <v>4830</v>
      </c>
      <c r="I3379" s="347">
        <v>15</v>
      </c>
      <c r="J3379" s="736"/>
      <c r="K3379" s="736"/>
      <c r="L3379" s="736">
        <v>2</v>
      </c>
      <c r="M3379" s="736"/>
      <c r="N3379" s="736"/>
      <c r="O3379" s="544"/>
      <c r="P3379" s="544"/>
      <c r="Q3379" s="544"/>
      <c r="R3379" s="413" t="s">
        <v>3159</v>
      </c>
      <c r="S3379" s="347"/>
    </row>
    <row r="3380" spans="1:19" ht="15.75" thickBot="1" x14ac:dyDescent="0.3">
      <c r="A3380" t="s">
        <v>3317</v>
      </c>
      <c r="B3380" s="438" t="s">
        <v>1908</v>
      </c>
      <c r="C3380" s="51"/>
      <c r="D3380" s="346">
        <v>610000004366</v>
      </c>
      <c r="E3380" s="347">
        <f>VLOOKUP(D3380,'[1]Task list &amp; Maintenace plan'!$B:$G,6,FALSE)</f>
        <v>100800</v>
      </c>
      <c r="F3380" s="347" t="s">
        <v>4821</v>
      </c>
      <c r="G3380" s="348" t="s">
        <v>1913</v>
      </c>
      <c r="H3380" s="348" t="s">
        <v>4831</v>
      </c>
      <c r="I3380" s="347">
        <v>15</v>
      </c>
      <c r="J3380" s="736">
        <v>1</v>
      </c>
      <c r="K3380" s="736"/>
      <c r="L3380" s="736">
        <v>2</v>
      </c>
      <c r="M3380" s="736"/>
      <c r="N3380" s="736"/>
      <c r="O3380" s="544"/>
      <c r="P3380" s="544"/>
      <c r="Q3380" s="544"/>
      <c r="R3380" s="413" t="s">
        <v>3159</v>
      </c>
      <c r="S3380" s="347"/>
    </row>
    <row r="3381" spans="1:19" ht="15.75" thickBot="1" x14ac:dyDescent="0.3">
      <c r="A3381" t="s">
        <v>3317</v>
      </c>
      <c r="B3381" s="438" t="s">
        <v>1908</v>
      </c>
      <c r="C3381" s="51"/>
      <c r="D3381" s="349">
        <v>610000004366</v>
      </c>
      <c r="E3381" s="350">
        <f>VLOOKUP(D3381,'[1]Task list &amp; Maintenace plan'!$B:$G,6,FALSE)</f>
        <v>100800</v>
      </c>
      <c r="F3381" s="350" t="s">
        <v>4821</v>
      </c>
      <c r="G3381" s="351" t="s">
        <v>1913</v>
      </c>
      <c r="H3381" s="351" t="s">
        <v>4832</v>
      </c>
      <c r="I3381" s="350">
        <v>15</v>
      </c>
      <c r="J3381" s="737"/>
      <c r="K3381" s="737"/>
      <c r="L3381" s="737">
        <v>2</v>
      </c>
      <c r="M3381" s="737"/>
      <c r="N3381" s="737"/>
      <c r="O3381" s="544"/>
      <c r="P3381" s="544"/>
      <c r="Q3381" s="544"/>
      <c r="R3381" s="414" t="s">
        <v>3330</v>
      </c>
      <c r="S3381" s="350"/>
    </row>
    <row r="3382" spans="1:19" ht="15.75" thickBot="1" x14ac:dyDescent="0.3">
      <c r="A3382" t="s">
        <v>3317</v>
      </c>
      <c r="B3382" s="438" t="s">
        <v>1908</v>
      </c>
      <c r="C3382" s="51"/>
      <c r="D3382" s="343">
        <v>610000004367</v>
      </c>
      <c r="E3382" s="344">
        <f>VLOOKUP(D3382,'[1]Task list &amp; Maintenace plan'!$B:$G,6,FALSE)</f>
        <v>100801</v>
      </c>
      <c r="F3382" s="344" t="s">
        <v>4833</v>
      </c>
      <c r="G3382" s="345" t="s">
        <v>1916</v>
      </c>
      <c r="H3382" s="345" t="s">
        <v>4834</v>
      </c>
      <c r="I3382" s="344">
        <v>15</v>
      </c>
      <c r="J3382" s="733"/>
      <c r="K3382" s="733">
        <v>30</v>
      </c>
      <c r="L3382" s="733">
        <v>2</v>
      </c>
      <c r="M3382" s="733">
        <f>K3382*L3382</f>
        <v>60</v>
      </c>
      <c r="N3382" s="733" t="s">
        <v>3174</v>
      </c>
      <c r="O3382" s="544"/>
      <c r="P3382" s="544"/>
      <c r="Q3382" s="544"/>
      <c r="R3382" s="418" t="s">
        <v>3159</v>
      </c>
      <c r="S3382" s="344"/>
    </row>
    <row r="3383" spans="1:19" ht="15.75" thickBot="1" x14ac:dyDescent="0.3">
      <c r="A3383" t="s">
        <v>3317</v>
      </c>
      <c r="B3383" s="438" t="s">
        <v>1908</v>
      </c>
      <c r="C3383" s="51"/>
      <c r="D3383" s="346">
        <v>610000004367</v>
      </c>
      <c r="E3383" s="347">
        <f>VLOOKUP(D3383,'[1]Task list &amp; Maintenace plan'!$B:$G,6,FALSE)</f>
        <v>100801</v>
      </c>
      <c r="F3383" s="347" t="s">
        <v>4833</v>
      </c>
      <c r="G3383" s="348" t="s">
        <v>1916</v>
      </c>
      <c r="H3383" s="348" t="s">
        <v>4835</v>
      </c>
      <c r="I3383" s="347">
        <v>15</v>
      </c>
      <c r="J3383" s="736"/>
      <c r="K3383" s="736"/>
      <c r="L3383" s="736">
        <v>2</v>
      </c>
      <c r="M3383" s="736"/>
      <c r="N3383" s="736"/>
      <c r="O3383" s="544"/>
      <c r="P3383" s="544"/>
      <c r="Q3383" s="544"/>
      <c r="R3383" s="413" t="s">
        <v>3159</v>
      </c>
      <c r="S3383" s="347"/>
    </row>
    <row r="3384" spans="1:19" ht="15.75" thickBot="1" x14ac:dyDescent="0.3">
      <c r="A3384" t="s">
        <v>3317</v>
      </c>
      <c r="B3384" s="438" t="s">
        <v>1908</v>
      </c>
      <c r="C3384" s="51"/>
      <c r="D3384" s="346">
        <v>610000004367</v>
      </c>
      <c r="E3384" s="347">
        <f>VLOOKUP(D3384,'[1]Task list &amp; Maintenace plan'!$B:$G,6,FALSE)</f>
        <v>100801</v>
      </c>
      <c r="F3384" s="347" t="s">
        <v>4833</v>
      </c>
      <c r="G3384" s="348" t="s">
        <v>1916</v>
      </c>
      <c r="H3384" s="348" t="s">
        <v>4836</v>
      </c>
      <c r="I3384" s="347">
        <v>15</v>
      </c>
      <c r="J3384" s="736"/>
      <c r="K3384" s="736"/>
      <c r="L3384" s="736">
        <v>2</v>
      </c>
      <c r="M3384" s="736"/>
      <c r="N3384" s="736"/>
      <c r="O3384" s="544"/>
      <c r="P3384" s="544"/>
      <c r="Q3384" s="544"/>
      <c r="R3384" s="413" t="s">
        <v>3330</v>
      </c>
      <c r="S3384" s="347"/>
    </row>
    <row r="3385" spans="1:19" ht="15.75" thickBot="1" x14ac:dyDescent="0.3">
      <c r="A3385" t="s">
        <v>3317</v>
      </c>
      <c r="B3385" s="438" t="s">
        <v>1908</v>
      </c>
      <c r="C3385" s="51"/>
      <c r="D3385" s="346">
        <v>610000004367</v>
      </c>
      <c r="E3385" s="347">
        <f>VLOOKUP(D3385,'[1]Task list &amp; Maintenace plan'!$B:$G,6,FALSE)</f>
        <v>100801</v>
      </c>
      <c r="F3385" s="347" t="s">
        <v>4833</v>
      </c>
      <c r="G3385" s="348" t="s">
        <v>4823</v>
      </c>
      <c r="H3385" s="348" t="s">
        <v>4837</v>
      </c>
      <c r="I3385" s="347">
        <v>15</v>
      </c>
      <c r="J3385" s="736">
        <v>1</v>
      </c>
      <c r="K3385" s="736"/>
      <c r="L3385" s="736">
        <v>2</v>
      </c>
      <c r="M3385" s="736"/>
      <c r="N3385" s="736"/>
      <c r="O3385" s="544"/>
      <c r="P3385" s="544"/>
      <c r="Q3385" s="544"/>
      <c r="R3385" s="413" t="s">
        <v>3159</v>
      </c>
      <c r="S3385" s="347"/>
    </row>
    <row r="3386" spans="1:19" ht="15.75" thickBot="1" x14ac:dyDescent="0.3">
      <c r="A3386" t="s">
        <v>3317</v>
      </c>
      <c r="B3386" s="438" t="s">
        <v>1908</v>
      </c>
      <c r="C3386" s="51"/>
      <c r="D3386" s="346">
        <v>610000004367</v>
      </c>
      <c r="E3386" s="347">
        <f>VLOOKUP(D3386,'[1]Task list &amp; Maintenace plan'!$B:$G,6,FALSE)</f>
        <v>100801</v>
      </c>
      <c r="F3386" s="347" t="s">
        <v>4833</v>
      </c>
      <c r="G3386" s="348" t="s">
        <v>4823</v>
      </c>
      <c r="H3386" s="348" t="s">
        <v>4838</v>
      </c>
      <c r="I3386" s="347">
        <v>15</v>
      </c>
      <c r="J3386" s="736">
        <v>1</v>
      </c>
      <c r="K3386" s="736"/>
      <c r="L3386" s="736">
        <v>2</v>
      </c>
      <c r="M3386" s="736"/>
      <c r="N3386" s="736"/>
      <c r="O3386" s="544"/>
      <c r="P3386" s="544"/>
      <c r="Q3386" s="544"/>
      <c r="R3386" s="413" t="s">
        <v>3159</v>
      </c>
      <c r="S3386" s="347"/>
    </row>
    <row r="3387" spans="1:19" ht="15.75" thickBot="1" x14ac:dyDescent="0.3">
      <c r="A3387" t="s">
        <v>3317</v>
      </c>
      <c r="B3387" s="438" t="s">
        <v>1908</v>
      </c>
      <c r="C3387" s="51"/>
      <c r="D3387" s="346">
        <v>610000004367</v>
      </c>
      <c r="E3387" s="347">
        <f>VLOOKUP(D3387,'[1]Task list &amp; Maintenace plan'!$B:$G,6,FALSE)</f>
        <v>100801</v>
      </c>
      <c r="F3387" s="347" t="s">
        <v>4833</v>
      </c>
      <c r="G3387" s="348" t="s">
        <v>4823</v>
      </c>
      <c r="H3387" s="348" t="s">
        <v>4839</v>
      </c>
      <c r="I3387" s="347">
        <v>15</v>
      </c>
      <c r="J3387" s="736"/>
      <c r="K3387" s="736"/>
      <c r="L3387" s="736">
        <v>2</v>
      </c>
      <c r="M3387" s="736"/>
      <c r="N3387" s="736"/>
      <c r="O3387" s="544"/>
      <c r="P3387" s="544"/>
      <c r="Q3387" s="544"/>
      <c r="R3387" s="413" t="s">
        <v>3159</v>
      </c>
      <c r="S3387" s="347"/>
    </row>
    <row r="3388" spans="1:19" ht="15.75" thickBot="1" x14ac:dyDescent="0.3">
      <c r="A3388" t="s">
        <v>3317</v>
      </c>
      <c r="B3388" s="438" t="s">
        <v>1908</v>
      </c>
      <c r="C3388" s="51"/>
      <c r="D3388" s="346">
        <v>610000004367</v>
      </c>
      <c r="E3388" s="347">
        <f>VLOOKUP(D3388,'[1]Task list &amp; Maintenace plan'!$B:$G,6,FALSE)</f>
        <v>100801</v>
      </c>
      <c r="F3388" s="347" t="s">
        <v>4833</v>
      </c>
      <c r="G3388" s="348" t="s">
        <v>4823</v>
      </c>
      <c r="H3388" s="348" t="s">
        <v>4840</v>
      </c>
      <c r="I3388" s="347">
        <v>15</v>
      </c>
      <c r="J3388" s="736"/>
      <c r="K3388" s="736"/>
      <c r="L3388" s="736">
        <v>2</v>
      </c>
      <c r="M3388" s="736"/>
      <c r="N3388" s="736"/>
      <c r="O3388" s="544"/>
      <c r="P3388" s="544"/>
      <c r="Q3388" s="544"/>
      <c r="R3388" s="413" t="s">
        <v>3159</v>
      </c>
      <c r="S3388" s="347"/>
    </row>
    <row r="3389" spans="1:19" ht="15.75" thickBot="1" x14ac:dyDescent="0.3">
      <c r="A3389" t="s">
        <v>3317</v>
      </c>
      <c r="B3389" s="438" t="s">
        <v>1908</v>
      </c>
      <c r="C3389" s="51"/>
      <c r="D3389" s="346">
        <v>610000004367</v>
      </c>
      <c r="E3389" s="347">
        <f>VLOOKUP(D3389,'[1]Task list &amp; Maintenace plan'!$B:$G,6,FALSE)</f>
        <v>100801</v>
      </c>
      <c r="F3389" s="347" t="s">
        <v>4833</v>
      </c>
      <c r="G3389" s="348" t="s">
        <v>4823</v>
      </c>
      <c r="H3389" s="348" t="s">
        <v>4841</v>
      </c>
      <c r="I3389" s="347">
        <v>15</v>
      </c>
      <c r="J3389" s="736"/>
      <c r="K3389" s="736"/>
      <c r="L3389" s="736">
        <v>2</v>
      </c>
      <c r="M3389" s="736"/>
      <c r="N3389" s="736"/>
      <c r="O3389" s="544"/>
      <c r="P3389" s="544"/>
      <c r="Q3389" s="544"/>
      <c r="R3389" s="413" t="s">
        <v>3330</v>
      </c>
      <c r="S3389" s="347"/>
    </row>
    <row r="3390" spans="1:19" ht="15.75" thickBot="1" x14ac:dyDescent="0.3">
      <c r="A3390" t="s">
        <v>3317</v>
      </c>
      <c r="B3390" s="438" t="s">
        <v>1908</v>
      </c>
      <c r="C3390" s="51"/>
      <c r="D3390" s="346">
        <v>610000004367</v>
      </c>
      <c r="E3390" s="347">
        <f>VLOOKUP(D3390,'[1]Task list &amp; Maintenace plan'!$B:$G,6,FALSE)</f>
        <v>100801</v>
      </c>
      <c r="F3390" s="347" t="s">
        <v>4833</v>
      </c>
      <c r="G3390" s="348" t="s">
        <v>4823</v>
      </c>
      <c r="H3390" s="348" t="s">
        <v>4842</v>
      </c>
      <c r="I3390" s="347">
        <v>15</v>
      </c>
      <c r="J3390" s="736"/>
      <c r="K3390" s="736"/>
      <c r="L3390" s="736">
        <v>2</v>
      </c>
      <c r="M3390" s="736"/>
      <c r="N3390" s="736"/>
      <c r="O3390" s="544"/>
      <c r="P3390" s="544"/>
      <c r="Q3390" s="544"/>
      <c r="R3390" s="413" t="s">
        <v>3330</v>
      </c>
      <c r="S3390" s="347"/>
    </row>
    <row r="3391" spans="1:19" ht="15.75" thickBot="1" x14ac:dyDescent="0.3">
      <c r="A3391" t="s">
        <v>3317</v>
      </c>
      <c r="B3391" s="438" t="s">
        <v>1908</v>
      </c>
      <c r="C3391" s="51"/>
      <c r="D3391" s="349">
        <v>610000004367</v>
      </c>
      <c r="E3391" s="350">
        <f>VLOOKUP(D3391,'[1]Task list &amp; Maintenace plan'!$B:$G,6,FALSE)</f>
        <v>100801</v>
      </c>
      <c r="F3391" s="350" t="s">
        <v>4833</v>
      </c>
      <c r="G3391" s="351" t="s">
        <v>1916</v>
      </c>
      <c r="H3391" s="351" t="s">
        <v>4843</v>
      </c>
      <c r="I3391" s="350">
        <v>15</v>
      </c>
      <c r="J3391" s="737">
        <v>1</v>
      </c>
      <c r="K3391" s="737"/>
      <c r="L3391" s="737">
        <v>2</v>
      </c>
      <c r="M3391" s="737"/>
      <c r="N3391" s="737"/>
      <c r="O3391" s="544"/>
      <c r="P3391" s="544"/>
      <c r="Q3391" s="544"/>
      <c r="R3391" s="414" t="s">
        <v>3159</v>
      </c>
      <c r="S3391" s="350"/>
    </row>
    <row r="3392" spans="1:19" ht="15.75" thickBot="1" x14ac:dyDescent="0.3">
      <c r="A3392" t="s">
        <v>3317</v>
      </c>
      <c r="B3392" s="438" t="s">
        <v>1908</v>
      </c>
      <c r="C3392" s="51"/>
      <c r="D3392" s="343">
        <v>610000004368</v>
      </c>
      <c r="E3392" s="344">
        <f>VLOOKUP(D3392,'[1]Task list &amp; Maintenace plan'!$B:$G,6,FALSE)</f>
        <v>100802</v>
      </c>
      <c r="F3392" s="344" t="s">
        <v>4844</v>
      </c>
      <c r="G3392" s="345" t="s">
        <v>4820</v>
      </c>
      <c r="H3392" s="345" t="s">
        <v>4845</v>
      </c>
      <c r="I3392" s="344">
        <v>30</v>
      </c>
      <c r="J3392" s="733"/>
      <c r="K3392" s="733">
        <v>30</v>
      </c>
      <c r="L3392" s="733">
        <v>1</v>
      </c>
      <c r="M3392" s="733">
        <f>K3392*L3392</f>
        <v>30</v>
      </c>
      <c r="N3392" s="733" t="s">
        <v>20</v>
      </c>
      <c r="O3392" s="544"/>
      <c r="P3392" s="544"/>
      <c r="Q3392" s="544"/>
      <c r="R3392" s="418"/>
      <c r="S3392" s="344"/>
    </row>
    <row r="3393" spans="1:19" ht="15.75" thickBot="1" x14ac:dyDescent="0.3">
      <c r="A3393" t="s">
        <v>3317</v>
      </c>
      <c r="B3393" s="438" t="s">
        <v>1908</v>
      </c>
      <c r="C3393" s="51"/>
      <c r="D3393" s="346">
        <v>610000004368</v>
      </c>
      <c r="E3393" s="347">
        <f>VLOOKUP(D3393,'[1]Task list &amp; Maintenace plan'!$B:$G,6,FALSE)</f>
        <v>100802</v>
      </c>
      <c r="F3393" s="347" t="s">
        <v>4844</v>
      </c>
      <c r="G3393" s="348" t="s">
        <v>4820</v>
      </c>
      <c r="H3393" s="348" t="s">
        <v>4846</v>
      </c>
      <c r="I3393" s="347">
        <v>30</v>
      </c>
      <c r="J3393" s="736"/>
      <c r="K3393" s="736"/>
      <c r="L3393" s="736">
        <v>1</v>
      </c>
      <c r="M3393" s="736"/>
      <c r="N3393" s="736"/>
      <c r="O3393" s="544"/>
      <c r="P3393" s="544"/>
      <c r="Q3393" s="544"/>
      <c r="R3393" s="413" t="s">
        <v>4847</v>
      </c>
      <c r="S3393" s="347"/>
    </row>
    <row r="3394" spans="1:19" ht="15.75" thickBot="1" x14ac:dyDescent="0.3">
      <c r="A3394" t="s">
        <v>3317</v>
      </c>
      <c r="B3394" s="438" t="s">
        <v>1908</v>
      </c>
      <c r="C3394" s="51"/>
      <c r="D3394" s="346">
        <v>610000004368</v>
      </c>
      <c r="E3394" s="347">
        <f>VLOOKUP(D3394,'[1]Task list &amp; Maintenace plan'!$B:$G,6,FALSE)</f>
        <v>100802</v>
      </c>
      <c r="F3394" s="347" t="s">
        <v>4844</v>
      </c>
      <c r="G3394" s="348" t="s">
        <v>4820</v>
      </c>
      <c r="H3394" s="348" t="s">
        <v>4848</v>
      </c>
      <c r="I3394" s="347">
        <v>30</v>
      </c>
      <c r="J3394" s="736"/>
      <c r="K3394" s="736"/>
      <c r="L3394" s="736">
        <v>1</v>
      </c>
      <c r="M3394" s="736"/>
      <c r="N3394" s="736"/>
      <c r="O3394" s="544"/>
      <c r="P3394" s="544"/>
      <c r="Q3394" s="544"/>
      <c r="R3394" s="413" t="s">
        <v>4849</v>
      </c>
      <c r="S3394" s="347"/>
    </row>
    <row r="3395" spans="1:19" ht="15.75" thickBot="1" x14ac:dyDescent="0.3">
      <c r="A3395" t="s">
        <v>3317</v>
      </c>
      <c r="B3395" s="438" t="s">
        <v>1908</v>
      </c>
      <c r="C3395" s="51"/>
      <c r="D3395" s="346">
        <v>610000004368</v>
      </c>
      <c r="E3395" s="347">
        <f>VLOOKUP(D3395,'[1]Task list &amp; Maintenace plan'!$B:$G,6,FALSE)</f>
        <v>100802</v>
      </c>
      <c r="F3395" s="347" t="s">
        <v>4844</v>
      </c>
      <c r="G3395" s="348" t="s">
        <v>1913</v>
      </c>
      <c r="H3395" s="348" t="s">
        <v>4850</v>
      </c>
      <c r="I3395" s="347">
        <v>30</v>
      </c>
      <c r="J3395" s="736"/>
      <c r="K3395" s="736"/>
      <c r="L3395" s="736">
        <v>1</v>
      </c>
      <c r="M3395" s="736"/>
      <c r="N3395" s="736"/>
      <c r="O3395" s="544"/>
      <c r="P3395" s="544"/>
      <c r="Q3395" s="544"/>
      <c r="R3395" s="413" t="s">
        <v>4851</v>
      </c>
      <c r="S3395" s="347"/>
    </row>
    <row r="3396" spans="1:19" ht="15.75" thickBot="1" x14ac:dyDescent="0.3">
      <c r="A3396" t="s">
        <v>3317</v>
      </c>
      <c r="B3396" s="438" t="s">
        <v>1908</v>
      </c>
      <c r="C3396" s="51"/>
      <c r="D3396" s="346">
        <v>610000004368</v>
      </c>
      <c r="E3396" s="347">
        <f>VLOOKUP(D3396,'[1]Task list &amp; Maintenace plan'!$B:$G,6,FALSE)</f>
        <v>100802</v>
      </c>
      <c r="F3396" s="347" t="s">
        <v>4844</v>
      </c>
      <c r="G3396" s="348" t="s">
        <v>4823</v>
      </c>
      <c r="H3396" s="348" t="s">
        <v>4852</v>
      </c>
      <c r="I3396" s="347">
        <v>30</v>
      </c>
      <c r="J3396" s="736"/>
      <c r="K3396" s="736"/>
      <c r="L3396" s="736">
        <v>1</v>
      </c>
      <c r="M3396" s="736"/>
      <c r="N3396" s="736"/>
      <c r="O3396" s="544"/>
      <c r="P3396" s="544"/>
      <c r="Q3396" s="544"/>
      <c r="R3396" s="413"/>
      <c r="S3396" s="347"/>
    </row>
    <row r="3397" spans="1:19" ht="15.75" thickBot="1" x14ac:dyDescent="0.3">
      <c r="A3397" t="s">
        <v>3317</v>
      </c>
      <c r="B3397" s="438" t="s">
        <v>1908</v>
      </c>
      <c r="C3397" s="51"/>
      <c r="D3397" s="346">
        <v>610000004368</v>
      </c>
      <c r="E3397" s="347">
        <f>VLOOKUP(D3397,'[1]Task list &amp; Maintenace plan'!$B:$G,6,FALSE)</f>
        <v>100802</v>
      </c>
      <c r="F3397" s="347" t="s">
        <v>4844</v>
      </c>
      <c r="G3397" s="348" t="s">
        <v>4823</v>
      </c>
      <c r="H3397" s="348" t="s">
        <v>4853</v>
      </c>
      <c r="I3397" s="347">
        <v>30</v>
      </c>
      <c r="J3397" s="736"/>
      <c r="K3397" s="736"/>
      <c r="L3397" s="736">
        <v>1</v>
      </c>
      <c r="M3397" s="736"/>
      <c r="N3397" s="736"/>
      <c r="O3397" s="544"/>
      <c r="P3397" s="544"/>
      <c r="Q3397" s="544"/>
      <c r="R3397" s="413" t="s">
        <v>4847</v>
      </c>
      <c r="S3397" s="347"/>
    </row>
    <row r="3398" spans="1:19" ht="15.75" thickBot="1" x14ac:dyDescent="0.3">
      <c r="A3398" t="s">
        <v>3317</v>
      </c>
      <c r="B3398" s="438" t="s">
        <v>1908</v>
      </c>
      <c r="C3398" s="51"/>
      <c r="D3398" s="346">
        <v>610000004368</v>
      </c>
      <c r="E3398" s="347">
        <f>VLOOKUP(D3398,'[1]Task list &amp; Maintenace plan'!$B:$G,6,FALSE)</f>
        <v>100802</v>
      </c>
      <c r="F3398" s="347" t="s">
        <v>4844</v>
      </c>
      <c r="G3398" s="348" t="s">
        <v>4823</v>
      </c>
      <c r="H3398" s="348" t="s">
        <v>4854</v>
      </c>
      <c r="I3398" s="347">
        <v>30</v>
      </c>
      <c r="J3398" s="736"/>
      <c r="K3398" s="736"/>
      <c r="L3398" s="736">
        <v>1</v>
      </c>
      <c r="M3398" s="736"/>
      <c r="N3398" s="736"/>
      <c r="O3398" s="544"/>
      <c r="P3398" s="544"/>
      <c r="Q3398" s="544"/>
      <c r="R3398" s="413" t="s">
        <v>4849</v>
      </c>
      <c r="S3398" s="347"/>
    </row>
    <row r="3399" spans="1:19" ht="15.75" thickBot="1" x14ac:dyDescent="0.3">
      <c r="A3399" t="s">
        <v>3317</v>
      </c>
      <c r="B3399" s="438" t="s">
        <v>1908</v>
      </c>
      <c r="C3399" s="51"/>
      <c r="D3399" s="349">
        <v>610000004368</v>
      </c>
      <c r="E3399" s="350">
        <f>VLOOKUP(D3399,'[1]Task list &amp; Maintenace plan'!$B:$G,6,FALSE)</f>
        <v>100802</v>
      </c>
      <c r="F3399" s="350" t="s">
        <v>4844</v>
      </c>
      <c r="G3399" s="351" t="s">
        <v>1916</v>
      </c>
      <c r="H3399" s="351" t="s">
        <v>4855</v>
      </c>
      <c r="I3399" s="350">
        <v>30</v>
      </c>
      <c r="J3399" s="737"/>
      <c r="K3399" s="737"/>
      <c r="L3399" s="737">
        <v>1</v>
      </c>
      <c r="M3399" s="737"/>
      <c r="N3399" s="737"/>
      <c r="O3399" s="544"/>
      <c r="P3399" s="544"/>
      <c r="Q3399" s="544"/>
      <c r="R3399" s="414" t="s">
        <v>4851</v>
      </c>
      <c r="S3399" s="350"/>
    </row>
    <row r="3400" spans="1:19" ht="15.75" thickBot="1" x14ac:dyDescent="0.3">
      <c r="A3400" t="s">
        <v>3317</v>
      </c>
      <c r="B3400" s="438" t="s">
        <v>1908</v>
      </c>
      <c r="C3400" s="51"/>
      <c r="D3400" s="417">
        <v>343937</v>
      </c>
      <c r="E3400" s="421">
        <f>VLOOKUP(D3400,'[1]Task list &amp; Maintenace plan'!$B:$G,6,FALSE)</f>
        <v>755</v>
      </c>
      <c r="F3400" s="421" t="s">
        <v>4856</v>
      </c>
      <c r="G3400" s="420" t="s">
        <v>4820</v>
      </c>
      <c r="H3400" s="420" t="s">
        <v>4857</v>
      </c>
      <c r="I3400" s="421">
        <v>120</v>
      </c>
      <c r="J3400" s="733">
        <v>1</v>
      </c>
      <c r="K3400" s="733">
        <v>45</v>
      </c>
      <c r="L3400" s="733">
        <v>2</v>
      </c>
      <c r="M3400" s="733">
        <f t="shared" ref="M3400:M3463" si="24">K3400*L3400</f>
        <v>90</v>
      </c>
      <c r="N3400" s="733" t="s">
        <v>468</v>
      </c>
      <c r="O3400" s="544"/>
      <c r="P3400" s="544"/>
      <c r="Q3400" s="544"/>
      <c r="R3400" s="422"/>
      <c r="S3400" s="421"/>
    </row>
    <row r="3401" spans="1:19" ht="15.75" thickBot="1" x14ac:dyDescent="0.3">
      <c r="A3401" t="s">
        <v>3317</v>
      </c>
      <c r="B3401" s="438" t="s">
        <v>1908</v>
      </c>
      <c r="C3401" s="51"/>
      <c r="D3401" s="360">
        <v>343937</v>
      </c>
      <c r="E3401" s="361">
        <f>VLOOKUP(D3401,'[1]Task list &amp; Maintenace plan'!$B:$G,6,FALSE)</f>
        <v>755</v>
      </c>
      <c r="F3401" s="361" t="s">
        <v>4856</v>
      </c>
      <c r="G3401" s="362" t="s">
        <v>4823</v>
      </c>
      <c r="H3401" s="345" t="s">
        <v>4857</v>
      </c>
      <c r="I3401" s="361">
        <v>120</v>
      </c>
      <c r="J3401" s="737">
        <v>1</v>
      </c>
      <c r="K3401" s="737"/>
      <c r="L3401" s="737">
        <v>2</v>
      </c>
      <c r="M3401" s="737"/>
      <c r="N3401" s="737"/>
      <c r="O3401" s="544"/>
      <c r="P3401" s="544"/>
      <c r="Q3401" s="544"/>
      <c r="R3401" s="419"/>
      <c r="S3401" s="361"/>
    </row>
    <row r="3402" spans="1:19" ht="15.75" thickBot="1" x14ac:dyDescent="0.3">
      <c r="A3402" t="s">
        <v>3317</v>
      </c>
      <c r="B3402" s="438" t="s">
        <v>1908</v>
      </c>
      <c r="C3402" s="51"/>
      <c r="D3402" s="417">
        <v>343938</v>
      </c>
      <c r="E3402" s="421">
        <f>VLOOKUP(D3402,'[1]Task list &amp; Maintenace plan'!$B:$G,6,FALSE)</f>
        <v>768</v>
      </c>
      <c r="F3402" s="421" t="s">
        <v>4858</v>
      </c>
      <c r="G3402" s="420" t="s">
        <v>1913</v>
      </c>
      <c r="H3402" s="420" t="s">
        <v>4859</v>
      </c>
      <c r="I3402" s="421">
        <v>120</v>
      </c>
      <c r="J3402" s="733">
        <v>1</v>
      </c>
      <c r="K3402" s="733">
        <v>45</v>
      </c>
      <c r="L3402" s="733">
        <v>2</v>
      </c>
      <c r="M3402" s="733">
        <f t="shared" si="24"/>
        <v>90</v>
      </c>
      <c r="N3402" s="733" t="s">
        <v>468</v>
      </c>
      <c r="O3402" s="544"/>
      <c r="P3402" s="544"/>
      <c r="Q3402" s="544"/>
      <c r="R3402" s="422"/>
      <c r="S3402" s="421"/>
    </row>
    <row r="3403" spans="1:19" ht="15.75" thickBot="1" x14ac:dyDescent="0.3">
      <c r="A3403" t="s">
        <v>3317</v>
      </c>
      <c r="B3403" s="438" t="s">
        <v>1908</v>
      </c>
      <c r="C3403" s="51"/>
      <c r="D3403" s="360">
        <v>343938</v>
      </c>
      <c r="E3403" s="361">
        <f>VLOOKUP(D3403,'[1]Task list &amp; Maintenace plan'!$B:$G,6,FALSE)</f>
        <v>768</v>
      </c>
      <c r="F3403" s="361" t="s">
        <v>4858</v>
      </c>
      <c r="G3403" s="362" t="s">
        <v>1916</v>
      </c>
      <c r="H3403" s="345" t="s">
        <v>4859</v>
      </c>
      <c r="I3403" s="361">
        <v>120</v>
      </c>
      <c r="J3403" s="737">
        <v>1</v>
      </c>
      <c r="K3403" s="737"/>
      <c r="L3403" s="737">
        <v>2</v>
      </c>
      <c r="M3403" s="737"/>
      <c r="N3403" s="737"/>
      <c r="O3403" s="544"/>
      <c r="P3403" s="544"/>
      <c r="Q3403" s="544"/>
      <c r="R3403" s="419"/>
      <c r="S3403" s="361"/>
    </row>
    <row r="3404" spans="1:19" ht="15.75" thickBot="1" x14ac:dyDescent="0.3">
      <c r="A3404" t="s">
        <v>3317</v>
      </c>
      <c r="B3404" s="438" t="s">
        <v>1908</v>
      </c>
      <c r="C3404" s="51"/>
      <c r="D3404" s="417">
        <v>342338</v>
      </c>
      <c r="E3404" s="421">
        <f>VLOOKUP(D3404,'[1]Task list &amp; Maintenace plan'!$B:$G,6,FALSE)</f>
        <v>502</v>
      </c>
      <c r="F3404" s="421" t="s">
        <v>4860</v>
      </c>
      <c r="G3404" s="420" t="s">
        <v>4820</v>
      </c>
      <c r="H3404" s="420" t="s">
        <v>4861</v>
      </c>
      <c r="I3404" s="421">
        <v>180</v>
      </c>
      <c r="J3404" s="733">
        <v>1</v>
      </c>
      <c r="K3404" s="733">
        <v>120</v>
      </c>
      <c r="L3404" s="733">
        <v>2</v>
      </c>
      <c r="M3404" s="733">
        <f t="shared" si="24"/>
        <v>240</v>
      </c>
      <c r="N3404" s="733" t="s">
        <v>20</v>
      </c>
      <c r="O3404" s="544"/>
      <c r="P3404" s="544"/>
      <c r="Q3404" s="544"/>
      <c r="R3404" s="422"/>
      <c r="S3404" s="421"/>
    </row>
    <row r="3405" spans="1:19" ht="15.75" thickBot="1" x14ac:dyDescent="0.3">
      <c r="A3405" t="s">
        <v>3317</v>
      </c>
      <c r="B3405" s="438" t="s">
        <v>1908</v>
      </c>
      <c r="C3405" s="51"/>
      <c r="D3405" s="346">
        <v>342338</v>
      </c>
      <c r="E3405" s="347">
        <f>VLOOKUP(D3405,'[1]Task list &amp; Maintenace plan'!$B:$G,6,FALSE)</f>
        <v>502</v>
      </c>
      <c r="F3405" s="347" t="s">
        <v>4860</v>
      </c>
      <c r="G3405" s="348" t="s">
        <v>4823</v>
      </c>
      <c r="H3405" s="348" t="s">
        <v>4862</v>
      </c>
      <c r="I3405" s="347">
        <v>180</v>
      </c>
      <c r="J3405" s="736">
        <v>1</v>
      </c>
      <c r="K3405" s="736"/>
      <c r="L3405" s="736">
        <v>2</v>
      </c>
      <c r="M3405" s="736"/>
      <c r="N3405" s="736"/>
      <c r="O3405" s="544"/>
      <c r="P3405" s="544"/>
      <c r="Q3405" s="544"/>
      <c r="R3405" s="413"/>
      <c r="S3405" s="347"/>
    </row>
    <row r="3406" spans="1:19" ht="15.75" thickBot="1" x14ac:dyDescent="0.3">
      <c r="A3406" t="s">
        <v>3317</v>
      </c>
      <c r="B3406" s="438" t="s">
        <v>1908</v>
      </c>
      <c r="C3406" s="51"/>
      <c r="D3406" s="415">
        <v>342338</v>
      </c>
      <c r="E3406" s="493">
        <f>VLOOKUP(D3406,'[1]Task list &amp; Maintenace plan'!$B:$G,6,FALSE)</f>
        <v>502</v>
      </c>
      <c r="F3406" s="493" t="s">
        <v>4860</v>
      </c>
      <c r="G3406" s="494" t="s">
        <v>510</v>
      </c>
      <c r="H3406" s="494" t="s">
        <v>4863</v>
      </c>
      <c r="I3406" s="493">
        <v>180</v>
      </c>
      <c r="J3406" s="736">
        <v>1</v>
      </c>
      <c r="K3406" s="736"/>
      <c r="L3406" s="736">
        <v>2</v>
      </c>
      <c r="M3406" s="736"/>
      <c r="N3406" s="736"/>
      <c r="O3406" s="544"/>
      <c r="P3406" s="544"/>
      <c r="Q3406" s="544"/>
      <c r="R3406" s="641"/>
      <c r="S3406" s="493"/>
    </row>
    <row r="3407" spans="1:19" ht="15.75" thickBot="1" x14ac:dyDescent="0.3">
      <c r="A3407" t="s">
        <v>3317</v>
      </c>
      <c r="B3407" s="438" t="s">
        <v>1908</v>
      </c>
      <c r="C3407" s="51"/>
      <c r="D3407" s="415">
        <v>342338</v>
      </c>
      <c r="E3407" s="493">
        <f>VLOOKUP(D3407,'[1]Task list &amp; Maintenace plan'!$B:$G,6,FALSE)</f>
        <v>502</v>
      </c>
      <c r="F3407" s="493" t="s">
        <v>4860</v>
      </c>
      <c r="G3407" s="494" t="s">
        <v>1918</v>
      </c>
      <c r="H3407" s="494" t="s">
        <v>4864</v>
      </c>
      <c r="I3407" s="493">
        <v>180</v>
      </c>
      <c r="J3407" s="736">
        <v>1</v>
      </c>
      <c r="K3407" s="736"/>
      <c r="L3407" s="736">
        <v>2</v>
      </c>
      <c r="M3407" s="736"/>
      <c r="N3407" s="736"/>
      <c r="O3407" s="544"/>
      <c r="P3407" s="544"/>
      <c r="Q3407" s="544"/>
      <c r="R3407" s="641"/>
      <c r="S3407" s="493"/>
    </row>
    <row r="3408" spans="1:19" ht="15.75" thickBot="1" x14ac:dyDescent="0.3">
      <c r="A3408" t="s">
        <v>3317</v>
      </c>
      <c r="B3408" s="438" t="s">
        <v>1908</v>
      </c>
      <c r="C3408" s="51"/>
      <c r="D3408" s="466">
        <v>342338</v>
      </c>
      <c r="E3408" s="467">
        <f>VLOOKUP(D3408,'[1]Task list &amp; Maintenace plan'!$B:$G,6,FALSE)</f>
        <v>502</v>
      </c>
      <c r="F3408" s="467" t="s">
        <v>4860</v>
      </c>
      <c r="G3408" s="468" t="s">
        <v>1920</v>
      </c>
      <c r="H3408" s="468" t="s">
        <v>4865</v>
      </c>
      <c r="I3408" s="467">
        <v>180</v>
      </c>
      <c r="J3408" s="738">
        <v>1</v>
      </c>
      <c r="K3408" s="738"/>
      <c r="L3408" s="738">
        <v>2</v>
      </c>
      <c r="M3408" s="738"/>
      <c r="N3408" s="738"/>
      <c r="O3408" s="544"/>
      <c r="P3408" s="544"/>
      <c r="Q3408" s="544"/>
      <c r="R3408" s="543"/>
      <c r="S3408" s="467"/>
    </row>
    <row r="3409" spans="1:19" ht="15.75" thickBot="1" x14ac:dyDescent="0.3">
      <c r="A3409" t="s">
        <v>3317</v>
      </c>
      <c r="B3409" s="438" t="s">
        <v>1908</v>
      </c>
      <c r="C3409" s="643"/>
      <c r="D3409" s="555">
        <v>343521</v>
      </c>
      <c r="E3409" s="557">
        <f>VLOOKUP(D3409,'[1]Task list &amp; Maintenace plan'!$B:$G,6,FALSE)</f>
        <v>724</v>
      </c>
      <c r="F3409" s="557" t="s">
        <v>4866</v>
      </c>
      <c r="G3409" s="556" t="s">
        <v>1955</v>
      </c>
      <c r="H3409" s="556" t="s">
        <v>4867</v>
      </c>
      <c r="I3409" s="557">
        <v>7</v>
      </c>
      <c r="J3409" s="739">
        <v>1</v>
      </c>
      <c r="K3409" s="739">
        <v>30</v>
      </c>
      <c r="L3409" s="739">
        <v>2</v>
      </c>
      <c r="M3409" s="739">
        <f t="shared" si="24"/>
        <v>60</v>
      </c>
      <c r="N3409" s="739" t="s">
        <v>20</v>
      </c>
      <c r="O3409" s="544"/>
      <c r="P3409" s="544"/>
      <c r="Q3409" s="544"/>
      <c r="R3409" s="558"/>
      <c r="S3409" s="557"/>
    </row>
    <row r="3410" spans="1:19" ht="15.75" thickBot="1" x14ac:dyDescent="0.3">
      <c r="A3410" t="s">
        <v>3317</v>
      </c>
      <c r="B3410" s="438" t="s">
        <v>1908</v>
      </c>
      <c r="C3410" s="51"/>
      <c r="D3410" s="346">
        <v>343521</v>
      </c>
      <c r="E3410" s="347">
        <f>VLOOKUP(D3410,'[1]Task list &amp; Maintenace plan'!$B:$G,6,FALSE)</f>
        <v>724</v>
      </c>
      <c r="F3410" s="347" t="s">
        <v>4866</v>
      </c>
      <c r="G3410" s="348" t="s">
        <v>1959</v>
      </c>
      <c r="H3410" s="348" t="s">
        <v>4868</v>
      </c>
      <c r="I3410" s="347">
        <v>7</v>
      </c>
      <c r="J3410" s="736">
        <v>1</v>
      </c>
      <c r="K3410" s="736"/>
      <c r="L3410" s="736"/>
      <c r="M3410" s="736"/>
      <c r="N3410" s="736"/>
      <c r="O3410" s="544"/>
      <c r="P3410" s="544"/>
      <c r="Q3410" s="544"/>
      <c r="R3410" s="413"/>
      <c r="S3410" s="347"/>
    </row>
    <row r="3411" spans="1:19" ht="15.75" thickBot="1" x14ac:dyDescent="0.3">
      <c r="A3411" t="s">
        <v>3317</v>
      </c>
      <c r="B3411" s="438" t="s">
        <v>1908</v>
      </c>
      <c r="C3411" s="51"/>
      <c r="D3411" s="346">
        <v>343521</v>
      </c>
      <c r="E3411" s="347">
        <v>724</v>
      </c>
      <c r="F3411" s="347" t="s">
        <v>4866</v>
      </c>
      <c r="G3411" s="348" t="s">
        <v>1955</v>
      </c>
      <c r="H3411" s="348" t="s">
        <v>4869</v>
      </c>
      <c r="I3411" s="347">
        <v>7</v>
      </c>
      <c r="J3411" s="736">
        <v>1</v>
      </c>
      <c r="K3411" s="736"/>
      <c r="L3411" s="736"/>
      <c r="M3411" s="736"/>
      <c r="N3411" s="736"/>
      <c r="O3411" s="544"/>
      <c r="P3411" s="544"/>
      <c r="Q3411" s="544"/>
      <c r="R3411" s="413"/>
      <c r="S3411" s="347"/>
    </row>
    <row r="3412" spans="1:19" ht="15.75" thickBot="1" x14ac:dyDescent="0.3">
      <c r="A3412" t="s">
        <v>3317</v>
      </c>
      <c r="B3412" s="438" t="s">
        <v>1908</v>
      </c>
      <c r="C3412" s="51"/>
      <c r="D3412" s="349">
        <v>343521</v>
      </c>
      <c r="E3412" s="350">
        <v>724</v>
      </c>
      <c r="F3412" s="350" t="s">
        <v>4866</v>
      </c>
      <c r="G3412" s="351" t="s">
        <v>1959</v>
      </c>
      <c r="H3412" s="351" t="s">
        <v>4870</v>
      </c>
      <c r="I3412" s="350">
        <v>7</v>
      </c>
      <c r="J3412" s="737">
        <v>1</v>
      </c>
      <c r="K3412" s="737"/>
      <c r="L3412" s="737"/>
      <c r="M3412" s="737"/>
      <c r="N3412" s="737"/>
      <c r="O3412" s="544"/>
      <c r="P3412" s="544"/>
      <c r="Q3412" s="544"/>
      <c r="R3412" s="414"/>
      <c r="S3412" s="350"/>
    </row>
    <row r="3413" spans="1:19" ht="15.75" thickBot="1" x14ac:dyDescent="0.3">
      <c r="A3413" t="s">
        <v>3317</v>
      </c>
      <c r="B3413" s="438" t="s">
        <v>1908</v>
      </c>
      <c r="C3413" s="51"/>
      <c r="D3413" s="343">
        <v>610000004369</v>
      </c>
      <c r="E3413" s="344">
        <f>VLOOKUP(D3413,'[1]Task list &amp; Maintenace plan'!$B:$G,6,FALSE)</f>
        <v>100803</v>
      </c>
      <c r="F3413" s="344" t="s">
        <v>4871</v>
      </c>
      <c r="G3413" s="345" t="s">
        <v>1953</v>
      </c>
      <c r="H3413" s="345" t="s">
        <v>4872</v>
      </c>
      <c r="I3413" s="344">
        <v>15</v>
      </c>
      <c r="J3413" s="733">
        <v>1</v>
      </c>
      <c r="K3413" s="733">
        <v>30</v>
      </c>
      <c r="L3413" s="733">
        <v>2</v>
      </c>
      <c r="M3413" s="733">
        <f t="shared" si="24"/>
        <v>60</v>
      </c>
      <c r="N3413" s="733" t="s">
        <v>3174</v>
      </c>
      <c r="O3413" s="544"/>
      <c r="P3413" s="544"/>
      <c r="Q3413" s="544"/>
      <c r="R3413" s="418" t="s">
        <v>3159</v>
      </c>
      <c r="S3413" s="344"/>
    </row>
    <row r="3414" spans="1:19" ht="15.75" thickBot="1" x14ac:dyDescent="0.3">
      <c r="A3414" t="s">
        <v>3317</v>
      </c>
      <c r="B3414" s="438" t="s">
        <v>1908</v>
      </c>
      <c r="C3414" s="51"/>
      <c r="D3414" s="346">
        <v>610000004369</v>
      </c>
      <c r="E3414" s="347">
        <f>VLOOKUP(D3414,'[1]Task list &amp; Maintenace plan'!$B:$G,6,FALSE)</f>
        <v>100803</v>
      </c>
      <c r="F3414" s="347" t="s">
        <v>4871</v>
      </c>
      <c r="G3414" s="348" t="s">
        <v>1955</v>
      </c>
      <c r="H3414" s="348" t="s">
        <v>4873</v>
      </c>
      <c r="I3414" s="347">
        <v>15</v>
      </c>
      <c r="J3414" s="736">
        <v>1</v>
      </c>
      <c r="K3414" s="736"/>
      <c r="L3414" s="736"/>
      <c r="M3414" s="736"/>
      <c r="N3414" s="736"/>
      <c r="O3414" s="544"/>
      <c r="P3414" s="544"/>
      <c r="Q3414" s="544"/>
      <c r="R3414" s="413" t="s">
        <v>3330</v>
      </c>
      <c r="S3414" s="347"/>
    </row>
    <row r="3415" spans="1:19" ht="15.75" thickBot="1" x14ac:dyDescent="0.3">
      <c r="A3415" t="s">
        <v>3317</v>
      </c>
      <c r="B3415" s="438" t="s">
        <v>1908</v>
      </c>
      <c r="C3415" s="51"/>
      <c r="D3415" s="346">
        <v>610000004369</v>
      </c>
      <c r="E3415" s="347">
        <f>VLOOKUP(D3415,'[1]Task list &amp; Maintenace plan'!$B:$G,6,FALSE)</f>
        <v>100803</v>
      </c>
      <c r="F3415" s="347" t="s">
        <v>4871</v>
      </c>
      <c r="G3415" s="348" t="s">
        <v>1967</v>
      </c>
      <c r="H3415" s="348" t="s">
        <v>4874</v>
      </c>
      <c r="I3415" s="347">
        <v>15</v>
      </c>
      <c r="J3415" s="736">
        <v>1</v>
      </c>
      <c r="K3415" s="736"/>
      <c r="L3415" s="736"/>
      <c r="M3415" s="736"/>
      <c r="N3415" s="736"/>
      <c r="O3415" s="544"/>
      <c r="P3415" s="544"/>
      <c r="Q3415" s="544"/>
      <c r="R3415" s="413" t="s">
        <v>3159</v>
      </c>
      <c r="S3415" s="347"/>
    </row>
    <row r="3416" spans="1:19" ht="15.75" thickBot="1" x14ac:dyDescent="0.3">
      <c r="A3416" t="s">
        <v>3317</v>
      </c>
      <c r="B3416" s="438" t="s">
        <v>1908</v>
      </c>
      <c r="C3416" s="51"/>
      <c r="D3416" s="346">
        <v>610000004369</v>
      </c>
      <c r="E3416" s="347">
        <f>VLOOKUP(D3416,'[1]Task list &amp; Maintenace plan'!$B:$G,6,FALSE)</f>
        <v>100803</v>
      </c>
      <c r="F3416" s="347" t="s">
        <v>4871</v>
      </c>
      <c r="G3416" s="348" t="s">
        <v>1955</v>
      </c>
      <c r="H3416" s="348" t="s">
        <v>4875</v>
      </c>
      <c r="I3416" s="347">
        <v>15</v>
      </c>
      <c r="J3416" s="736">
        <v>1</v>
      </c>
      <c r="K3416" s="736"/>
      <c r="L3416" s="736"/>
      <c r="M3416" s="736"/>
      <c r="N3416" s="736"/>
      <c r="O3416" s="544"/>
      <c r="P3416" s="544"/>
      <c r="Q3416" s="544"/>
      <c r="R3416" s="413" t="s">
        <v>3159</v>
      </c>
      <c r="S3416" s="347"/>
    </row>
    <row r="3417" spans="1:19" ht="15.75" thickBot="1" x14ac:dyDescent="0.3">
      <c r="A3417" t="s">
        <v>3317</v>
      </c>
      <c r="B3417" s="438" t="s">
        <v>1908</v>
      </c>
      <c r="C3417" s="51"/>
      <c r="D3417" s="346">
        <v>610000004369</v>
      </c>
      <c r="E3417" s="347">
        <f>VLOOKUP(D3417,'[1]Task list &amp; Maintenace plan'!$B:$G,6,FALSE)</f>
        <v>100803</v>
      </c>
      <c r="F3417" s="347" t="s">
        <v>4871</v>
      </c>
      <c r="G3417" s="348" t="s">
        <v>1959</v>
      </c>
      <c r="H3417" s="348" t="s">
        <v>4876</v>
      </c>
      <c r="I3417" s="347">
        <v>15</v>
      </c>
      <c r="J3417" s="736">
        <v>1</v>
      </c>
      <c r="K3417" s="736"/>
      <c r="L3417" s="736"/>
      <c r="M3417" s="736"/>
      <c r="N3417" s="736"/>
      <c r="O3417" s="544"/>
      <c r="P3417" s="544"/>
      <c r="Q3417" s="544"/>
      <c r="R3417" s="413" t="s">
        <v>3330</v>
      </c>
      <c r="S3417" s="347"/>
    </row>
    <row r="3418" spans="1:19" ht="15.75" thickBot="1" x14ac:dyDescent="0.3">
      <c r="A3418" t="s">
        <v>3317</v>
      </c>
      <c r="B3418" s="438" t="s">
        <v>1908</v>
      </c>
      <c r="C3418" s="51"/>
      <c r="D3418" s="346">
        <v>610000004369</v>
      </c>
      <c r="E3418" s="347">
        <f>VLOOKUP(D3418,'[1]Task list &amp; Maintenace plan'!$B:$G,6,FALSE)</f>
        <v>100803</v>
      </c>
      <c r="F3418" s="347" t="s">
        <v>4871</v>
      </c>
      <c r="G3418" s="348" t="s">
        <v>1959</v>
      </c>
      <c r="H3418" s="348" t="s">
        <v>4877</v>
      </c>
      <c r="I3418" s="347">
        <v>15</v>
      </c>
      <c r="J3418" s="736">
        <v>1</v>
      </c>
      <c r="K3418" s="736"/>
      <c r="L3418" s="736"/>
      <c r="M3418" s="736"/>
      <c r="N3418" s="736"/>
      <c r="O3418" s="544"/>
      <c r="P3418" s="544"/>
      <c r="Q3418" s="544"/>
      <c r="R3418" s="413" t="s">
        <v>3330</v>
      </c>
      <c r="S3418" s="347"/>
    </row>
    <row r="3419" spans="1:19" ht="15.75" thickBot="1" x14ac:dyDescent="0.3">
      <c r="A3419" t="s">
        <v>3317</v>
      </c>
      <c r="B3419" s="438" t="s">
        <v>1908</v>
      </c>
      <c r="C3419" s="51"/>
      <c r="D3419" s="346">
        <v>610000004369</v>
      </c>
      <c r="E3419" s="347">
        <f>VLOOKUP(D3419,'[1]Task list &amp; Maintenace plan'!$B:$G,6,FALSE)</f>
        <v>100803</v>
      </c>
      <c r="F3419" s="347" t="s">
        <v>4871</v>
      </c>
      <c r="G3419" s="348" t="s">
        <v>1955</v>
      </c>
      <c r="H3419" s="348" t="s">
        <v>4878</v>
      </c>
      <c r="I3419" s="347">
        <v>15</v>
      </c>
      <c r="J3419" s="736">
        <v>1</v>
      </c>
      <c r="K3419" s="736"/>
      <c r="L3419" s="736"/>
      <c r="M3419" s="736"/>
      <c r="N3419" s="736"/>
      <c r="O3419" s="544"/>
      <c r="P3419" s="544"/>
      <c r="Q3419" s="544"/>
      <c r="R3419" s="413" t="s">
        <v>3159</v>
      </c>
      <c r="S3419" s="347"/>
    </row>
    <row r="3420" spans="1:19" ht="15.75" thickBot="1" x14ac:dyDescent="0.3">
      <c r="A3420" t="s">
        <v>3317</v>
      </c>
      <c r="B3420" s="438" t="s">
        <v>1908</v>
      </c>
      <c r="C3420" s="51"/>
      <c r="D3420" s="346">
        <v>610000004369</v>
      </c>
      <c r="E3420" s="347">
        <f>VLOOKUP(D3420,'[1]Task list &amp; Maintenace plan'!$B:$G,6,FALSE)</f>
        <v>100803</v>
      </c>
      <c r="F3420" s="347" t="s">
        <v>4871</v>
      </c>
      <c r="G3420" s="348" t="s">
        <v>1957</v>
      </c>
      <c r="H3420" s="348" t="s">
        <v>4879</v>
      </c>
      <c r="I3420" s="347">
        <v>15</v>
      </c>
      <c r="J3420" s="736">
        <v>1</v>
      </c>
      <c r="K3420" s="736"/>
      <c r="L3420" s="736"/>
      <c r="M3420" s="736"/>
      <c r="N3420" s="736"/>
      <c r="O3420" s="544"/>
      <c r="P3420" s="544"/>
      <c r="Q3420" s="544"/>
      <c r="R3420" s="413" t="s">
        <v>3159</v>
      </c>
      <c r="S3420" s="347"/>
    </row>
    <row r="3421" spans="1:19" ht="15.75" thickBot="1" x14ac:dyDescent="0.3">
      <c r="A3421" t="s">
        <v>3317</v>
      </c>
      <c r="B3421" s="438" t="s">
        <v>1908</v>
      </c>
      <c r="C3421" s="51"/>
      <c r="D3421" s="346">
        <v>610000004369</v>
      </c>
      <c r="E3421" s="347">
        <f>VLOOKUP(D3421,'[1]Task list &amp; Maintenace plan'!$B:$G,6,FALSE)</f>
        <v>100803</v>
      </c>
      <c r="F3421" s="347" t="s">
        <v>4871</v>
      </c>
      <c r="G3421" s="348" t="s">
        <v>1959</v>
      </c>
      <c r="H3421" s="348" t="s">
        <v>4880</v>
      </c>
      <c r="I3421" s="347">
        <v>15</v>
      </c>
      <c r="J3421" s="736">
        <v>1</v>
      </c>
      <c r="K3421" s="736"/>
      <c r="L3421" s="736"/>
      <c r="M3421" s="736"/>
      <c r="N3421" s="736"/>
      <c r="O3421" s="544"/>
      <c r="P3421" s="544"/>
      <c r="Q3421" s="544"/>
      <c r="R3421" s="413" t="s">
        <v>3159</v>
      </c>
      <c r="S3421" s="347"/>
    </row>
    <row r="3422" spans="1:19" ht="15.75" thickBot="1" x14ac:dyDescent="0.3">
      <c r="A3422" t="s">
        <v>3317</v>
      </c>
      <c r="B3422" s="438" t="s">
        <v>1908</v>
      </c>
      <c r="C3422" s="51"/>
      <c r="D3422" s="346">
        <v>610000004369</v>
      </c>
      <c r="E3422" s="347">
        <f>VLOOKUP(D3422,'[1]Task list &amp; Maintenace plan'!$B:$G,6,FALSE)</f>
        <v>100803</v>
      </c>
      <c r="F3422" s="347" t="s">
        <v>4871</v>
      </c>
      <c r="G3422" s="348" t="s">
        <v>1955</v>
      </c>
      <c r="H3422" s="348" t="s">
        <v>4881</v>
      </c>
      <c r="I3422" s="347">
        <v>15</v>
      </c>
      <c r="J3422" s="736">
        <v>1</v>
      </c>
      <c r="K3422" s="736"/>
      <c r="L3422" s="736"/>
      <c r="M3422" s="736"/>
      <c r="N3422" s="736"/>
      <c r="O3422" s="544"/>
      <c r="P3422" s="544"/>
      <c r="Q3422" s="544"/>
      <c r="R3422" s="413" t="s">
        <v>3159</v>
      </c>
      <c r="S3422" s="347"/>
    </row>
    <row r="3423" spans="1:19" ht="15.75" thickBot="1" x14ac:dyDescent="0.3">
      <c r="A3423" t="s">
        <v>3317</v>
      </c>
      <c r="B3423" s="438" t="s">
        <v>1908</v>
      </c>
      <c r="C3423" s="51"/>
      <c r="D3423" s="349">
        <v>610000004369</v>
      </c>
      <c r="E3423" s="350">
        <f>VLOOKUP(D3423,'[1]Task list &amp; Maintenace plan'!$B:$G,6,FALSE)</f>
        <v>100803</v>
      </c>
      <c r="F3423" s="350" t="s">
        <v>4871</v>
      </c>
      <c r="G3423" s="351" t="s">
        <v>1959</v>
      </c>
      <c r="H3423" s="351" t="s">
        <v>4882</v>
      </c>
      <c r="I3423" s="350">
        <v>15</v>
      </c>
      <c r="J3423" s="737">
        <v>1</v>
      </c>
      <c r="K3423" s="737"/>
      <c r="L3423" s="737"/>
      <c r="M3423" s="737"/>
      <c r="N3423" s="737"/>
      <c r="O3423" s="544"/>
      <c r="P3423" s="544"/>
      <c r="Q3423" s="544"/>
      <c r="R3423" s="414" t="s">
        <v>3159</v>
      </c>
      <c r="S3423" s="350"/>
    </row>
    <row r="3424" spans="1:19" ht="15.75" thickBot="1" x14ac:dyDescent="0.3">
      <c r="A3424" t="s">
        <v>3317</v>
      </c>
      <c r="B3424" s="438" t="s">
        <v>1908</v>
      </c>
      <c r="C3424" s="51"/>
      <c r="D3424" s="417">
        <v>610000004370</v>
      </c>
      <c r="E3424" s="421">
        <f>VLOOKUP(D3424,'[1]Task list &amp; Maintenace plan'!$B:$G,6,FALSE)</f>
        <v>100804</v>
      </c>
      <c r="F3424" s="421" t="s">
        <v>4883</v>
      </c>
      <c r="G3424" s="420" t="s">
        <v>1955</v>
      </c>
      <c r="H3424" s="420" t="s">
        <v>4884</v>
      </c>
      <c r="I3424" s="421">
        <v>60</v>
      </c>
      <c r="J3424" s="733">
        <v>1</v>
      </c>
      <c r="K3424" s="733">
        <v>30</v>
      </c>
      <c r="L3424" s="733">
        <v>2</v>
      </c>
      <c r="M3424" s="733">
        <f t="shared" si="24"/>
        <v>60</v>
      </c>
      <c r="N3424" s="733" t="s">
        <v>34</v>
      </c>
      <c r="O3424" s="544"/>
      <c r="P3424" s="544"/>
      <c r="Q3424" s="544"/>
      <c r="R3424" s="422"/>
      <c r="S3424" s="421"/>
    </row>
    <row r="3425" spans="1:19" ht="15.75" thickBot="1" x14ac:dyDescent="0.3">
      <c r="A3425" t="s">
        <v>3317</v>
      </c>
      <c r="B3425" s="438" t="s">
        <v>1908</v>
      </c>
      <c r="C3425" s="51"/>
      <c r="D3425" s="349">
        <v>610000004370</v>
      </c>
      <c r="E3425" s="350">
        <f>VLOOKUP(D3425,'[1]Task list &amp; Maintenace plan'!$B:$G,6,FALSE)</f>
        <v>100804</v>
      </c>
      <c r="F3425" s="350" t="s">
        <v>4883</v>
      </c>
      <c r="G3425" s="351" t="s">
        <v>1959</v>
      </c>
      <c r="H3425" s="351" t="s">
        <v>4885</v>
      </c>
      <c r="I3425" s="350">
        <v>60</v>
      </c>
      <c r="J3425" s="737">
        <v>1</v>
      </c>
      <c r="K3425" s="737"/>
      <c r="L3425" s="737"/>
      <c r="M3425" s="737"/>
      <c r="N3425" s="737"/>
      <c r="O3425" s="544"/>
      <c r="P3425" s="544"/>
      <c r="Q3425" s="544"/>
      <c r="R3425" s="414"/>
      <c r="S3425" s="350"/>
    </row>
    <row r="3426" spans="1:19" ht="15.75" thickBot="1" x14ac:dyDescent="0.3">
      <c r="A3426" t="s">
        <v>3317</v>
      </c>
      <c r="B3426" s="438" t="s">
        <v>1908</v>
      </c>
      <c r="C3426" s="51"/>
      <c r="D3426" s="349">
        <v>610000004371</v>
      </c>
      <c r="E3426" s="350">
        <f>VLOOKUP(D3426,'[1]Task list &amp; Maintenace plan'!$B:$G,6,FALSE)</f>
        <v>100805</v>
      </c>
      <c r="F3426" s="350" t="s">
        <v>4886</v>
      </c>
      <c r="G3426" s="351" t="s">
        <v>1955</v>
      </c>
      <c r="H3426" s="351" t="s">
        <v>4887</v>
      </c>
      <c r="I3426" s="350">
        <v>30</v>
      </c>
      <c r="J3426" s="472">
        <v>1</v>
      </c>
      <c r="K3426" s="472">
        <v>30</v>
      </c>
      <c r="L3426" s="472">
        <v>2</v>
      </c>
      <c r="M3426" s="472">
        <f t="shared" si="24"/>
        <v>60</v>
      </c>
      <c r="N3426" s="472" t="s">
        <v>3174</v>
      </c>
      <c r="O3426" s="544"/>
      <c r="P3426" s="544"/>
      <c r="Q3426" s="544"/>
      <c r="R3426" s="414"/>
      <c r="S3426" s="350"/>
    </row>
    <row r="3427" spans="1:19" ht="15.75" thickBot="1" x14ac:dyDescent="0.3">
      <c r="A3427" t="s">
        <v>3317</v>
      </c>
      <c r="B3427" s="438" t="s">
        <v>1908</v>
      </c>
      <c r="C3427" s="51"/>
      <c r="D3427" s="343">
        <v>610000004372</v>
      </c>
      <c r="E3427" s="344">
        <f>VLOOKUP(D3427,'[1]Task list &amp; Maintenace plan'!$B:$G,6,FALSE)</f>
        <v>100806</v>
      </c>
      <c r="F3427" s="344" t="s">
        <v>4888</v>
      </c>
      <c r="G3427" s="345" t="s">
        <v>1953</v>
      </c>
      <c r="H3427" s="345" t="s">
        <v>4889</v>
      </c>
      <c r="I3427" s="344">
        <v>30</v>
      </c>
      <c r="J3427" s="733">
        <v>1</v>
      </c>
      <c r="K3427" s="733">
        <v>20</v>
      </c>
      <c r="L3427" s="733">
        <v>2</v>
      </c>
      <c r="M3427" s="733">
        <f t="shared" si="24"/>
        <v>40</v>
      </c>
      <c r="N3427" s="733" t="s">
        <v>20</v>
      </c>
      <c r="O3427" s="544"/>
      <c r="P3427" s="544"/>
      <c r="Q3427" s="544"/>
      <c r="R3427" s="418"/>
      <c r="S3427" s="344"/>
    </row>
    <row r="3428" spans="1:19" ht="15.75" thickBot="1" x14ac:dyDescent="0.3">
      <c r="A3428" t="s">
        <v>3317</v>
      </c>
      <c r="B3428" s="438" t="s">
        <v>1908</v>
      </c>
      <c r="C3428" s="51"/>
      <c r="D3428" s="346">
        <v>610000004372</v>
      </c>
      <c r="E3428" s="347">
        <f>VLOOKUP(D3428,'[1]Task list &amp; Maintenace plan'!$B:$G,6,FALSE)</f>
        <v>100806</v>
      </c>
      <c r="F3428" s="347" t="s">
        <v>4888</v>
      </c>
      <c r="G3428" s="348" t="s">
        <v>1953</v>
      </c>
      <c r="H3428" s="348" t="s">
        <v>4890</v>
      </c>
      <c r="I3428" s="347">
        <v>30</v>
      </c>
      <c r="J3428" s="736">
        <v>1</v>
      </c>
      <c r="K3428" s="736"/>
      <c r="L3428" s="736"/>
      <c r="M3428" s="736"/>
      <c r="N3428" s="736"/>
      <c r="O3428" s="544"/>
      <c r="P3428" s="544"/>
      <c r="Q3428" s="544"/>
      <c r="R3428" s="413" t="s">
        <v>4891</v>
      </c>
      <c r="S3428" s="347"/>
    </row>
    <row r="3429" spans="1:19" ht="15.75" thickBot="1" x14ac:dyDescent="0.3">
      <c r="A3429" t="s">
        <v>3317</v>
      </c>
      <c r="B3429" s="438" t="s">
        <v>1908</v>
      </c>
      <c r="C3429" s="51"/>
      <c r="D3429" s="346">
        <v>610000004372</v>
      </c>
      <c r="E3429" s="347">
        <f>VLOOKUP(D3429,'[1]Task list &amp; Maintenace plan'!$B:$G,6,FALSE)</f>
        <v>100806</v>
      </c>
      <c r="F3429" s="347" t="s">
        <v>4888</v>
      </c>
      <c r="G3429" s="348" t="s">
        <v>1959</v>
      </c>
      <c r="H3429" s="348" t="s">
        <v>4892</v>
      </c>
      <c r="I3429" s="347">
        <v>30</v>
      </c>
      <c r="J3429" s="736">
        <v>1</v>
      </c>
      <c r="K3429" s="736"/>
      <c r="L3429" s="736"/>
      <c r="M3429" s="736"/>
      <c r="N3429" s="736"/>
      <c r="O3429" s="544"/>
      <c r="P3429" s="544"/>
      <c r="Q3429" s="544"/>
      <c r="R3429" s="413"/>
      <c r="S3429" s="347"/>
    </row>
    <row r="3430" spans="1:19" ht="15.75" thickBot="1" x14ac:dyDescent="0.3">
      <c r="A3430" t="s">
        <v>3317</v>
      </c>
      <c r="B3430" s="438" t="s">
        <v>1908</v>
      </c>
      <c r="C3430" s="51"/>
      <c r="D3430" s="346">
        <v>610000004372</v>
      </c>
      <c r="E3430" s="347">
        <f>VLOOKUP(D3430,'[1]Task list &amp; Maintenace plan'!$B:$G,6,FALSE)</f>
        <v>100806</v>
      </c>
      <c r="F3430" s="347" t="s">
        <v>4888</v>
      </c>
      <c r="G3430" s="348" t="s">
        <v>1955</v>
      </c>
      <c r="H3430" s="348" t="s">
        <v>4893</v>
      </c>
      <c r="I3430" s="347">
        <v>30</v>
      </c>
      <c r="J3430" s="736">
        <v>1</v>
      </c>
      <c r="K3430" s="736"/>
      <c r="L3430" s="736"/>
      <c r="M3430" s="736"/>
      <c r="N3430" s="736"/>
      <c r="O3430" s="544"/>
      <c r="P3430" s="544"/>
      <c r="Q3430" s="544"/>
      <c r="R3430" s="413"/>
      <c r="S3430" s="347"/>
    </row>
    <row r="3431" spans="1:19" ht="15.75" thickBot="1" x14ac:dyDescent="0.3">
      <c r="A3431" t="s">
        <v>3317</v>
      </c>
      <c r="B3431" s="438" t="s">
        <v>1908</v>
      </c>
      <c r="C3431" s="51"/>
      <c r="D3431" s="346">
        <v>610000004372</v>
      </c>
      <c r="E3431" s="347">
        <f>VLOOKUP(D3431,'[1]Task list &amp; Maintenace plan'!$B:$G,6,FALSE)</f>
        <v>100806</v>
      </c>
      <c r="F3431" s="347" t="s">
        <v>4888</v>
      </c>
      <c r="G3431" s="348" t="s">
        <v>1953</v>
      </c>
      <c r="H3431" s="348" t="s">
        <v>4894</v>
      </c>
      <c r="I3431" s="347">
        <v>30</v>
      </c>
      <c r="J3431" s="736">
        <v>1</v>
      </c>
      <c r="K3431" s="736"/>
      <c r="L3431" s="736"/>
      <c r="M3431" s="736"/>
      <c r="N3431" s="736"/>
      <c r="O3431" s="544"/>
      <c r="P3431" s="544"/>
      <c r="Q3431" s="544"/>
      <c r="R3431" s="413"/>
      <c r="S3431" s="347"/>
    </row>
    <row r="3432" spans="1:19" ht="15.75" thickBot="1" x14ac:dyDescent="0.3">
      <c r="A3432" t="s">
        <v>3317</v>
      </c>
      <c r="B3432" s="438" t="s">
        <v>1908</v>
      </c>
      <c r="C3432" s="51"/>
      <c r="D3432" s="343">
        <v>610000004372</v>
      </c>
      <c r="E3432" s="344">
        <f>VLOOKUP(D3432,'[1]Task list &amp; Maintenace plan'!$B:$G,6,FALSE)</f>
        <v>100806</v>
      </c>
      <c r="F3432" s="344" t="s">
        <v>4888</v>
      </c>
      <c r="G3432" s="345" t="s">
        <v>1957</v>
      </c>
      <c r="H3432" s="345" t="s">
        <v>4895</v>
      </c>
      <c r="I3432" s="344">
        <v>30</v>
      </c>
      <c r="J3432" s="736">
        <v>1</v>
      </c>
      <c r="K3432" s="736"/>
      <c r="L3432" s="736"/>
      <c r="M3432" s="736"/>
      <c r="N3432" s="736"/>
      <c r="O3432" s="544"/>
      <c r="P3432" s="544"/>
      <c r="Q3432" s="544"/>
      <c r="R3432" s="418"/>
      <c r="S3432" s="344"/>
    </row>
    <row r="3433" spans="1:19" ht="15.75" thickBot="1" x14ac:dyDescent="0.3">
      <c r="A3433" t="s">
        <v>3317</v>
      </c>
      <c r="B3433" s="438" t="s">
        <v>1908</v>
      </c>
      <c r="C3433" s="51"/>
      <c r="D3433" s="346">
        <v>610000004372</v>
      </c>
      <c r="E3433" s="347">
        <f>VLOOKUP(D3433,'[1]Task list &amp; Maintenace plan'!$B:$G,6,FALSE)</f>
        <v>100806</v>
      </c>
      <c r="F3433" s="347" t="s">
        <v>4888</v>
      </c>
      <c r="G3433" s="348" t="s">
        <v>1957</v>
      </c>
      <c r="H3433" s="348" t="s">
        <v>4896</v>
      </c>
      <c r="I3433" s="347">
        <v>30</v>
      </c>
      <c r="J3433" s="736">
        <v>1</v>
      </c>
      <c r="K3433" s="736"/>
      <c r="L3433" s="736"/>
      <c r="M3433" s="736"/>
      <c r="N3433" s="736"/>
      <c r="O3433" s="544"/>
      <c r="P3433" s="544"/>
      <c r="Q3433" s="544"/>
      <c r="R3433" s="413" t="s">
        <v>4897</v>
      </c>
      <c r="S3433" s="347"/>
    </row>
    <row r="3434" spans="1:19" ht="15.75" thickBot="1" x14ac:dyDescent="0.3">
      <c r="A3434" t="s">
        <v>3317</v>
      </c>
      <c r="B3434" s="438" t="s">
        <v>1908</v>
      </c>
      <c r="C3434" s="51"/>
      <c r="D3434" s="349">
        <v>610000004372</v>
      </c>
      <c r="E3434" s="350">
        <f>VLOOKUP(D3434,'[1]Task list &amp; Maintenace plan'!$B:$G,6,FALSE)</f>
        <v>100806</v>
      </c>
      <c r="F3434" s="350" t="s">
        <v>4888</v>
      </c>
      <c r="G3434" s="351" t="s">
        <v>1957</v>
      </c>
      <c r="H3434" s="351" t="s">
        <v>4898</v>
      </c>
      <c r="I3434" s="350">
        <v>30</v>
      </c>
      <c r="J3434" s="737">
        <v>1</v>
      </c>
      <c r="K3434" s="737"/>
      <c r="L3434" s="737"/>
      <c r="M3434" s="737"/>
      <c r="N3434" s="737"/>
      <c r="O3434" s="544"/>
      <c r="P3434" s="544"/>
      <c r="Q3434" s="544"/>
      <c r="R3434" s="414"/>
      <c r="S3434" s="350"/>
    </row>
    <row r="3435" spans="1:19" ht="15.75" thickBot="1" x14ac:dyDescent="0.3">
      <c r="A3435" t="s">
        <v>3317</v>
      </c>
      <c r="B3435" s="438" t="s">
        <v>1908</v>
      </c>
      <c r="C3435" s="51"/>
      <c r="D3435" s="343">
        <v>610000004373</v>
      </c>
      <c r="E3435" s="344">
        <f>VLOOKUP(D3435,'[1]Task list &amp; Maintenace plan'!$B:$G,6,FALSE)</f>
        <v>100807</v>
      </c>
      <c r="F3435" s="344" t="s">
        <v>4899</v>
      </c>
      <c r="G3435" s="345" t="s">
        <v>1953</v>
      </c>
      <c r="H3435" s="345" t="s">
        <v>4900</v>
      </c>
      <c r="I3435" s="344">
        <v>90</v>
      </c>
      <c r="J3435" s="733">
        <v>1</v>
      </c>
      <c r="K3435" s="733">
        <v>60</v>
      </c>
      <c r="L3435" s="733">
        <v>2</v>
      </c>
      <c r="M3435" s="733">
        <f t="shared" si="24"/>
        <v>120</v>
      </c>
      <c r="N3435" s="733" t="s">
        <v>34</v>
      </c>
      <c r="O3435" s="544"/>
      <c r="P3435" s="544"/>
      <c r="Q3435" s="544"/>
      <c r="R3435" s="418" t="s">
        <v>3750</v>
      </c>
      <c r="S3435" s="344"/>
    </row>
    <row r="3436" spans="1:19" ht="15.75" thickBot="1" x14ac:dyDescent="0.3">
      <c r="A3436" t="s">
        <v>3317</v>
      </c>
      <c r="B3436" s="438" t="s">
        <v>1908</v>
      </c>
      <c r="C3436" s="51"/>
      <c r="D3436" s="343">
        <v>610000004373</v>
      </c>
      <c r="E3436" s="344">
        <f>VLOOKUP(D3436,'[1]Task list &amp; Maintenace plan'!$B:$G,6,FALSE)</f>
        <v>100807</v>
      </c>
      <c r="F3436" s="344" t="s">
        <v>4899</v>
      </c>
      <c r="G3436" s="345" t="s">
        <v>1953</v>
      </c>
      <c r="H3436" s="345" t="s">
        <v>4901</v>
      </c>
      <c r="I3436" s="344">
        <v>90</v>
      </c>
      <c r="J3436" s="736">
        <v>1</v>
      </c>
      <c r="K3436" s="736"/>
      <c r="L3436" s="736"/>
      <c r="M3436" s="736"/>
      <c r="N3436" s="736"/>
      <c r="O3436" s="544"/>
      <c r="P3436" s="544"/>
      <c r="Q3436" s="544"/>
      <c r="R3436" s="418"/>
      <c r="S3436" s="344"/>
    </row>
    <row r="3437" spans="1:19" ht="15.75" thickBot="1" x14ac:dyDescent="0.3">
      <c r="A3437" t="s">
        <v>3317</v>
      </c>
      <c r="B3437" s="438" t="s">
        <v>1908</v>
      </c>
      <c r="C3437" s="51"/>
      <c r="D3437" s="343">
        <v>610000004373</v>
      </c>
      <c r="E3437" s="344">
        <f>VLOOKUP(D3437,'[1]Task list &amp; Maintenace plan'!$B:$G,6,FALSE)</f>
        <v>100807</v>
      </c>
      <c r="F3437" s="344" t="s">
        <v>4899</v>
      </c>
      <c r="G3437" s="345" t="s">
        <v>1957</v>
      </c>
      <c r="H3437" s="345" t="s">
        <v>4902</v>
      </c>
      <c r="I3437" s="344">
        <v>90</v>
      </c>
      <c r="J3437" s="736">
        <v>1</v>
      </c>
      <c r="K3437" s="736"/>
      <c r="L3437" s="736"/>
      <c r="M3437" s="736"/>
      <c r="N3437" s="736"/>
      <c r="O3437" s="544"/>
      <c r="P3437" s="544"/>
      <c r="Q3437" s="544"/>
      <c r="R3437" s="418"/>
      <c r="S3437" s="344"/>
    </row>
    <row r="3438" spans="1:19" ht="15.75" thickBot="1" x14ac:dyDescent="0.3">
      <c r="A3438" t="s">
        <v>3317</v>
      </c>
      <c r="B3438" s="438" t="s">
        <v>1908</v>
      </c>
      <c r="C3438" s="51"/>
      <c r="D3438" s="349">
        <v>610000004373</v>
      </c>
      <c r="E3438" s="350">
        <f>VLOOKUP(D3438,'[1]Task list &amp; Maintenace plan'!$B:$G,6,FALSE)</f>
        <v>100807</v>
      </c>
      <c r="F3438" s="350" t="s">
        <v>4899</v>
      </c>
      <c r="G3438" s="351" t="s">
        <v>1957</v>
      </c>
      <c r="H3438" s="351" t="s">
        <v>4903</v>
      </c>
      <c r="I3438" s="350">
        <v>90</v>
      </c>
      <c r="J3438" s="737">
        <v>1</v>
      </c>
      <c r="K3438" s="737"/>
      <c r="L3438" s="737"/>
      <c r="M3438" s="737"/>
      <c r="N3438" s="737"/>
      <c r="O3438" s="544"/>
      <c r="P3438" s="544"/>
      <c r="Q3438" s="544"/>
      <c r="R3438" s="414"/>
      <c r="S3438" s="350"/>
    </row>
    <row r="3439" spans="1:19" ht="15.75" thickBot="1" x14ac:dyDescent="0.3">
      <c r="A3439" t="s">
        <v>3317</v>
      </c>
      <c r="B3439" s="438" t="s">
        <v>1908</v>
      </c>
      <c r="C3439" s="51"/>
      <c r="D3439" s="360">
        <v>341698</v>
      </c>
      <c r="E3439" s="361">
        <f>VLOOKUP(D3439,'[1]Task list &amp; Maintenace plan'!$B:$G,6,FALSE)</f>
        <v>369</v>
      </c>
      <c r="F3439" s="361" t="s">
        <v>4904</v>
      </c>
      <c r="G3439" s="433" t="s">
        <v>1955</v>
      </c>
      <c r="H3439" s="433" t="s">
        <v>4905</v>
      </c>
      <c r="I3439" s="361">
        <v>90</v>
      </c>
      <c r="J3439" s="424">
        <v>1</v>
      </c>
      <c r="K3439" s="424">
        <v>60</v>
      </c>
      <c r="L3439" s="424">
        <v>2</v>
      </c>
      <c r="M3439" s="424">
        <f t="shared" si="24"/>
        <v>120</v>
      </c>
      <c r="N3439" s="424" t="s">
        <v>20</v>
      </c>
      <c r="O3439" s="544"/>
      <c r="P3439" s="544"/>
      <c r="Q3439" s="544"/>
      <c r="R3439" s="419"/>
      <c r="S3439" s="361"/>
    </row>
    <row r="3440" spans="1:19" ht="15.75" thickBot="1" x14ac:dyDescent="0.3">
      <c r="A3440" t="s">
        <v>3317</v>
      </c>
      <c r="B3440" s="438" t="s">
        <v>1908</v>
      </c>
      <c r="C3440" s="644"/>
      <c r="D3440" s="417">
        <v>610000004374</v>
      </c>
      <c r="E3440" s="421">
        <f>VLOOKUP(D3440,'[1]Task list &amp; Maintenace plan'!$B:$G,6,FALSE)</f>
        <v>100808</v>
      </c>
      <c r="F3440" s="421" t="s">
        <v>4906</v>
      </c>
      <c r="G3440" s="420" t="s">
        <v>1955</v>
      </c>
      <c r="H3440" s="420" t="s">
        <v>4907</v>
      </c>
      <c r="I3440" s="421">
        <v>180</v>
      </c>
      <c r="J3440" s="733">
        <v>1</v>
      </c>
      <c r="K3440" s="733">
        <v>120</v>
      </c>
      <c r="L3440" s="733">
        <v>2</v>
      </c>
      <c r="M3440" s="733">
        <f t="shared" si="24"/>
        <v>240</v>
      </c>
      <c r="N3440" s="733" t="s">
        <v>3174</v>
      </c>
      <c r="O3440" s="544"/>
      <c r="P3440" s="544"/>
      <c r="Q3440" s="544"/>
      <c r="R3440" s="422"/>
      <c r="S3440" s="421"/>
    </row>
    <row r="3441" spans="1:19" ht="15.75" thickBot="1" x14ac:dyDescent="0.3">
      <c r="A3441" t="s">
        <v>3317</v>
      </c>
      <c r="B3441" s="438" t="s">
        <v>1908</v>
      </c>
      <c r="C3441" s="644"/>
      <c r="D3441" s="349">
        <v>610000004374</v>
      </c>
      <c r="E3441" s="350">
        <f>VLOOKUP(D3441,'[1]Task list &amp; Maintenace plan'!$B:$G,6,FALSE)</f>
        <v>100808</v>
      </c>
      <c r="F3441" s="350" t="s">
        <v>4906</v>
      </c>
      <c r="G3441" s="351" t="s">
        <v>1959</v>
      </c>
      <c r="H3441" s="351" t="s">
        <v>4908</v>
      </c>
      <c r="I3441" s="350">
        <v>180</v>
      </c>
      <c r="J3441" s="737">
        <v>1</v>
      </c>
      <c r="K3441" s="737"/>
      <c r="L3441" s="737"/>
      <c r="M3441" s="737"/>
      <c r="N3441" s="737"/>
      <c r="O3441" s="544"/>
      <c r="P3441" s="544"/>
      <c r="Q3441" s="544"/>
      <c r="R3441" s="414"/>
      <c r="S3441" s="350"/>
    </row>
    <row r="3442" spans="1:19" ht="15.75" thickBot="1" x14ac:dyDescent="0.3">
      <c r="A3442" t="s">
        <v>3317</v>
      </c>
      <c r="B3442" s="438" t="s">
        <v>1908</v>
      </c>
      <c r="C3442" s="644"/>
      <c r="D3442" s="417">
        <v>610000004375</v>
      </c>
      <c r="E3442" s="421">
        <f>VLOOKUP(D3442,'[1]Task list &amp; Maintenace plan'!$B:$G,6,FALSE)</f>
        <v>100809</v>
      </c>
      <c r="F3442" s="421" t="s">
        <v>4909</v>
      </c>
      <c r="G3442" s="420" t="s">
        <v>1955</v>
      </c>
      <c r="H3442" s="420" t="s">
        <v>4910</v>
      </c>
      <c r="I3442" s="421">
        <v>180</v>
      </c>
      <c r="J3442" s="733">
        <v>1</v>
      </c>
      <c r="K3442" s="733">
        <v>240</v>
      </c>
      <c r="L3442" s="733">
        <v>2</v>
      </c>
      <c r="M3442" s="733">
        <f t="shared" si="24"/>
        <v>480</v>
      </c>
      <c r="N3442" s="733" t="s">
        <v>468</v>
      </c>
      <c r="O3442" s="544"/>
      <c r="P3442" s="544"/>
      <c r="Q3442" s="544"/>
      <c r="R3442" s="422"/>
      <c r="S3442" s="421"/>
    </row>
    <row r="3443" spans="1:19" ht="15.75" thickBot="1" x14ac:dyDescent="0.3">
      <c r="A3443" t="s">
        <v>3317</v>
      </c>
      <c r="B3443" s="438" t="s">
        <v>1908</v>
      </c>
      <c r="C3443" s="644"/>
      <c r="D3443" s="349">
        <v>610000004375</v>
      </c>
      <c r="E3443" s="350">
        <f>VLOOKUP(D3443,'[1]Task list &amp; Maintenace plan'!$B:$G,6,FALSE)</f>
        <v>100809</v>
      </c>
      <c r="F3443" s="350" t="s">
        <v>4909</v>
      </c>
      <c r="G3443" s="351" t="s">
        <v>1959</v>
      </c>
      <c r="H3443" s="351" t="s">
        <v>4911</v>
      </c>
      <c r="I3443" s="350">
        <v>180</v>
      </c>
      <c r="J3443" s="737">
        <v>1</v>
      </c>
      <c r="K3443" s="737"/>
      <c r="L3443" s="737"/>
      <c r="M3443" s="737"/>
      <c r="N3443" s="737"/>
      <c r="O3443" s="544"/>
      <c r="P3443" s="544"/>
      <c r="Q3443" s="544"/>
      <c r="R3443" s="414" t="s">
        <v>3674</v>
      </c>
      <c r="S3443" s="350" t="s">
        <v>4912</v>
      </c>
    </row>
    <row r="3444" spans="1:19" ht="15.75" thickBot="1" x14ac:dyDescent="0.3">
      <c r="A3444" t="s">
        <v>3317</v>
      </c>
      <c r="B3444" s="438" t="s">
        <v>1908</v>
      </c>
      <c r="C3444" s="644"/>
      <c r="D3444" s="360">
        <v>341699</v>
      </c>
      <c r="E3444" s="361">
        <f>VLOOKUP(D3444,'[1]Task list &amp; Maintenace plan'!$B:$G,6,FALSE)</f>
        <v>370</v>
      </c>
      <c r="F3444" s="361" t="s">
        <v>4913</v>
      </c>
      <c r="G3444" s="61" t="s">
        <v>1959</v>
      </c>
      <c r="H3444" s="61" t="s">
        <v>4914</v>
      </c>
      <c r="I3444" s="493">
        <v>180</v>
      </c>
      <c r="J3444" s="645">
        <v>1</v>
      </c>
      <c r="K3444" s="645">
        <v>60</v>
      </c>
      <c r="L3444" s="645">
        <v>2</v>
      </c>
      <c r="M3444" s="645">
        <f t="shared" si="24"/>
        <v>120</v>
      </c>
      <c r="N3444" s="645" t="s">
        <v>20</v>
      </c>
      <c r="O3444" s="544"/>
      <c r="P3444" s="544"/>
      <c r="Q3444" s="544"/>
      <c r="R3444" s="641" t="s">
        <v>4915</v>
      </c>
      <c r="S3444" s="493" t="s">
        <v>4912</v>
      </c>
    </row>
    <row r="3445" spans="1:19" ht="15.75" thickBot="1" x14ac:dyDescent="0.3">
      <c r="A3445" t="s">
        <v>3317</v>
      </c>
      <c r="B3445" s="438" t="s">
        <v>1908</v>
      </c>
      <c r="C3445" s="644"/>
      <c r="D3445" s="417">
        <v>341700</v>
      </c>
      <c r="E3445" s="421">
        <f>VLOOKUP(D3445,'[1]Task list &amp; Maintenace plan'!$B:$G,6,FALSE)</f>
        <v>371</v>
      </c>
      <c r="F3445" s="421" t="s">
        <v>4916</v>
      </c>
      <c r="G3445" s="420" t="s">
        <v>1955</v>
      </c>
      <c r="H3445" s="420" t="s">
        <v>4917</v>
      </c>
      <c r="I3445" s="421">
        <v>365</v>
      </c>
      <c r="J3445" s="425">
        <v>1</v>
      </c>
      <c r="K3445" s="425">
        <v>90</v>
      </c>
      <c r="L3445" s="425">
        <v>2</v>
      </c>
      <c r="M3445" s="425">
        <f t="shared" si="24"/>
        <v>180</v>
      </c>
      <c r="N3445" s="425" t="s">
        <v>468</v>
      </c>
      <c r="O3445" s="544"/>
      <c r="P3445" s="544"/>
      <c r="Q3445" s="544"/>
      <c r="R3445" s="422"/>
      <c r="S3445" s="421"/>
    </row>
    <row r="3446" spans="1:19" ht="15.75" thickBot="1" x14ac:dyDescent="0.3">
      <c r="A3446" t="s">
        <v>3317</v>
      </c>
      <c r="B3446" s="438" t="s">
        <v>1908</v>
      </c>
      <c r="C3446" s="51"/>
      <c r="D3446" s="417">
        <v>610000004376</v>
      </c>
      <c r="E3446" s="421">
        <f>VLOOKUP(D3446,'[1]Task list &amp; Maintenace plan'!$B:$G,6,FALSE)</f>
        <v>100810</v>
      </c>
      <c r="F3446" s="421" t="s">
        <v>4918</v>
      </c>
      <c r="G3446" s="420" t="s">
        <v>1955</v>
      </c>
      <c r="H3446" s="420" t="s">
        <v>4919</v>
      </c>
      <c r="I3446" s="421">
        <v>365</v>
      </c>
      <c r="J3446" s="733">
        <v>1</v>
      </c>
      <c r="K3446" s="733">
        <v>180</v>
      </c>
      <c r="L3446" s="733">
        <v>2</v>
      </c>
      <c r="M3446" s="733">
        <f t="shared" si="24"/>
        <v>360</v>
      </c>
      <c r="N3446" s="733" t="s">
        <v>468</v>
      </c>
      <c r="O3446" s="544"/>
      <c r="P3446" s="544"/>
      <c r="Q3446" s="544"/>
      <c r="R3446" s="422"/>
      <c r="S3446" s="421"/>
    </row>
    <row r="3447" spans="1:19" ht="15.75" thickBot="1" x14ac:dyDescent="0.3">
      <c r="A3447" t="s">
        <v>3317</v>
      </c>
      <c r="B3447" s="438" t="s">
        <v>1908</v>
      </c>
      <c r="C3447" s="51"/>
      <c r="D3447" s="466">
        <v>610000004376</v>
      </c>
      <c r="E3447" s="467">
        <f>VLOOKUP(D3447,'[1]Task list &amp; Maintenace plan'!$B:$G,6,FALSE)</f>
        <v>100810</v>
      </c>
      <c r="F3447" s="467" t="s">
        <v>4918</v>
      </c>
      <c r="G3447" s="468" t="s">
        <v>1959</v>
      </c>
      <c r="H3447" s="468" t="s">
        <v>4920</v>
      </c>
      <c r="I3447" s="467">
        <v>365</v>
      </c>
      <c r="J3447" s="738">
        <v>1</v>
      </c>
      <c r="K3447" s="738"/>
      <c r="L3447" s="738"/>
      <c r="M3447" s="738"/>
      <c r="N3447" s="738"/>
      <c r="O3447" s="544"/>
      <c r="P3447" s="544"/>
      <c r="Q3447" s="544"/>
      <c r="R3447" s="543"/>
      <c r="S3447" s="467"/>
    </row>
    <row r="3448" spans="1:19" ht="15.75" thickBot="1" x14ac:dyDescent="0.3">
      <c r="A3448" t="s">
        <v>3317</v>
      </c>
      <c r="B3448" s="438" t="s">
        <v>2037</v>
      </c>
      <c r="C3448" s="643"/>
      <c r="D3448" s="346">
        <v>610000004377</v>
      </c>
      <c r="E3448" s="347">
        <f>VLOOKUP(D3448,'[1]Task list &amp; Maintenace plan'!$B:$G,6,FALSE)</f>
        <v>100811</v>
      </c>
      <c r="F3448" s="347" t="s">
        <v>4921</v>
      </c>
      <c r="G3448" s="348" t="s">
        <v>2038</v>
      </c>
      <c r="H3448" s="348" t="s">
        <v>4922</v>
      </c>
      <c r="I3448" s="347">
        <v>30</v>
      </c>
      <c r="J3448" s="739"/>
      <c r="K3448" s="739">
        <v>30</v>
      </c>
      <c r="L3448" s="739">
        <v>2</v>
      </c>
      <c r="M3448" s="739">
        <f t="shared" si="24"/>
        <v>60</v>
      </c>
      <c r="N3448" s="739" t="s">
        <v>3174</v>
      </c>
      <c r="O3448" s="544"/>
      <c r="P3448" s="544"/>
      <c r="Q3448" s="544"/>
      <c r="R3448" s="413" t="s">
        <v>3330</v>
      </c>
      <c r="S3448" s="347"/>
    </row>
    <row r="3449" spans="1:19" ht="15.75" thickBot="1" x14ac:dyDescent="0.3">
      <c r="A3449" t="s">
        <v>3317</v>
      </c>
      <c r="B3449" s="438" t="s">
        <v>2037</v>
      </c>
      <c r="C3449" s="51"/>
      <c r="D3449" s="346">
        <v>610000004377</v>
      </c>
      <c r="E3449" s="347">
        <f>VLOOKUP(D3449,'[1]Task list &amp; Maintenace plan'!$B:$G,6,FALSE)</f>
        <v>100811</v>
      </c>
      <c r="F3449" s="347" t="s">
        <v>4921</v>
      </c>
      <c r="G3449" s="348" t="s">
        <v>2042</v>
      </c>
      <c r="H3449" s="348" t="s">
        <v>4923</v>
      </c>
      <c r="I3449" s="347">
        <v>30</v>
      </c>
      <c r="J3449" s="734"/>
      <c r="K3449" s="734"/>
      <c r="L3449" s="734"/>
      <c r="M3449" s="734"/>
      <c r="N3449" s="734"/>
      <c r="O3449" s="544"/>
      <c r="P3449" s="544"/>
      <c r="Q3449" s="544"/>
      <c r="R3449" s="413" t="s">
        <v>3159</v>
      </c>
      <c r="S3449" s="347"/>
    </row>
    <row r="3450" spans="1:19" ht="15.75" thickBot="1" x14ac:dyDescent="0.3">
      <c r="A3450" t="s">
        <v>3317</v>
      </c>
      <c r="B3450" s="438" t="s">
        <v>2037</v>
      </c>
      <c r="C3450" s="51"/>
      <c r="D3450" s="346">
        <v>610000004377</v>
      </c>
      <c r="E3450" s="347">
        <f>VLOOKUP(D3450,'[1]Task list &amp; Maintenace plan'!$B:$G,6,FALSE)</f>
        <v>100811</v>
      </c>
      <c r="F3450" s="347" t="s">
        <v>4921</v>
      </c>
      <c r="G3450" s="348" t="s">
        <v>2043</v>
      </c>
      <c r="H3450" s="348" t="s">
        <v>4924</v>
      </c>
      <c r="I3450" s="347">
        <v>30</v>
      </c>
      <c r="J3450" s="734"/>
      <c r="K3450" s="734"/>
      <c r="L3450" s="734"/>
      <c r="M3450" s="734"/>
      <c r="N3450" s="734"/>
      <c r="O3450" s="544"/>
      <c r="P3450" s="544"/>
      <c r="Q3450" s="544"/>
      <c r="R3450" s="413" t="s">
        <v>3330</v>
      </c>
      <c r="S3450" s="347"/>
    </row>
    <row r="3451" spans="1:19" ht="15.75" thickBot="1" x14ac:dyDescent="0.3">
      <c r="A3451" t="s">
        <v>3317</v>
      </c>
      <c r="B3451" s="438" t="s">
        <v>2037</v>
      </c>
      <c r="C3451" s="51"/>
      <c r="D3451" s="346">
        <v>610000004377</v>
      </c>
      <c r="E3451" s="347">
        <f>VLOOKUP(D3451,'[1]Task list &amp; Maintenace plan'!$B:$G,6,FALSE)</f>
        <v>100811</v>
      </c>
      <c r="F3451" s="347" t="s">
        <v>4921</v>
      </c>
      <c r="G3451" s="348" t="s">
        <v>2043</v>
      </c>
      <c r="H3451" s="348" t="s">
        <v>4925</v>
      </c>
      <c r="I3451" s="347">
        <v>30</v>
      </c>
      <c r="J3451" s="734"/>
      <c r="K3451" s="734"/>
      <c r="L3451" s="734"/>
      <c r="M3451" s="734"/>
      <c r="N3451" s="734"/>
      <c r="O3451" s="544"/>
      <c r="P3451" s="544"/>
      <c r="Q3451" s="544"/>
      <c r="R3451" s="413" t="s">
        <v>3159</v>
      </c>
      <c r="S3451" s="347"/>
    </row>
    <row r="3452" spans="1:19" ht="15.75" thickBot="1" x14ac:dyDescent="0.3">
      <c r="A3452" t="s">
        <v>3317</v>
      </c>
      <c r="B3452" s="438" t="s">
        <v>2037</v>
      </c>
      <c r="C3452" s="51"/>
      <c r="D3452" s="346">
        <v>610000004377</v>
      </c>
      <c r="E3452" s="347">
        <f>VLOOKUP(D3452,'[1]Task list &amp; Maintenace plan'!$B:$G,6,FALSE)</f>
        <v>100811</v>
      </c>
      <c r="F3452" s="347" t="s">
        <v>4921</v>
      </c>
      <c r="G3452" s="348" t="s">
        <v>2045</v>
      </c>
      <c r="H3452" s="348" t="s">
        <v>4926</v>
      </c>
      <c r="I3452" s="347">
        <v>30</v>
      </c>
      <c r="J3452" s="734"/>
      <c r="K3452" s="734"/>
      <c r="L3452" s="734"/>
      <c r="M3452" s="734"/>
      <c r="N3452" s="734"/>
      <c r="O3452" s="544"/>
      <c r="P3452" s="544"/>
      <c r="Q3452" s="544"/>
      <c r="R3452" s="413" t="s">
        <v>3159</v>
      </c>
      <c r="S3452" s="347"/>
    </row>
    <row r="3453" spans="1:19" ht="15.75" thickBot="1" x14ac:dyDescent="0.3">
      <c r="A3453" t="s">
        <v>3317</v>
      </c>
      <c r="B3453" s="438" t="s">
        <v>2037</v>
      </c>
      <c r="C3453" s="51"/>
      <c r="D3453" s="346">
        <v>610000004377</v>
      </c>
      <c r="E3453" s="347">
        <f>VLOOKUP(D3453,'[1]Task list &amp; Maintenace plan'!$B:$G,6,FALSE)</f>
        <v>100811</v>
      </c>
      <c r="F3453" s="347" t="s">
        <v>4921</v>
      </c>
      <c r="G3453" s="348" t="s">
        <v>2045</v>
      </c>
      <c r="H3453" s="348" t="s">
        <v>4927</v>
      </c>
      <c r="I3453" s="347">
        <v>30</v>
      </c>
      <c r="J3453" s="734"/>
      <c r="K3453" s="734"/>
      <c r="L3453" s="734"/>
      <c r="M3453" s="734"/>
      <c r="N3453" s="734"/>
      <c r="O3453" s="544"/>
      <c r="P3453" s="544"/>
      <c r="Q3453" s="544"/>
      <c r="R3453" s="413" t="s">
        <v>3330</v>
      </c>
      <c r="S3453" s="347"/>
    </row>
    <row r="3454" spans="1:19" ht="15.75" thickBot="1" x14ac:dyDescent="0.3">
      <c r="A3454" t="s">
        <v>3317</v>
      </c>
      <c r="B3454" s="438" t="s">
        <v>2037</v>
      </c>
      <c r="C3454" s="51"/>
      <c r="D3454" s="349">
        <v>610000004377</v>
      </c>
      <c r="E3454" s="350">
        <f>VLOOKUP(D3454,'[1]Task list &amp; Maintenace plan'!$B:$G,6,FALSE)</f>
        <v>100811</v>
      </c>
      <c r="F3454" s="350" t="s">
        <v>4921</v>
      </c>
      <c r="G3454" s="351" t="s">
        <v>2038</v>
      </c>
      <c r="H3454" s="351" t="s">
        <v>4928</v>
      </c>
      <c r="I3454" s="350">
        <v>30</v>
      </c>
      <c r="J3454" s="735"/>
      <c r="K3454" s="735"/>
      <c r="L3454" s="735"/>
      <c r="M3454" s="735"/>
      <c r="N3454" s="735"/>
      <c r="O3454" s="544"/>
      <c r="P3454" s="544"/>
      <c r="Q3454" s="544"/>
      <c r="R3454" s="414" t="s">
        <v>3159</v>
      </c>
      <c r="S3454" s="350"/>
    </row>
    <row r="3455" spans="1:19" ht="15.75" thickBot="1" x14ac:dyDescent="0.3">
      <c r="A3455" t="s">
        <v>3317</v>
      </c>
      <c r="B3455" s="438" t="s">
        <v>2037</v>
      </c>
      <c r="C3455" s="51"/>
      <c r="D3455" s="343">
        <v>610000004378</v>
      </c>
      <c r="E3455" s="344">
        <f>VLOOKUP(D3455,'[1]Task list &amp; Maintenace plan'!$B:$G,6,FALSE)</f>
        <v>100812</v>
      </c>
      <c r="F3455" s="344" t="s">
        <v>4929</v>
      </c>
      <c r="G3455" s="345" t="s">
        <v>2038</v>
      </c>
      <c r="H3455" s="345" t="s">
        <v>4930</v>
      </c>
      <c r="I3455" s="344">
        <v>30</v>
      </c>
      <c r="J3455" s="733">
        <v>1</v>
      </c>
      <c r="K3455" s="733">
        <v>30</v>
      </c>
      <c r="L3455" s="733">
        <v>1</v>
      </c>
      <c r="M3455" s="733">
        <f t="shared" si="24"/>
        <v>30</v>
      </c>
      <c r="N3455" s="733" t="s">
        <v>20</v>
      </c>
      <c r="O3455" s="544"/>
      <c r="P3455" s="544"/>
      <c r="Q3455" s="544"/>
      <c r="R3455" s="418"/>
      <c r="S3455" s="344"/>
    </row>
    <row r="3456" spans="1:19" ht="15.75" thickBot="1" x14ac:dyDescent="0.3">
      <c r="A3456" t="s">
        <v>3317</v>
      </c>
      <c r="B3456" s="438" t="s">
        <v>2037</v>
      </c>
      <c r="C3456" s="51"/>
      <c r="D3456" s="346">
        <v>610000004378</v>
      </c>
      <c r="E3456" s="347">
        <f>VLOOKUP(D3456,'[1]Task list &amp; Maintenace plan'!$B:$G,6,FALSE)</f>
        <v>100812</v>
      </c>
      <c r="F3456" s="347" t="s">
        <v>4929</v>
      </c>
      <c r="G3456" s="348" t="s">
        <v>2042</v>
      </c>
      <c r="H3456" s="348" t="s">
        <v>4931</v>
      </c>
      <c r="I3456" s="347">
        <v>30</v>
      </c>
      <c r="J3456" s="736">
        <v>1</v>
      </c>
      <c r="K3456" s="736">
        <v>30</v>
      </c>
      <c r="L3456" s="736">
        <v>1</v>
      </c>
      <c r="M3456" s="736">
        <f t="shared" si="24"/>
        <v>30</v>
      </c>
      <c r="N3456" s="736"/>
      <c r="O3456" s="544"/>
      <c r="P3456" s="544"/>
      <c r="Q3456" s="544"/>
      <c r="R3456" s="413" t="s">
        <v>3975</v>
      </c>
      <c r="S3456" s="347"/>
    </row>
    <row r="3457" spans="1:19" ht="15.75" thickBot="1" x14ac:dyDescent="0.3">
      <c r="A3457" t="s">
        <v>3317</v>
      </c>
      <c r="B3457" s="438" t="s">
        <v>2037</v>
      </c>
      <c r="C3457" s="51"/>
      <c r="D3457" s="346">
        <v>610000004378</v>
      </c>
      <c r="E3457" s="347">
        <f>VLOOKUP(D3457,'[1]Task list &amp; Maintenace plan'!$B:$G,6,FALSE)</f>
        <v>100812</v>
      </c>
      <c r="F3457" s="347" t="s">
        <v>4929</v>
      </c>
      <c r="G3457" s="348" t="s">
        <v>2043</v>
      </c>
      <c r="H3457" s="348" t="s">
        <v>4932</v>
      </c>
      <c r="I3457" s="347">
        <v>30</v>
      </c>
      <c r="J3457" s="736">
        <v>1</v>
      </c>
      <c r="K3457" s="736">
        <v>30</v>
      </c>
      <c r="L3457" s="736">
        <v>1</v>
      </c>
      <c r="M3457" s="736">
        <f t="shared" si="24"/>
        <v>30</v>
      </c>
      <c r="N3457" s="736"/>
      <c r="O3457" s="544"/>
      <c r="P3457" s="544"/>
      <c r="Q3457" s="544"/>
      <c r="R3457" s="413"/>
      <c r="S3457" s="347"/>
    </row>
    <row r="3458" spans="1:19" ht="15.75" thickBot="1" x14ac:dyDescent="0.3">
      <c r="A3458" t="s">
        <v>3317</v>
      </c>
      <c r="B3458" s="438" t="s">
        <v>2037</v>
      </c>
      <c r="C3458" s="51"/>
      <c r="D3458" s="346">
        <v>610000004378</v>
      </c>
      <c r="E3458" s="347">
        <f>VLOOKUP(D3458,'[1]Task list &amp; Maintenace plan'!$B:$G,6,FALSE)</f>
        <v>100812</v>
      </c>
      <c r="F3458" s="347" t="s">
        <v>4929</v>
      </c>
      <c r="G3458" s="348" t="s">
        <v>2045</v>
      </c>
      <c r="H3458" s="494" t="s">
        <v>4933</v>
      </c>
      <c r="I3458" s="493">
        <v>30</v>
      </c>
      <c r="J3458" s="736">
        <v>1</v>
      </c>
      <c r="K3458" s="736">
        <v>30</v>
      </c>
      <c r="L3458" s="736">
        <v>1</v>
      </c>
      <c r="M3458" s="736">
        <f t="shared" si="24"/>
        <v>30</v>
      </c>
      <c r="N3458" s="736"/>
      <c r="O3458" s="544"/>
      <c r="P3458" s="544"/>
      <c r="Q3458" s="544"/>
      <c r="R3458" s="641"/>
      <c r="S3458" s="493"/>
    </row>
    <row r="3459" spans="1:19" ht="15.75" thickBot="1" x14ac:dyDescent="0.3">
      <c r="A3459" t="s">
        <v>3317</v>
      </c>
      <c r="B3459" s="438" t="s">
        <v>2037</v>
      </c>
      <c r="C3459" s="51"/>
      <c r="D3459" s="346">
        <v>610000004378</v>
      </c>
      <c r="E3459" s="347">
        <f>VLOOKUP(D3459,'[1]Task list &amp; Maintenace plan'!$B:$G,6,FALSE)</f>
        <v>100812</v>
      </c>
      <c r="F3459" s="347" t="s">
        <v>4929</v>
      </c>
      <c r="G3459" s="348" t="s">
        <v>2038</v>
      </c>
      <c r="H3459" s="348" t="s">
        <v>4934</v>
      </c>
      <c r="I3459" s="347">
        <v>30</v>
      </c>
      <c r="J3459" s="736">
        <v>1</v>
      </c>
      <c r="K3459" s="736">
        <v>30</v>
      </c>
      <c r="L3459" s="736">
        <v>1</v>
      </c>
      <c r="M3459" s="736">
        <f t="shared" si="24"/>
        <v>30</v>
      </c>
      <c r="N3459" s="736"/>
      <c r="O3459" s="544"/>
      <c r="P3459" s="544"/>
      <c r="Q3459" s="544"/>
      <c r="R3459" s="413"/>
      <c r="S3459" s="347"/>
    </row>
    <row r="3460" spans="1:19" ht="15.75" thickBot="1" x14ac:dyDescent="0.3">
      <c r="A3460" t="s">
        <v>3317</v>
      </c>
      <c r="B3460" s="438" t="s">
        <v>2037</v>
      </c>
      <c r="C3460" s="51"/>
      <c r="D3460" s="349">
        <v>610000004378</v>
      </c>
      <c r="E3460" s="350">
        <f>VLOOKUP(D3460,'[1]Task list &amp; Maintenace plan'!$B:$G,6,FALSE)</f>
        <v>100812</v>
      </c>
      <c r="F3460" s="350" t="s">
        <v>4929</v>
      </c>
      <c r="G3460" s="351" t="s">
        <v>2038</v>
      </c>
      <c r="H3460" s="433" t="s">
        <v>4935</v>
      </c>
      <c r="I3460" s="434">
        <v>30</v>
      </c>
      <c r="J3460" s="737">
        <v>1</v>
      </c>
      <c r="K3460" s="737">
        <v>30</v>
      </c>
      <c r="L3460" s="737">
        <v>1</v>
      </c>
      <c r="M3460" s="737">
        <f t="shared" si="24"/>
        <v>30</v>
      </c>
      <c r="N3460" s="737"/>
      <c r="O3460" s="544"/>
      <c r="P3460" s="544"/>
      <c r="Q3460" s="544"/>
      <c r="R3460" s="435"/>
      <c r="S3460" s="434"/>
    </row>
    <row r="3461" spans="1:19" ht="15.75" thickBot="1" x14ac:dyDescent="0.3">
      <c r="A3461" t="s">
        <v>3317</v>
      </c>
      <c r="B3461" s="438" t="s">
        <v>2037</v>
      </c>
      <c r="C3461" s="51"/>
      <c r="D3461" s="357">
        <v>610000004379</v>
      </c>
      <c r="E3461" s="358">
        <f>VLOOKUP(D3461,'[1]Task list &amp; Maintenace plan'!$B:$G,6,FALSE)</f>
        <v>100813</v>
      </c>
      <c r="F3461" s="358" t="s">
        <v>4936</v>
      </c>
      <c r="G3461" s="359" t="s">
        <v>2038</v>
      </c>
      <c r="H3461" s="359" t="s">
        <v>4937</v>
      </c>
      <c r="I3461" s="358">
        <v>30</v>
      </c>
      <c r="J3461" s="499">
        <v>1</v>
      </c>
      <c r="K3461" s="499">
        <v>30</v>
      </c>
      <c r="L3461" s="499">
        <v>2</v>
      </c>
      <c r="M3461" s="499">
        <f t="shared" si="24"/>
        <v>60</v>
      </c>
      <c r="N3461" s="499" t="s">
        <v>34</v>
      </c>
      <c r="O3461" s="544"/>
      <c r="P3461" s="544"/>
      <c r="Q3461" s="544"/>
      <c r="R3461" s="542"/>
      <c r="S3461" s="358"/>
    </row>
    <row r="3462" spans="1:19" ht="15.75" thickBot="1" x14ac:dyDescent="0.3">
      <c r="A3462" t="s">
        <v>3317</v>
      </c>
      <c r="B3462" s="438" t="s">
        <v>2037</v>
      </c>
      <c r="C3462" s="439"/>
      <c r="D3462" s="349">
        <v>610000004380</v>
      </c>
      <c r="E3462" s="350">
        <f>VLOOKUP(D3462,'[1]Task list &amp; Maintenace plan'!$B:$G,6,FALSE)</f>
        <v>100814</v>
      </c>
      <c r="F3462" s="350" t="s">
        <v>4938</v>
      </c>
      <c r="G3462" s="351" t="s">
        <v>2079</v>
      </c>
      <c r="H3462" s="351" t="s">
        <v>3148</v>
      </c>
      <c r="I3462" s="350">
        <v>7</v>
      </c>
      <c r="J3462" s="472"/>
      <c r="K3462" s="472">
        <v>15</v>
      </c>
      <c r="L3462" s="472">
        <v>1</v>
      </c>
      <c r="M3462" s="472">
        <f t="shared" si="24"/>
        <v>15</v>
      </c>
      <c r="N3462" s="472" t="s">
        <v>34</v>
      </c>
      <c r="O3462" s="544"/>
      <c r="P3462" s="544"/>
      <c r="Q3462" s="544"/>
      <c r="R3462" s="414"/>
      <c r="S3462" s="350"/>
    </row>
    <row r="3463" spans="1:19" ht="15.75" thickBot="1" x14ac:dyDescent="0.3">
      <c r="A3463" t="s">
        <v>3317</v>
      </c>
      <c r="B3463" s="438" t="s">
        <v>2037</v>
      </c>
      <c r="C3463" s="503"/>
      <c r="D3463" s="423">
        <v>342255</v>
      </c>
      <c r="E3463" s="434">
        <f>VLOOKUP(D3463,'[1]Task list &amp; Maintenace plan'!$B:$G,6,FALSE)</f>
        <v>451</v>
      </c>
      <c r="F3463" s="434" t="s">
        <v>4939</v>
      </c>
      <c r="G3463" s="433" t="s">
        <v>4940</v>
      </c>
      <c r="H3463" s="433" t="s">
        <v>4941</v>
      </c>
      <c r="I3463" s="434">
        <v>7</v>
      </c>
      <c r="J3463" s="436">
        <v>1</v>
      </c>
      <c r="K3463" s="436">
        <v>10</v>
      </c>
      <c r="L3463" s="436">
        <v>1</v>
      </c>
      <c r="M3463" s="436">
        <f t="shared" si="24"/>
        <v>10</v>
      </c>
      <c r="N3463" s="436" t="s">
        <v>34</v>
      </c>
      <c r="O3463" s="544"/>
      <c r="P3463" s="544"/>
      <c r="Q3463" s="544"/>
      <c r="R3463" s="435"/>
      <c r="S3463" s="434"/>
    </row>
    <row r="3464" spans="1:19" ht="15.75" thickBot="1" x14ac:dyDescent="0.3">
      <c r="A3464" t="s">
        <v>3317</v>
      </c>
      <c r="B3464" s="438" t="s">
        <v>2037</v>
      </c>
      <c r="C3464" s="503"/>
      <c r="D3464" s="352">
        <v>610000004381</v>
      </c>
      <c r="E3464" s="353">
        <f>VLOOKUP(D3464,'[1]Task list &amp; Maintenace plan'!$B:$G,6,FALSE)</f>
        <v>100815</v>
      </c>
      <c r="F3464" s="353" t="s">
        <v>4942</v>
      </c>
      <c r="G3464" s="61" t="s">
        <v>2079</v>
      </c>
      <c r="H3464" s="433" t="s">
        <v>4943</v>
      </c>
      <c r="I3464" s="353">
        <v>30</v>
      </c>
      <c r="J3464" s="412"/>
      <c r="K3464" s="412">
        <v>10</v>
      </c>
      <c r="L3464" s="412">
        <v>1</v>
      </c>
      <c r="M3464" s="412">
        <f t="shared" ref="M3464:M3488" si="25">K3464*L3464</f>
        <v>10</v>
      </c>
      <c r="N3464" s="412" t="s">
        <v>468</v>
      </c>
      <c r="O3464" s="544"/>
      <c r="P3464" s="544"/>
      <c r="Q3464" s="544"/>
      <c r="R3464" s="411"/>
      <c r="S3464" s="353"/>
    </row>
    <row r="3465" spans="1:19" ht="15.75" thickBot="1" x14ac:dyDescent="0.3">
      <c r="A3465" t="s">
        <v>3317</v>
      </c>
      <c r="B3465" s="438" t="s">
        <v>2037</v>
      </c>
      <c r="C3465" s="544"/>
      <c r="D3465" s="343">
        <v>610000004382</v>
      </c>
      <c r="E3465" s="344">
        <f>VLOOKUP(D3465,'[1]Task list &amp; Maintenace plan'!$B:$G,6,FALSE)</f>
        <v>100816</v>
      </c>
      <c r="F3465" s="344" t="s">
        <v>4944</v>
      </c>
      <c r="G3465" s="345" t="s">
        <v>4940</v>
      </c>
      <c r="H3465" s="345" t="s">
        <v>4945</v>
      </c>
      <c r="I3465" s="344">
        <v>30</v>
      </c>
      <c r="J3465" s="733"/>
      <c r="K3465" s="733">
        <v>10</v>
      </c>
      <c r="L3465" s="733">
        <v>1</v>
      </c>
      <c r="M3465" s="733">
        <f t="shared" si="25"/>
        <v>10</v>
      </c>
      <c r="N3465" s="733" t="s">
        <v>20</v>
      </c>
      <c r="O3465" s="544"/>
      <c r="P3465" s="544"/>
      <c r="Q3465" s="544"/>
      <c r="R3465" s="418"/>
      <c r="S3465" s="344"/>
    </row>
    <row r="3466" spans="1:19" ht="15.75" thickBot="1" x14ac:dyDescent="0.3">
      <c r="A3466" t="s">
        <v>3317</v>
      </c>
      <c r="B3466" s="438" t="s">
        <v>2037</v>
      </c>
      <c r="C3466" s="51"/>
      <c r="D3466" s="346">
        <v>610000004382</v>
      </c>
      <c r="E3466" s="347">
        <f>VLOOKUP(D3466,'[1]Task list &amp; Maintenace plan'!$B:$G,6,FALSE)</f>
        <v>100816</v>
      </c>
      <c r="F3466" s="347" t="s">
        <v>4944</v>
      </c>
      <c r="G3466" s="348" t="s">
        <v>2065</v>
      </c>
      <c r="H3466" s="348" t="s">
        <v>4946</v>
      </c>
      <c r="I3466" s="347">
        <v>30</v>
      </c>
      <c r="J3466" s="736"/>
      <c r="K3466" s="736">
        <v>10</v>
      </c>
      <c r="L3466" s="736">
        <v>1</v>
      </c>
      <c r="M3466" s="736">
        <f t="shared" si="25"/>
        <v>10</v>
      </c>
      <c r="N3466" s="736"/>
      <c r="O3466" s="544"/>
      <c r="P3466" s="544"/>
      <c r="Q3466" s="544"/>
      <c r="R3466" s="413"/>
      <c r="S3466" s="347"/>
    </row>
    <row r="3467" spans="1:19" ht="15.75" thickBot="1" x14ac:dyDescent="0.3">
      <c r="A3467" t="s">
        <v>3317</v>
      </c>
      <c r="B3467" s="438" t="s">
        <v>2037</v>
      </c>
      <c r="C3467" s="51"/>
      <c r="D3467" s="346">
        <v>610000004382</v>
      </c>
      <c r="E3467" s="347">
        <f>VLOOKUP(D3467,'[1]Task list &amp; Maintenace plan'!$B:$G,6,FALSE)</f>
        <v>100816</v>
      </c>
      <c r="F3467" s="347" t="s">
        <v>4944</v>
      </c>
      <c r="G3467" s="348" t="s">
        <v>4940</v>
      </c>
      <c r="H3467" s="348" t="s">
        <v>4947</v>
      </c>
      <c r="I3467" s="347">
        <v>30</v>
      </c>
      <c r="J3467" s="736"/>
      <c r="K3467" s="736">
        <v>10</v>
      </c>
      <c r="L3467" s="736">
        <v>1</v>
      </c>
      <c r="M3467" s="736">
        <f t="shared" si="25"/>
        <v>10</v>
      </c>
      <c r="N3467" s="736"/>
      <c r="O3467" s="544"/>
      <c r="P3467" s="544"/>
      <c r="Q3467" s="544"/>
      <c r="R3467" s="413"/>
      <c r="S3467" s="347"/>
    </row>
    <row r="3468" spans="1:19" ht="15.75" thickBot="1" x14ac:dyDescent="0.3">
      <c r="A3468" t="s">
        <v>3317</v>
      </c>
      <c r="B3468" s="438" t="s">
        <v>2037</v>
      </c>
      <c r="C3468" s="51"/>
      <c r="D3468" s="346">
        <v>610000004382</v>
      </c>
      <c r="E3468" s="347">
        <f>VLOOKUP(D3468,'[1]Task list &amp; Maintenace plan'!$B:$G,6,FALSE)</f>
        <v>100816</v>
      </c>
      <c r="F3468" s="347" t="s">
        <v>4944</v>
      </c>
      <c r="G3468" s="348" t="s">
        <v>2065</v>
      </c>
      <c r="H3468" s="348" t="s">
        <v>4948</v>
      </c>
      <c r="I3468" s="347">
        <v>30</v>
      </c>
      <c r="J3468" s="736"/>
      <c r="K3468" s="736">
        <v>10</v>
      </c>
      <c r="L3468" s="736">
        <v>1</v>
      </c>
      <c r="M3468" s="736">
        <f t="shared" si="25"/>
        <v>10</v>
      </c>
      <c r="N3468" s="736"/>
      <c r="O3468" s="544"/>
      <c r="P3468" s="544"/>
      <c r="Q3468" s="544"/>
      <c r="R3468" s="413"/>
      <c r="S3468" s="347"/>
    </row>
    <row r="3469" spans="1:19" ht="15.75" thickBot="1" x14ac:dyDescent="0.3">
      <c r="A3469" t="s">
        <v>3317</v>
      </c>
      <c r="B3469" s="438" t="s">
        <v>2037</v>
      </c>
      <c r="C3469" s="51"/>
      <c r="D3469" s="346">
        <v>610000004382</v>
      </c>
      <c r="E3469" s="347">
        <f>VLOOKUP(D3469,'[1]Task list &amp; Maintenace plan'!$B:$G,6,FALSE)</f>
        <v>100816</v>
      </c>
      <c r="F3469" s="347" t="s">
        <v>4944</v>
      </c>
      <c r="G3469" s="348" t="s">
        <v>4949</v>
      </c>
      <c r="H3469" s="348" t="s">
        <v>4950</v>
      </c>
      <c r="I3469" s="347">
        <v>30</v>
      </c>
      <c r="J3469" s="736"/>
      <c r="K3469" s="736">
        <v>10</v>
      </c>
      <c r="L3469" s="736">
        <v>1</v>
      </c>
      <c r="M3469" s="736">
        <f t="shared" si="25"/>
        <v>10</v>
      </c>
      <c r="N3469" s="736"/>
      <c r="O3469" s="544"/>
      <c r="P3469" s="544"/>
      <c r="Q3469" s="544"/>
      <c r="R3469" s="413"/>
      <c r="S3469" s="347"/>
    </row>
    <row r="3470" spans="1:19" ht="15.75" thickBot="1" x14ac:dyDescent="0.3">
      <c r="A3470" t="s">
        <v>3317</v>
      </c>
      <c r="B3470" s="438" t="s">
        <v>2037</v>
      </c>
      <c r="C3470" s="51"/>
      <c r="D3470" s="346">
        <v>610000004382</v>
      </c>
      <c r="E3470" s="347">
        <f>VLOOKUP(D3470,'[1]Task list &amp; Maintenace plan'!$B:$G,6,FALSE)</f>
        <v>100816</v>
      </c>
      <c r="F3470" s="347" t="s">
        <v>4944</v>
      </c>
      <c r="G3470" s="348" t="s">
        <v>4951</v>
      </c>
      <c r="H3470" s="348" t="s">
        <v>4952</v>
      </c>
      <c r="I3470" s="347">
        <v>30</v>
      </c>
      <c r="J3470" s="736"/>
      <c r="K3470" s="736">
        <v>10</v>
      </c>
      <c r="L3470" s="736">
        <v>1</v>
      </c>
      <c r="M3470" s="736">
        <f t="shared" si="25"/>
        <v>10</v>
      </c>
      <c r="N3470" s="736"/>
      <c r="O3470" s="544"/>
      <c r="P3470" s="544"/>
      <c r="Q3470" s="544"/>
      <c r="R3470" s="413"/>
      <c r="S3470" s="347"/>
    </row>
    <row r="3471" spans="1:19" ht="15.75" thickBot="1" x14ac:dyDescent="0.3">
      <c r="A3471" t="s">
        <v>3317</v>
      </c>
      <c r="B3471" s="438" t="s">
        <v>2037</v>
      </c>
      <c r="C3471" s="51"/>
      <c r="D3471" s="346">
        <v>610000004382</v>
      </c>
      <c r="E3471" s="347">
        <f>VLOOKUP(D3471,'[1]Task list &amp; Maintenace plan'!$B:$G,6,FALSE)</f>
        <v>100816</v>
      </c>
      <c r="F3471" s="347" t="s">
        <v>4944</v>
      </c>
      <c r="G3471" s="348" t="s">
        <v>2079</v>
      </c>
      <c r="H3471" s="348" t="s">
        <v>4953</v>
      </c>
      <c r="I3471" s="347">
        <v>30</v>
      </c>
      <c r="J3471" s="736"/>
      <c r="K3471" s="736">
        <v>10</v>
      </c>
      <c r="L3471" s="736">
        <v>1</v>
      </c>
      <c r="M3471" s="736">
        <f t="shared" si="25"/>
        <v>10</v>
      </c>
      <c r="N3471" s="736"/>
      <c r="O3471" s="544"/>
      <c r="P3471" s="544"/>
      <c r="Q3471" s="544"/>
      <c r="R3471" s="413"/>
      <c r="S3471" s="347"/>
    </row>
    <row r="3472" spans="1:19" ht="15.75" thickBot="1" x14ac:dyDescent="0.3">
      <c r="A3472" t="s">
        <v>3317</v>
      </c>
      <c r="B3472" s="438" t="s">
        <v>2037</v>
      </c>
      <c r="C3472" s="51"/>
      <c r="D3472" s="346">
        <v>610000004382</v>
      </c>
      <c r="E3472" s="347">
        <f>VLOOKUP(D3472,'[1]Task list &amp; Maintenace plan'!$B:$G,6,FALSE)</f>
        <v>100816</v>
      </c>
      <c r="F3472" s="347" t="s">
        <v>4944</v>
      </c>
      <c r="G3472" s="348" t="s">
        <v>2079</v>
      </c>
      <c r="H3472" s="348" t="s">
        <v>4954</v>
      </c>
      <c r="I3472" s="347">
        <v>30</v>
      </c>
      <c r="J3472" s="736"/>
      <c r="K3472" s="736">
        <v>10</v>
      </c>
      <c r="L3472" s="736">
        <v>1</v>
      </c>
      <c r="M3472" s="736">
        <f t="shared" si="25"/>
        <v>10</v>
      </c>
      <c r="N3472" s="736"/>
      <c r="O3472" s="544"/>
      <c r="P3472" s="544"/>
      <c r="Q3472" s="544"/>
      <c r="R3472" s="413"/>
      <c r="S3472" s="347"/>
    </row>
    <row r="3473" spans="1:19" ht="15.75" thickBot="1" x14ac:dyDescent="0.3">
      <c r="A3473" t="s">
        <v>3317</v>
      </c>
      <c r="B3473" s="438" t="s">
        <v>2037</v>
      </c>
      <c r="C3473" s="51"/>
      <c r="D3473" s="346">
        <v>610000004382</v>
      </c>
      <c r="E3473" s="347">
        <f>VLOOKUP(D3473,'[1]Task list &amp; Maintenace plan'!$B:$G,6,FALSE)</f>
        <v>100816</v>
      </c>
      <c r="F3473" s="347" t="s">
        <v>4944</v>
      </c>
      <c r="G3473" s="348" t="s">
        <v>2079</v>
      </c>
      <c r="H3473" s="348" t="s">
        <v>4955</v>
      </c>
      <c r="I3473" s="347">
        <v>30</v>
      </c>
      <c r="J3473" s="736"/>
      <c r="K3473" s="736">
        <v>10</v>
      </c>
      <c r="L3473" s="736">
        <v>1</v>
      </c>
      <c r="M3473" s="736">
        <f t="shared" si="25"/>
        <v>10</v>
      </c>
      <c r="N3473" s="736"/>
      <c r="O3473" s="544"/>
      <c r="P3473" s="544"/>
      <c r="Q3473" s="544"/>
      <c r="R3473" s="413"/>
      <c r="S3473" s="347"/>
    </row>
    <row r="3474" spans="1:19" ht="15.75" thickBot="1" x14ac:dyDescent="0.3">
      <c r="A3474" t="s">
        <v>3317</v>
      </c>
      <c r="B3474" s="438" t="s">
        <v>2037</v>
      </c>
      <c r="C3474" s="51"/>
      <c r="D3474" s="349">
        <v>610000004382</v>
      </c>
      <c r="E3474" s="350">
        <f>VLOOKUP(D3474,'[1]Task list &amp; Maintenace plan'!$B:$G,6,FALSE)</f>
        <v>100816</v>
      </c>
      <c r="F3474" s="350" t="s">
        <v>4944</v>
      </c>
      <c r="G3474" s="351" t="s">
        <v>2079</v>
      </c>
      <c r="H3474" s="351" t="s">
        <v>4956</v>
      </c>
      <c r="I3474" s="350">
        <v>30</v>
      </c>
      <c r="J3474" s="737"/>
      <c r="K3474" s="737">
        <v>10</v>
      </c>
      <c r="L3474" s="737">
        <v>1</v>
      </c>
      <c r="M3474" s="737">
        <f t="shared" si="25"/>
        <v>10</v>
      </c>
      <c r="N3474" s="737"/>
      <c r="O3474" s="544"/>
      <c r="P3474" s="544"/>
      <c r="Q3474" s="544"/>
      <c r="R3474" s="414"/>
      <c r="S3474" s="350"/>
    </row>
    <row r="3475" spans="1:19" ht="15.75" thickBot="1" x14ac:dyDescent="0.3">
      <c r="A3475" t="s">
        <v>3317</v>
      </c>
      <c r="B3475" s="438" t="s">
        <v>2037</v>
      </c>
      <c r="C3475" s="51"/>
      <c r="D3475" s="343">
        <v>610000004383</v>
      </c>
      <c r="E3475" s="344">
        <f>VLOOKUP(D3475,'[1]Task list &amp; Maintenace plan'!$B:$G,6,FALSE)</f>
        <v>100817</v>
      </c>
      <c r="F3475" s="344" t="s">
        <v>4957</v>
      </c>
      <c r="G3475" s="345" t="s">
        <v>4949</v>
      </c>
      <c r="H3475" s="345" t="s">
        <v>4958</v>
      </c>
      <c r="I3475" s="344">
        <v>30</v>
      </c>
      <c r="J3475" s="733"/>
      <c r="K3475" s="733">
        <v>10</v>
      </c>
      <c r="L3475" s="733">
        <v>1</v>
      </c>
      <c r="M3475" s="733">
        <f t="shared" si="25"/>
        <v>10</v>
      </c>
      <c r="N3475" s="733" t="s">
        <v>3174</v>
      </c>
      <c r="O3475" s="544"/>
      <c r="P3475" s="544"/>
      <c r="Q3475" s="544"/>
      <c r="R3475" s="418"/>
      <c r="S3475" s="344"/>
    </row>
    <row r="3476" spans="1:19" ht="15.75" thickBot="1" x14ac:dyDescent="0.3">
      <c r="A3476" t="s">
        <v>3317</v>
      </c>
      <c r="B3476" s="438" t="s">
        <v>2037</v>
      </c>
      <c r="C3476" s="51"/>
      <c r="D3476" s="349">
        <v>610000004383</v>
      </c>
      <c r="E3476" s="350">
        <f>VLOOKUP(D3476,'[1]Task list &amp; Maintenace plan'!$B:$G,6,FALSE)</f>
        <v>100817</v>
      </c>
      <c r="F3476" s="350" t="s">
        <v>4957</v>
      </c>
      <c r="G3476" s="351" t="s">
        <v>4951</v>
      </c>
      <c r="H3476" s="351" t="s">
        <v>4959</v>
      </c>
      <c r="I3476" s="350">
        <v>30</v>
      </c>
      <c r="J3476" s="737"/>
      <c r="K3476" s="737">
        <v>10</v>
      </c>
      <c r="L3476" s="737">
        <v>1</v>
      </c>
      <c r="M3476" s="737">
        <f t="shared" si="25"/>
        <v>10</v>
      </c>
      <c r="N3476" s="737"/>
      <c r="O3476" s="544"/>
      <c r="P3476" s="544"/>
      <c r="Q3476" s="544"/>
      <c r="R3476" s="414"/>
      <c r="S3476" s="350"/>
    </row>
    <row r="3477" spans="1:19" ht="15.75" thickBot="1" x14ac:dyDescent="0.3">
      <c r="A3477" t="s">
        <v>3317</v>
      </c>
      <c r="B3477" s="438" t="s">
        <v>2037</v>
      </c>
      <c r="C3477" s="51"/>
      <c r="D3477" s="349">
        <v>610000004384</v>
      </c>
      <c r="E3477" s="350">
        <f>VLOOKUP(D3477,'[1]Task list &amp; Maintenace plan'!$B:$G,6,FALSE)</f>
        <v>100818</v>
      </c>
      <c r="F3477" s="350" t="s">
        <v>4960</v>
      </c>
      <c r="G3477" s="351" t="s">
        <v>2079</v>
      </c>
      <c r="H3477" s="351" t="s">
        <v>3188</v>
      </c>
      <c r="I3477" s="350">
        <v>180</v>
      </c>
      <c r="J3477" s="472">
        <v>1</v>
      </c>
      <c r="K3477" s="472">
        <v>60</v>
      </c>
      <c r="L3477" s="472">
        <v>1</v>
      </c>
      <c r="M3477" s="472">
        <f t="shared" si="25"/>
        <v>60</v>
      </c>
      <c r="N3477" s="472" t="s">
        <v>3191</v>
      </c>
      <c r="O3477" s="544"/>
      <c r="P3477" s="544"/>
      <c r="Q3477" s="544"/>
      <c r="R3477" s="414"/>
      <c r="S3477" s="350"/>
    </row>
    <row r="3478" spans="1:19" ht="15.75" thickBot="1" x14ac:dyDescent="0.3">
      <c r="A3478" t="s">
        <v>3317</v>
      </c>
      <c r="B3478" s="438" t="s">
        <v>2037</v>
      </c>
      <c r="C3478" s="51"/>
      <c r="D3478" s="352">
        <v>342109</v>
      </c>
      <c r="E3478" s="353">
        <f>VLOOKUP(D3478,'[1]Task list &amp; Maintenace plan'!$B:$G,6,FALSE)</f>
        <v>442</v>
      </c>
      <c r="F3478" s="353" t="s">
        <v>4961</v>
      </c>
      <c r="G3478" s="61" t="s">
        <v>2079</v>
      </c>
      <c r="H3478" s="61" t="s">
        <v>3190</v>
      </c>
      <c r="I3478" s="353">
        <v>180</v>
      </c>
      <c r="J3478" s="412"/>
      <c r="K3478" s="412">
        <v>10</v>
      </c>
      <c r="L3478" s="412">
        <v>1</v>
      </c>
      <c r="M3478" s="412">
        <f t="shared" si="25"/>
        <v>10</v>
      </c>
      <c r="N3478" s="412" t="s">
        <v>3191</v>
      </c>
      <c r="O3478" s="544"/>
      <c r="P3478" s="544"/>
      <c r="Q3478" s="544"/>
      <c r="R3478" s="411"/>
      <c r="S3478" s="353"/>
    </row>
    <row r="3479" spans="1:19" ht="15.75" thickBot="1" x14ac:dyDescent="0.3">
      <c r="A3479" t="s">
        <v>3317</v>
      </c>
      <c r="B3479" s="438" t="s">
        <v>2037</v>
      </c>
      <c r="C3479" s="51"/>
      <c r="D3479" s="343">
        <v>610000004385</v>
      </c>
      <c r="E3479" s="344">
        <f>VLOOKUP(D3479,'[1]Task list &amp; Maintenace plan'!$B:$G,6,FALSE)</f>
        <v>100819</v>
      </c>
      <c r="F3479" s="344" t="s">
        <v>4962</v>
      </c>
      <c r="G3479" s="345" t="s">
        <v>2076</v>
      </c>
      <c r="H3479" s="345" t="s">
        <v>4963</v>
      </c>
      <c r="I3479" s="344">
        <v>180</v>
      </c>
      <c r="J3479" s="733">
        <v>1</v>
      </c>
      <c r="K3479" s="733">
        <v>30</v>
      </c>
      <c r="L3479" s="733">
        <v>1</v>
      </c>
      <c r="M3479" s="733">
        <f t="shared" si="25"/>
        <v>30</v>
      </c>
      <c r="N3479" s="733" t="s">
        <v>452</v>
      </c>
      <c r="O3479" s="544"/>
      <c r="P3479" s="544"/>
      <c r="Q3479" s="544"/>
      <c r="R3479" s="418" t="s">
        <v>4964</v>
      </c>
      <c r="S3479" s="344"/>
    </row>
    <row r="3480" spans="1:19" ht="15.75" thickBot="1" x14ac:dyDescent="0.3">
      <c r="A3480" t="s">
        <v>3317</v>
      </c>
      <c r="B3480" s="438" t="s">
        <v>2037</v>
      </c>
      <c r="C3480" s="51"/>
      <c r="D3480" s="415">
        <v>610000004385</v>
      </c>
      <c r="E3480" s="493">
        <f>VLOOKUP(D3480,'[1]Task list &amp; Maintenace plan'!$B:$G,6,FALSE)</f>
        <v>100819</v>
      </c>
      <c r="F3480" s="493" t="s">
        <v>4962</v>
      </c>
      <c r="G3480" s="494" t="s">
        <v>4940</v>
      </c>
      <c r="H3480" s="494" t="s">
        <v>4965</v>
      </c>
      <c r="I3480" s="493">
        <v>180</v>
      </c>
      <c r="J3480" s="736">
        <v>1</v>
      </c>
      <c r="K3480" s="736">
        <v>30</v>
      </c>
      <c r="L3480" s="736">
        <v>1</v>
      </c>
      <c r="M3480" s="736">
        <f t="shared" si="25"/>
        <v>30</v>
      </c>
      <c r="N3480" s="736"/>
      <c r="O3480" s="544"/>
      <c r="P3480" s="544"/>
      <c r="Q3480" s="544"/>
      <c r="R3480" s="641" t="s">
        <v>4966</v>
      </c>
      <c r="S3480" s="493"/>
    </row>
    <row r="3481" spans="1:19" ht="15.75" thickBot="1" x14ac:dyDescent="0.3">
      <c r="A3481" t="s">
        <v>3317</v>
      </c>
      <c r="B3481" s="438" t="s">
        <v>2037</v>
      </c>
      <c r="C3481" s="51"/>
      <c r="D3481" s="349">
        <v>610000004385</v>
      </c>
      <c r="E3481" s="350">
        <f>VLOOKUP(D3481,'[1]Task list &amp; Maintenace plan'!$B:$G,6,FALSE)</f>
        <v>100819</v>
      </c>
      <c r="F3481" s="350" t="s">
        <v>4962</v>
      </c>
      <c r="G3481" s="351" t="s">
        <v>2065</v>
      </c>
      <c r="H3481" s="351" t="s">
        <v>4965</v>
      </c>
      <c r="I3481" s="350">
        <v>180</v>
      </c>
      <c r="J3481" s="737">
        <v>1</v>
      </c>
      <c r="K3481" s="737">
        <v>30</v>
      </c>
      <c r="L3481" s="737">
        <v>1</v>
      </c>
      <c r="M3481" s="737">
        <f t="shared" si="25"/>
        <v>30</v>
      </c>
      <c r="N3481" s="737"/>
      <c r="O3481" s="544"/>
      <c r="P3481" s="544"/>
      <c r="Q3481" s="544"/>
      <c r="R3481" s="414" t="s">
        <v>4966</v>
      </c>
      <c r="S3481" s="350"/>
    </row>
    <row r="3482" spans="1:19" ht="15.75" thickBot="1" x14ac:dyDescent="0.3">
      <c r="A3482" t="s">
        <v>3317</v>
      </c>
      <c r="B3482" s="438" t="s">
        <v>2037</v>
      </c>
      <c r="C3482" s="51"/>
      <c r="D3482" s="417">
        <v>342394</v>
      </c>
      <c r="E3482" s="421">
        <f>VLOOKUP(D3482,'[1]Task list &amp; Maintenace plan'!$B:$G,6,FALSE)</f>
        <v>511</v>
      </c>
      <c r="F3482" s="421" t="s">
        <v>4967</v>
      </c>
      <c r="G3482" s="420" t="s">
        <v>2086</v>
      </c>
      <c r="H3482" s="420" t="s">
        <v>4968</v>
      </c>
      <c r="I3482" s="421" t="s">
        <v>4969</v>
      </c>
      <c r="J3482" s="733"/>
      <c r="K3482" s="733">
        <v>30</v>
      </c>
      <c r="L3482" s="733">
        <v>1</v>
      </c>
      <c r="M3482" s="733">
        <f t="shared" si="25"/>
        <v>30</v>
      </c>
      <c r="N3482" s="733" t="s">
        <v>20</v>
      </c>
      <c r="O3482" s="544"/>
      <c r="P3482" s="544"/>
      <c r="Q3482" s="544"/>
      <c r="R3482" s="422"/>
      <c r="S3482" s="421"/>
    </row>
    <row r="3483" spans="1:19" ht="15.75" thickBot="1" x14ac:dyDescent="0.3">
      <c r="A3483" t="s">
        <v>3317</v>
      </c>
      <c r="B3483" s="438" t="s">
        <v>2037</v>
      </c>
      <c r="C3483" s="51"/>
      <c r="D3483" s="346">
        <v>342394</v>
      </c>
      <c r="E3483" s="347">
        <f>VLOOKUP(D3483,'[1]Task list &amp; Maintenace plan'!$B:$G,6,FALSE)</f>
        <v>511</v>
      </c>
      <c r="F3483" s="347" t="s">
        <v>4967</v>
      </c>
      <c r="G3483" s="348" t="s">
        <v>2086</v>
      </c>
      <c r="H3483" s="348" t="s">
        <v>4970</v>
      </c>
      <c r="I3483" s="347" t="s">
        <v>4969</v>
      </c>
      <c r="J3483" s="736"/>
      <c r="K3483" s="736">
        <v>30</v>
      </c>
      <c r="L3483" s="736">
        <v>1</v>
      </c>
      <c r="M3483" s="736">
        <f t="shared" si="25"/>
        <v>30</v>
      </c>
      <c r="N3483" s="736"/>
      <c r="O3483" s="544"/>
      <c r="P3483" s="544"/>
      <c r="Q3483" s="544"/>
      <c r="R3483" s="413"/>
      <c r="S3483" s="347"/>
    </row>
    <row r="3484" spans="1:19" ht="15.75" thickBot="1" x14ac:dyDescent="0.3">
      <c r="A3484" t="s">
        <v>3317</v>
      </c>
      <c r="B3484" s="438" t="s">
        <v>2037</v>
      </c>
      <c r="C3484" s="51"/>
      <c r="D3484" s="346">
        <v>342394</v>
      </c>
      <c r="E3484" s="347">
        <f>VLOOKUP(D3484,'[1]Task list &amp; Maintenace plan'!$B:$G,6,FALSE)</f>
        <v>511</v>
      </c>
      <c r="F3484" s="347" t="s">
        <v>4967</v>
      </c>
      <c r="G3484" s="348" t="s">
        <v>2086</v>
      </c>
      <c r="H3484" s="348" t="s">
        <v>4971</v>
      </c>
      <c r="I3484" s="347" t="s">
        <v>4969</v>
      </c>
      <c r="J3484" s="736"/>
      <c r="K3484" s="736">
        <v>30</v>
      </c>
      <c r="L3484" s="736">
        <v>1</v>
      </c>
      <c r="M3484" s="736">
        <f t="shared" si="25"/>
        <v>30</v>
      </c>
      <c r="N3484" s="736"/>
      <c r="O3484" s="544"/>
      <c r="P3484" s="544"/>
      <c r="Q3484" s="544"/>
      <c r="R3484" s="413"/>
      <c r="S3484" s="347"/>
    </row>
    <row r="3485" spans="1:19" ht="15.75" thickBot="1" x14ac:dyDescent="0.3">
      <c r="A3485" t="s">
        <v>3317</v>
      </c>
      <c r="B3485" s="438" t="s">
        <v>2037</v>
      </c>
      <c r="C3485" s="51"/>
      <c r="D3485" s="349">
        <v>342394</v>
      </c>
      <c r="E3485" s="350">
        <f>VLOOKUP(D3485,'[1]Task list &amp; Maintenace plan'!$B:$G,6,FALSE)</f>
        <v>511</v>
      </c>
      <c r="F3485" s="350" t="s">
        <v>4967</v>
      </c>
      <c r="G3485" s="351" t="s">
        <v>2086</v>
      </c>
      <c r="H3485" s="351" t="s">
        <v>4972</v>
      </c>
      <c r="I3485" s="350" t="s">
        <v>4969</v>
      </c>
      <c r="J3485" s="737"/>
      <c r="K3485" s="737">
        <v>30</v>
      </c>
      <c r="L3485" s="737">
        <v>1</v>
      </c>
      <c r="M3485" s="737">
        <f t="shared" si="25"/>
        <v>30</v>
      </c>
      <c r="N3485" s="737"/>
      <c r="O3485" s="544"/>
      <c r="P3485" s="544"/>
      <c r="Q3485" s="544"/>
      <c r="R3485" s="414"/>
      <c r="S3485" s="350"/>
    </row>
    <row r="3486" spans="1:19" ht="15.75" thickBot="1" x14ac:dyDescent="0.3">
      <c r="A3486" t="s">
        <v>3317</v>
      </c>
      <c r="B3486" s="438" t="s">
        <v>2037</v>
      </c>
      <c r="C3486" s="51"/>
      <c r="D3486" s="423">
        <v>342395</v>
      </c>
      <c r="E3486" s="434">
        <f>VLOOKUP(D3486,'[1]Task list &amp; Maintenace plan'!$B:$G,6,FALSE)</f>
        <v>512</v>
      </c>
      <c r="F3486" s="434" t="s">
        <v>4973</v>
      </c>
      <c r="G3486" s="433" t="s">
        <v>2086</v>
      </c>
      <c r="H3486" s="433" t="s">
        <v>4974</v>
      </c>
      <c r="I3486" s="434" t="s">
        <v>2093</v>
      </c>
      <c r="J3486" s="436"/>
      <c r="K3486" s="436">
        <v>60</v>
      </c>
      <c r="L3486" s="436">
        <v>1</v>
      </c>
      <c r="M3486" s="436">
        <f t="shared" si="25"/>
        <v>60</v>
      </c>
      <c r="N3486" s="436" t="s">
        <v>468</v>
      </c>
      <c r="O3486" s="544"/>
      <c r="P3486" s="544"/>
      <c r="Q3486" s="544"/>
      <c r="R3486" s="435"/>
      <c r="S3486" s="434"/>
    </row>
    <row r="3487" spans="1:19" ht="15.75" thickBot="1" x14ac:dyDescent="0.3">
      <c r="A3487" t="s">
        <v>3317</v>
      </c>
      <c r="B3487" s="438" t="s">
        <v>2037</v>
      </c>
      <c r="C3487" s="51"/>
      <c r="D3487" s="423">
        <v>342397</v>
      </c>
      <c r="E3487" s="434">
        <f>VLOOKUP(D3487,'[1]Task list &amp; Maintenace plan'!$B:$G,6,FALSE)</f>
        <v>514</v>
      </c>
      <c r="F3487" s="434" t="s">
        <v>4975</v>
      </c>
      <c r="G3487" s="433" t="s">
        <v>2086</v>
      </c>
      <c r="H3487" s="433" t="s">
        <v>4976</v>
      </c>
      <c r="I3487" s="434" t="s">
        <v>4977</v>
      </c>
      <c r="J3487" s="436"/>
      <c r="K3487" s="436">
        <v>60</v>
      </c>
      <c r="L3487" s="436">
        <v>1</v>
      </c>
      <c r="M3487" s="436">
        <f t="shared" si="25"/>
        <v>60</v>
      </c>
      <c r="N3487" s="436" t="s">
        <v>468</v>
      </c>
      <c r="O3487" s="544"/>
      <c r="P3487" s="544"/>
      <c r="Q3487" s="544"/>
      <c r="R3487" s="435"/>
      <c r="S3487" s="434"/>
    </row>
    <row r="3488" spans="1:19" x14ac:dyDescent="0.25">
      <c r="A3488" t="s">
        <v>3317</v>
      </c>
      <c r="B3488" s="438" t="s">
        <v>2037</v>
      </c>
      <c r="C3488" s="382"/>
      <c r="D3488" s="423">
        <v>342398</v>
      </c>
      <c r="E3488" s="434">
        <f>VLOOKUP(D3488,'[1]Task list &amp; Maintenace plan'!$B:$G,6,FALSE)</f>
        <v>515</v>
      </c>
      <c r="F3488" s="434" t="s">
        <v>4978</v>
      </c>
      <c r="G3488" s="433" t="s">
        <v>2086</v>
      </c>
      <c r="H3488" s="433" t="s">
        <v>4979</v>
      </c>
      <c r="I3488" s="434" t="s">
        <v>4980</v>
      </c>
      <c r="J3488" s="436"/>
      <c r="K3488" s="436">
        <v>60</v>
      </c>
      <c r="L3488" s="436">
        <v>1</v>
      </c>
      <c r="M3488" s="436">
        <f t="shared" si="25"/>
        <v>60</v>
      </c>
      <c r="N3488" s="436" t="s">
        <v>468</v>
      </c>
      <c r="O3488" s="544"/>
      <c r="P3488" s="544"/>
      <c r="Q3488" s="544"/>
      <c r="R3488" s="435"/>
      <c r="S3488" s="434"/>
    </row>
    <row r="3489" spans="1:19" x14ac:dyDescent="0.25">
      <c r="A3489" t="s">
        <v>3317</v>
      </c>
      <c r="B3489" s="464" t="s">
        <v>2391</v>
      </c>
      <c r="C3489" s="465"/>
      <c r="D3489" s="334">
        <v>610000004727</v>
      </c>
      <c r="E3489" s="334"/>
      <c r="F3489" s="335" t="s">
        <v>4981</v>
      </c>
      <c r="G3489" s="646" t="s">
        <v>2398</v>
      </c>
      <c r="H3489" s="646" t="s">
        <v>4982</v>
      </c>
      <c r="I3489" s="647">
        <v>15</v>
      </c>
      <c r="J3489" s="647"/>
      <c r="K3489" s="647"/>
      <c r="L3489" s="647"/>
      <c r="M3489" s="647"/>
      <c r="N3489" s="544"/>
      <c r="O3489" s="544"/>
      <c r="P3489" s="544"/>
      <c r="Q3489" s="544"/>
      <c r="R3489" s="648"/>
      <c r="S3489" s="647"/>
    </row>
    <row r="3490" spans="1:19" x14ac:dyDescent="0.25">
      <c r="A3490" t="s">
        <v>3317</v>
      </c>
      <c r="B3490" s="464" t="s">
        <v>2391</v>
      </c>
      <c r="C3490" s="51"/>
      <c r="D3490" s="326">
        <v>610000004727</v>
      </c>
      <c r="E3490" s="326"/>
      <c r="F3490" s="327" t="s">
        <v>4981</v>
      </c>
      <c r="G3490" s="381" t="s">
        <v>2400</v>
      </c>
      <c r="H3490" s="381" t="s">
        <v>3152</v>
      </c>
      <c r="I3490" s="649">
        <v>15</v>
      </c>
      <c r="J3490" s="649"/>
      <c r="K3490" s="649"/>
      <c r="L3490" s="649"/>
      <c r="M3490" s="649"/>
      <c r="N3490" s="544"/>
      <c r="O3490" s="544"/>
      <c r="P3490" s="544"/>
      <c r="Q3490" s="544"/>
      <c r="R3490" s="650"/>
      <c r="S3490" s="649"/>
    </row>
    <row r="3491" spans="1:19" x14ac:dyDescent="0.25">
      <c r="A3491" t="s">
        <v>3317</v>
      </c>
      <c r="B3491" s="464" t="s">
        <v>2391</v>
      </c>
      <c r="C3491" s="51"/>
      <c r="D3491" s="326">
        <v>610000004727</v>
      </c>
      <c r="E3491" s="326"/>
      <c r="F3491" s="327" t="s">
        <v>4981</v>
      </c>
      <c r="G3491" s="381" t="s">
        <v>2392</v>
      </c>
      <c r="H3491" s="381" t="s">
        <v>4983</v>
      </c>
      <c r="I3491" s="649">
        <v>15</v>
      </c>
      <c r="J3491" s="649"/>
      <c r="K3491" s="649"/>
      <c r="L3491" s="649"/>
      <c r="M3491" s="649"/>
      <c r="N3491" s="544"/>
      <c r="O3491" s="544"/>
      <c r="P3491" s="544"/>
      <c r="Q3491" s="544"/>
      <c r="R3491" s="650"/>
      <c r="S3491" s="649" t="s">
        <v>3186</v>
      </c>
    </row>
    <row r="3492" spans="1:19" x14ac:dyDescent="0.25">
      <c r="A3492" t="s">
        <v>3317</v>
      </c>
      <c r="B3492" s="464" t="s">
        <v>2391</v>
      </c>
      <c r="C3492" s="51"/>
      <c r="D3492" s="326">
        <v>610000004727</v>
      </c>
      <c r="E3492" s="326"/>
      <c r="F3492" s="327" t="s">
        <v>4981</v>
      </c>
      <c r="G3492" s="381" t="s">
        <v>2395</v>
      </c>
      <c r="H3492" s="381" t="s">
        <v>3153</v>
      </c>
      <c r="I3492" s="649">
        <v>15</v>
      </c>
      <c r="J3492" s="649"/>
      <c r="K3492" s="649"/>
      <c r="L3492" s="649"/>
      <c r="M3492" s="649"/>
      <c r="N3492" s="544"/>
      <c r="O3492" s="544"/>
      <c r="P3492" s="544"/>
      <c r="Q3492" s="544"/>
      <c r="R3492" s="650"/>
      <c r="S3492" s="649" t="s">
        <v>3342</v>
      </c>
    </row>
    <row r="3493" spans="1:19" x14ac:dyDescent="0.25">
      <c r="A3493" t="s">
        <v>3317</v>
      </c>
      <c r="B3493" s="464" t="s">
        <v>2391</v>
      </c>
      <c r="C3493" s="51"/>
      <c r="D3493" s="326">
        <v>610000004727</v>
      </c>
      <c r="E3493" s="326"/>
      <c r="F3493" s="327" t="s">
        <v>4981</v>
      </c>
      <c r="G3493" s="381" t="s">
        <v>2398</v>
      </c>
      <c r="H3493" s="381" t="s">
        <v>3154</v>
      </c>
      <c r="I3493" s="649">
        <v>15</v>
      </c>
      <c r="J3493" s="649"/>
      <c r="K3493" s="649"/>
      <c r="L3493" s="649"/>
      <c r="M3493" s="649"/>
      <c r="N3493" s="544"/>
      <c r="O3493" s="544"/>
      <c r="P3493" s="544"/>
      <c r="Q3493" s="544"/>
      <c r="R3493" s="650"/>
      <c r="S3493" s="649"/>
    </row>
    <row r="3494" spans="1:19" x14ac:dyDescent="0.25">
      <c r="A3494" t="s">
        <v>3317</v>
      </c>
      <c r="B3494" s="464" t="s">
        <v>2391</v>
      </c>
      <c r="C3494" s="51"/>
      <c r="D3494" s="337">
        <v>610000004727</v>
      </c>
      <c r="E3494" s="337"/>
      <c r="F3494" s="338" t="s">
        <v>4981</v>
      </c>
      <c r="G3494" s="651" t="s">
        <v>2400</v>
      </c>
      <c r="H3494" s="651" t="s">
        <v>3155</v>
      </c>
      <c r="I3494" s="652">
        <v>15</v>
      </c>
      <c r="J3494" s="652"/>
      <c r="K3494" s="652"/>
      <c r="L3494" s="652"/>
      <c r="M3494" s="652"/>
      <c r="N3494" s="544"/>
      <c r="O3494" s="544"/>
      <c r="P3494" s="544"/>
      <c r="Q3494" s="544"/>
      <c r="R3494" s="653"/>
      <c r="S3494" s="652"/>
    </row>
    <row r="3495" spans="1:19" x14ac:dyDescent="0.25">
      <c r="A3495" t="s">
        <v>3317</v>
      </c>
      <c r="B3495" s="464" t="s">
        <v>2391</v>
      </c>
      <c r="C3495" s="51"/>
      <c r="D3495" s="340">
        <v>610000004728</v>
      </c>
      <c r="E3495" s="340"/>
      <c r="F3495" s="341" t="s">
        <v>4984</v>
      </c>
      <c r="G3495" s="380" t="s">
        <v>2398</v>
      </c>
      <c r="H3495" s="380" t="s">
        <v>4985</v>
      </c>
      <c r="I3495" s="654">
        <v>15</v>
      </c>
      <c r="J3495" s="654"/>
      <c r="K3495" s="654"/>
      <c r="L3495" s="654"/>
      <c r="M3495" s="654"/>
      <c r="N3495" s="544"/>
      <c r="O3495" s="544"/>
      <c r="P3495" s="544"/>
      <c r="Q3495" s="544"/>
      <c r="R3495" s="655" t="s">
        <v>3750</v>
      </c>
      <c r="S3495" s="654"/>
    </row>
    <row r="3496" spans="1:19" x14ac:dyDescent="0.25">
      <c r="A3496" t="s">
        <v>3317</v>
      </c>
      <c r="B3496" s="464" t="s">
        <v>2391</v>
      </c>
      <c r="C3496" s="51"/>
      <c r="D3496" s="326">
        <v>610000004728</v>
      </c>
      <c r="E3496" s="326"/>
      <c r="F3496" s="327" t="s">
        <v>4984</v>
      </c>
      <c r="G3496" s="381" t="s">
        <v>2400</v>
      </c>
      <c r="H3496" s="381" t="s">
        <v>4986</v>
      </c>
      <c r="I3496" s="649">
        <v>15</v>
      </c>
      <c r="J3496" s="649"/>
      <c r="K3496" s="649"/>
      <c r="L3496" s="649"/>
      <c r="M3496" s="649"/>
      <c r="N3496" s="544"/>
      <c r="O3496" s="544"/>
      <c r="P3496" s="544"/>
      <c r="Q3496" s="544"/>
      <c r="R3496" s="650" t="s">
        <v>3750</v>
      </c>
      <c r="S3496" s="649"/>
    </row>
    <row r="3497" spans="1:19" x14ac:dyDescent="0.25">
      <c r="A3497" t="s">
        <v>3317</v>
      </c>
      <c r="B3497" s="464" t="s">
        <v>2391</v>
      </c>
      <c r="C3497" s="51"/>
      <c r="D3497" s="326">
        <v>610000004728</v>
      </c>
      <c r="E3497" s="326"/>
      <c r="F3497" s="327" t="s">
        <v>4984</v>
      </c>
      <c r="G3497" s="381" t="s">
        <v>2392</v>
      </c>
      <c r="H3497" s="381" t="s">
        <v>4987</v>
      </c>
      <c r="I3497" s="649">
        <v>15</v>
      </c>
      <c r="J3497" s="649"/>
      <c r="K3497" s="649"/>
      <c r="L3497" s="649"/>
      <c r="M3497" s="649"/>
      <c r="N3497" s="544"/>
      <c r="O3497" s="544"/>
      <c r="P3497" s="544"/>
      <c r="Q3497" s="544"/>
      <c r="R3497" s="650" t="s">
        <v>3750</v>
      </c>
      <c r="S3497" s="649"/>
    </row>
    <row r="3498" spans="1:19" x14ac:dyDescent="0.25">
      <c r="A3498" t="s">
        <v>3317</v>
      </c>
      <c r="B3498" s="464" t="s">
        <v>2391</v>
      </c>
      <c r="C3498" s="51"/>
      <c r="D3498" s="337">
        <v>610000004728</v>
      </c>
      <c r="E3498" s="337"/>
      <c r="F3498" s="338" t="s">
        <v>4984</v>
      </c>
      <c r="G3498" s="651" t="s">
        <v>2395</v>
      </c>
      <c r="H3498" s="651" t="s">
        <v>3162</v>
      </c>
      <c r="I3498" s="652">
        <v>15</v>
      </c>
      <c r="J3498" s="652"/>
      <c r="K3498" s="652"/>
      <c r="L3498" s="652"/>
      <c r="M3498" s="652"/>
      <c r="N3498" s="544"/>
      <c r="O3498" s="544"/>
      <c r="P3498" s="544"/>
      <c r="Q3498" s="544"/>
      <c r="R3498" s="653" t="s">
        <v>3750</v>
      </c>
      <c r="S3498" s="652"/>
    </row>
    <row r="3499" spans="1:19" x14ac:dyDescent="0.25">
      <c r="A3499" t="s">
        <v>3317</v>
      </c>
      <c r="B3499" s="464" t="s">
        <v>2391</v>
      </c>
      <c r="C3499" s="51"/>
      <c r="D3499" s="329">
        <v>342278</v>
      </c>
      <c r="E3499" s="329"/>
      <c r="F3499" s="330" t="s">
        <v>4988</v>
      </c>
      <c r="G3499" s="656" t="s">
        <v>2398</v>
      </c>
      <c r="H3499" s="656" t="s">
        <v>4989</v>
      </c>
      <c r="I3499" s="657">
        <v>30</v>
      </c>
      <c r="J3499" s="657"/>
      <c r="K3499" s="657"/>
      <c r="L3499" s="657"/>
      <c r="M3499" s="657"/>
      <c r="N3499" s="544"/>
      <c r="O3499" s="544"/>
      <c r="P3499" s="544"/>
      <c r="Q3499" s="544"/>
      <c r="R3499" s="658"/>
      <c r="S3499" s="657"/>
    </row>
    <row r="3500" spans="1:19" x14ac:dyDescent="0.25">
      <c r="A3500" t="s">
        <v>3317</v>
      </c>
      <c r="B3500" s="464" t="s">
        <v>2391</v>
      </c>
      <c r="C3500" s="51"/>
      <c r="D3500" s="337">
        <v>342278</v>
      </c>
      <c r="E3500" s="337"/>
      <c r="F3500" s="338" t="s">
        <v>4988</v>
      </c>
      <c r="G3500" s="651" t="s">
        <v>2400</v>
      </c>
      <c r="H3500" s="651" t="s">
        <v>4990</v>
      </c>
      <c r="I3500" s="652">
        <v>30</v>
      </c>
      <c r="J3500" s="652"/>
      <c r="K3500" s="652"/>
      <c r="L3500" s="652"/>
      <c r="M3500" s="652"/>
      <c r="N3500" s="544"/>
      <c r="O3500" s="544"/>
      <c r="P3500" s="544"/>
      <c r="Q3500" s="544"/>
      <c r="R3500" s="653"/>
      <c r="S3500" s="652"/>
    </row>
    <row r="3501" spans="1:19" ht="15.75" thickBot="1" x14ac:dyDescent="0.3">
      <c r="A3501" t="s">
        <v>3317</v>
      </c>
      <c r="B3501" s="464" t="s">
        <v>2391</v>
      </c>
      <c r="C3501" s="214"/>
      <c r="D3501" s="329">
        <v>343335</v>
      </c>
      <c r="E3501" s="329"/>
      <c r="F3501" s="330" t="s">
        <v>4991</v>
      </c>
      <c r="G3501" s="656" t="s">
        <v>471</v>
      </c>
      <c r="H3501" s="656" t="s">
        <v>4992</v>
      </c>
      <c r="I3501" s="657">
        <v>30</v>
      </c>
      <c r="J3501" s="657"/>
      <c r="K3501" s="657"/>
      <c r="L3501" s="657"/>
      <c r="M3501" s="657"/>
      <c r="N3501" s="544"/>
      <c r="O3501" s="544"/>
      <c r="P3501" s="544"/>
      <c r="Q3501" s="544"/>
      <c r="R3501" s="658"/>
      <c r="S3501" s="657"/>
    </row>
    <row r="3502" spans="1:19" x14ac:dyDescent="0.25">
      <c r="A3502" t="s">
        <v>3317</v>
      </c>
      <c r="B3502" s="50" t="s">
        <v>2414</v>
      </c>
      <c r="C3502" s="51"/>
      <c r="D3502" s="440">
        <v>610000004729</v>
      </c>
      <c r="E3502" s="440"/>
      <c r="F3502" s="442" t="s">
        <v>4993</v>
      </c>
      <c r="G3502" s="659" t="s">
        <v>4994</v>
      </c>
      <c r="H3502" s="659" t="s">
        <v>4995</v>
      </c>
      <c r="I3502" s="660">
        <v>15</v>
      </c>
      <c r="J3502" s="660"/>
      <c r="K3502" s="660"/>
      <c r="L3502" s="660"/>
      <c r="M3502" s="660"/>
      <c r="N3502" s="544"/>
      <c r="O3502" s="544"/>
      <c r="P3502" s="544"/>
      <c r="Q3502" s="544"/>
      <c r="R3502" s="661"/>
      <c r="S3502" s="660"/>
    </row>
    <row r="3503" spans="1:19" x14ac:dyDescent="0.25">
      <c r="A3503" t="s">
        <v>3317</v>
      </c>
      <c r="B3503" s="50" t="s">
        <v>2414</v>
      </c>
      <c r="C3503" s="51"/>
      <c r="D3503" s="340">
        <v>610000004730</v>
      </c>
      <c r="E3503" s="340"/>
      <c r="F3503" s="341" t="s">
        <v>4996</v>
      </c>
      <c r="G3503" s="380" t="s">
        <v>4994</v>
      </c>
      <c r="H3503" s="380" t="s">
        <v>4997</v>
      </c>
      <c r="I3503" s="654">
        <v>15</v>
      </c>
      <c r="J3503" s="654"/>
      <c r="K3503" s="654"/>
      <c r="L3503" s="654"/>
      <c r="M3503" s="654"/>
      <c r="N3503" s="544"/>
      <c r="O3503" s="544"/>
      <c r="P3503" s="544"/>
      <c r="Q3503" s="544"/>
      <c r="R3503" s="655"/>
      <c r="S3503" s="654"/>
    </row>
    <row r="3504" spans="1:19" x14ac:dyDescent="0.25">
      <c r="A3504" t="s">
        <v>3317</v>
      </c>
      <c r="B3504" s="50" t="s">
        <v>2414</v>
      </c>
      <c r="C3504" s="51"/>
      <c r="D3504" s="337">
        <v>610000004730</v>
      </c>
      <c r="E3504" s="337"/>
      <c r="F3504" s="338" t="s">
        <v>4996</v>
      </c>
      <c r="G3504" s="651" t="s">
        <v>4994</v>
      </c>
      <c r="H3504" s="651" t="s">
        <v>4998</v>
      </c>
      <c r="I3504" s="652">
        <v>15</v>
      </c>
      <c r="J3504" s="652"/>
      <c r="K3504" s="652"/>
      <c r="L3504" s="652"/>
      <c r="M3504" s="652"/>
      <c r="N3504" s="544"/>
      <c r="O3504" s="544"/>
      <c r="P3504" s="544"/>
      <c r="Q3504" s="544"/>
      <c r="R3504" s="653"/>
      <c r="S3504" s="652"/>
    </row>
    <row r="3505" spans="1:19" x14ac:dyDescent="0.25">
      <c r="A3505" t="s">
        <v>3317</v>
      </c>
      <c r="B3505" s="50" t="s">
        <v>2414</v>
      </c>
      <c r="C3505" s="51"/>
      <c r="D3505" s="340">
        <v>610000004731</v>
      </c>
      <c r="E3505" s="340"/>
      <c r="F3505" s="341" t="s">
        <v>4999</v>
      </c>
      <c r="G3505" s="380" t="s">
        <v>2415</v>
      </c>
      <c r="H3505" s="380" t="s">
        <v>3234</v>
      </c>
      <c r="I3505" s="654">
        <v>15</v>
      </c>
      <c r="J3505" s="654"/>
      <c r="K3505" s="654"/>
      <c r="L3505" s="654"/>
      <c r="M3505" s="654"/>
      <c r="N3505" s="544"/>
      <c r="O3505" s="544"/>
      <c r="P3505" s="544"/>
      <c r="Q3505" s="544"/>
      <c r="R3505" s="655" t="s">
        <v>3750</v>
      </c>
      <c r="S3505" s="654"/>
    </row>
    <row r="3506" spans="1:19" x14ac:dyDescent="0.25">
      <c r="A3506" t="s">
        <v>3317</v>
      </c>
      <c r="B3506" s="50" t="s">
        <v>2414</v>
      </c>
      <c r="C3506" s="51"/>
      <c r="D3506" s="326">
        <v>610000004731</v>
      </c>
      <c r="E3506" s="326"/>
      <c r="F3506" s="327" t="s">
        <v>4999</v>
      </c>
      <c r="G3506" s="381" t="s">
        <v>2419</v>
      </c>
      <c r="H3506" s="381" t="s">
        <v>3237</v>
      </c>
      <c r="I3506" s="649">
        <v>15</v>
      </c>
      <c r="J3506" s="649"/>
      <c r="K3506" s="649"/>
      <c r="L3506" s="649"/>
      <c r="M3506" s="649"/>
      <c r="N3506" s="544"/>
      <c r="O3506" s="544"/>
      <c r="P3506" s="544"/>
      <c r="Q3506" s="544"/>
      <c r="R3506" s="650" t="s">
        <v>3750</v>
      </c>
      <c r="S3506" s="649"/>
    </row>
    <row r="3507" spans="1:19" x14ac:dyDescent="0.25">
      <c r="A3507" t="s">
        <v>3317</v>
      </c>
      <c r="B3507" s="50" t="s">
        <v>2414</v>
      </c>
      <c r="C3507" s="51"/>
      <c r="D3507" s="326">
        <v>610000004731</v>
      </c>
      <c r="E3507" s="326"/>
      <c r="F3507" s="327" t="s">
        <v>4999</v>
      </c>
      <c r="G3507" s="381" t="s">
        <v>2422</v>
      </c>
      <c r="H3507" s="381" t="s">
        <v>3240</v>
      </c>
      <c r="I3507" s="649">
        <v>15</v>
      </c>
      <c r="J3507" s="649"/>
      <c r="K3507" s="649"/>
      <c r="L3507" s="649"/>
      <c r="M3507" s="649"/>
      <c r="N3507" s="544"/>
      <c r="O3507" s="544"/>
      <c r="P3507" s="544"/>
      <c r="Q3507" s="544"/>
      <c r="R3507" s="650" t="s">
        <v>3750</v>
      </c>
      <c r="S3507" s="649"/>
    </row>
    <row r="3508" spans="1:19" x14ac:dyDescent="0.25">
      <c r="A3508" t="s">
        <v>3317</v>
      </c>
      <c r="B3508" s="50" t="s">
        <v>2414</v>
      </c>
      <c r="C3508" s="51"/>
      <c r="D3508" s="326">
        <v>610000004731</v>
      </c>
      <c r="E3508" s="326"/>
      <c r="F3508" s="327" t="s">
        <v>4999</v>
      </c>
      <c r="G3508" s="381" t="s">
        <v>2415</v>
      </c>
      <c r="H3508" s="381" t="s">
        <v>5000</v>
      </c>
      <c r="I3508" s="649">
        <v>15</v>
      </c>
      <c r="J3508" s="649"/>
      <c r="K3508" s="649"/>
      <c r="L3508" s="649"/>
      <c r="M3508" s="649"/>
      <c r="N3508" s="544"/>
      <c r="O3508" s="544"/>
      <c r="P3508" s="544"/>
      <c r="Q3508" s="544"/>
      <c r="R3508" s="650" t="s">
        <v>3750</v>
      </c>
      <c r="S3508" s="649"/>
    </row>
    <row r="3509" spans="1:19" x14ac:dyDescent="0.25">
      <c r="A3509" t="s">
        <v>3317</v>
      </c>
      <c r="B3509" s="50" t="s">
        <v>2414</v>
      </c>
      <c r="C3509" s="51"/>
      <c r="D3509" s="326">
        <v>610000004731</v>
      </c>
      <c r="E3509" s="326"/>
      <c r="F3509" s="327" t="s">
        <v>4999</v>
      </c>
      <c r="G3509" s="381" t="s">
        <v>2419</v>
      </c>
      <c r="H3509" s="381" t="s">
        <v>5001</v>
      </c>
      <c r="I3509" s="649">
        <v>15</v>
      </c>
      <c r="J3509" s="649"/>
      <c r="K3509" s="649"/>
      <c r="L3509" s="649"/>
      <c r="M3509" s="649"/>
      <c r="N3509" s="544"/>
      <c r="O3509" s="544"/>
      <c r="P3509" s="544"/>
      <c r="Q3509" s="544"/>
      <c r="R3509" s="650" t="s">
        <v>3750</v>
      </c>
      <c r="S3509" s="649"/>
    </row>
    <row r="3510" spans="1:19" x14ac:dyDescent="0.25">
      <c r="A3510" t="s">
        <v>3317</v>
      </c>
      <c r="B3510" s="50" t="s">
        <v>2414</v>
      </c>
      <c r="C3510" s="51"/>
      <c r="D3510" s="337">
        <v>610000004731</v>
      </c>
      <c r="E3510" s="337"/>
      <c r="F3510" s="338" t="s">
        <v>4999</v>
      </c>
      <c r="G3510" s="651" t="s">
        <v>2422</v>
      </c>
      <c r="H3510" s="651" t="s">
        <v>5002</v>
      </c>
      <c r="I3510" s="652">
        <v>15</v>
      </c>
      <c r="J3510" s="652"/>
      <c r="K3510" s="652"/>
      <c r="L3510" s="652"/>
      <c r="M3510" s="652"/>
      <c r="N3510" s="544"/>
      <c r="O3510" s="544"/>
      <c r="P3510" s="544"/>
      <c r="Q3510" s="544"/>
      <c r="R3510" s="653" t="s">
        <v>3750</v>
      </c>
      <c r="S3510" s="652"/>
    </row>
    <row r="3511" spans="1:19" x14ac:dyDescent="0.25">
      <c r="A3511" t="s">
        <v>3317</v>
      </c>
      <c r="B3511" s="50" t="s">
        <v>2414</v>
      </c>
      <c r="C3511" s="51"/>
      <c r="D3511" s="334">
        <v>610000004732</v>
      </c>
      <c r="E3511" s="334"/>
      <c r="F3511" s="335" t="s">
        <v>5003</v>
      </c>
      <c r="G3511" s="646" t="s">
        <v>2415</v>
      </c>
      <c r="H3511" s="646" t="s">
        <v>5004</v>
      </c>
      <c r="I3511" s="647">
        <v>30</v>
      </c>
      <c r="J3511" s="647"/>
      <c r="K3511" s="647"/>
      <c r="L3511" s="647"/>
      <c r="M3511" s="647"/>
      <c r="N3511" s="544"/>
      <c r="O3511" s="544"/>
      <c r="P3511" s="544"/>
      <c r="Q3511" s="544"/>
      <c r="R3511" s="648" t="s">
        <v>5005</v>
      </c>
      <c r="S3511" s="647" t="s">
        <v>5006</v>
      </c>
    </row>
    <row r="3512" spans="1:19" x14ac:dyDescent="0.25">
      <c r="A3512" t="s">
        <v>3317</v>
      </c>
      <c r="B3512" s="50" t="s">
        <v>2414</v>
      </c>
      <c r="C3512" s="51"/>
      <c r="D3512" s="326">
        <v>610000004732</v>
      </c>
      <c r="E3512" s="326"/>
      <c r="F3512" s="327" t="s">
        <v>5003</v>
      </c>
      <c r="G3512" s="381" t="s">
        <v>2419</v>
      </c>
      <c r="H3512" s="381" t="s">
        <v>5007</v>
      </c>
      <c r="I3512" s="649">
        <v>30</v>
      </c>
      <c r="J3512" s="649"/>
      <c r="K3512" s="649"/>
      <c r="L3512" s="649"/>
      <c r="M3512" s="649"/>
      <c r="N3512" s="544"/>
      <c r="O3512" s="544"/>
      <c r="P3512" s="544"/>
      <c r="Q3512" s="544"/>
      <c r="R3512" s="650" t="s">
        <v>5005</v>
      </c>
      <c r="S3512" s="649" t="s">
        <v>5006</v>
      </c>
    </row>
    <row r="3513" spans="1:19" x14ac:dyDescent="0.25">
      <c r="A3513" t="s">
        <v>3317</v>
      </c>
      <c r="B3513" s="50" t="s">
        <v>2414</v>
      </c>
      <c r="C3513" s="51"/>
      <c r="D3513" s="337">
        <v>610000004732</v>
      </c>
      <c r="E3513" s="337"/>
      <c r="F3513" s="338" t="s">
        <v>5003</v>
      </c>
      <c r="G3513" s="651" t="s">
        <v>2422</v>
      </c>
      <c r="H3513" s="651" t="s">
        <v>5008</v>
      </c>
      <c r="I3513" s="652">
        <v>30</v>
      </c>
      <c r="J3513" s="652"/>
      <c r="K3513" s="652"/>
      <c r="L3513" s="652"/>
      <c r="M3513" s="652"/>
      <c r="N3513" s="544"/>
      <c r="O3513" s="544"/>
      <c r="P3513" s="544"/>
      <c r="Q3513" s="544"/>
      <c r="R3513" s="653" t="s">
        <v>5005</v>
      </c>
      <c r="S3513" s="652" t="s">
        <v>5006</v>
      </c>
    </row>
    <row r="3514" spans="1:19" x14ac:dyDescent="0.25">
      <c r="A3514" t="s">
        <v>3317</v>
      </c>
      <c r="B3514" s="50" t="s">
        <v>2414</v>
      </c>
      <c r="C3514" s="51"/>
      <c r="D3514" s="340">
        <v>610000004733</v>
      </c>
      <c r="E3514" s="340"/>
      <c r="F3514" s="341" t="s">
        <v>5009</v>
      </c>
      <c r="G3514" s="380" t="s">
        <v>2415</v>
      </c>
      <c r="H3514" s="345" t="s">
        <v>3225</v>
      </c>
      <c r="I3514" s="654">
        <v>30</v>
      </c>
      <c r="J3514" s="654"/>
      <c r="K3514" s="654"/>
      <c r="L3514" s="654"/>
      <c r="M3514" s="654"/>
      <c r="N3514" s="544"/>
      <c r="O3514" s="544"/>
      <c r="P3514" s="544"/>
      <c r="Q3514" s="544"/>
      <c r="R3514" s="655" t="s">
        <v>3750</v>
      </c>
      <c r="S3514" s="654"/>
    </row>
    <row r="3515" spans="1:19" x14ac:dyDescent="0.25">
      <c r="A3515" t="s">
        <v>3317</v>
      </c>
      <c r="B3515" s="50" t="s">
        <v>2414</v>
      </c>
      <c r="C3515" s="51"/>
      <c r="D3515" s="326">
        <v>610000004733</v>
      </c>
      <c r="E3515" s="326"/>
      <c r="F3515" s="327" t="s">
        <v>5009</v>
      </c>
      <c r="G3515" s="381" t="s">
        <v>2415</v>
      </c>
      <c r="H3515" s="348" t="s">
        <v>3233</v>
      </c>
      <c r="I3515" s="649">
        <v>30</v>
      </c>
      <c r="J3515" s="649"/>
      <c r="K3515" s="649"/>
      <c r="L3515" s="649"/>
      <c r="M3515" s="649"/>
      <c r="N3515" s="544"/>
      <c r="O3515" s="544"/>
      <c r="P3515" s="544"/>
      <c r="Q3515" s="544"/>
      <c r="R3515" s="650" t="s">
        <v>3330</v>
      </c>
      <c r="S3515" s="649"/>
    </row>
    <row r="3516" spans="1:19" x14ac:dyDescent="0.25">
      <c r="A3516" t="s">
        <v>3317</v>
      </c>
      <c r="B3516" s="50" t="s">
        <v>2414</v>
      </c>
      <c r="C3516" s="51"/>
      <c r="D3516" s="326">
        <v>610000004733</v>
      </c>
      <c r="E3516" s="326"/>
      <c r="F3516" s="327" t="s">
        <v>5009</v>
      </c>
      <c r="G3516" s="381" t="s">
        <v>2419</v>
      </c>
      <c r="H3516" s="348" t="s">
        <v>3227</v>
      </c>
      <c r="I3516" s="649">
        <v>30</v>
      </c>
      <c r="J3516" s="649"/>
      <c r="K3516" s="649"/>
      <c r="L3516" s="649"/>
      <c r="M3516" s="649"/>
      <c r="N3516" s="544"/>
      <c r="O3516" s="544"/>
      <c r="P3516" s="544"/>
      <c r="Q3516" s="544"/>
      <c r="R3516" s="650" t="s">
        <v>3750</v>
      </c>
      <c r="S3516" s="649"/>
    </row>
    <row r="3517" spans="1:19" x14ac:dyDescent="0.25">
      <c r="A3517" t="s">
        <v>3317</v>
      </c>
      <c r="B3517" s="50" t="s">
        <v>2414</v>
      </c>
      <c r="C3517" s="51"/>
      <c r="D3517" s="326">
        <v>610000004733</v>
      </c>
      <c r="E3517" s="326"/>
      <c r="F3517" s="327" t="s">
        <v>5009</v>
      </c>
      <c r="G3517" s="381" t="s">
        <v>2419</v>
      </c>
      <c r="H3517" s="348" t="s">
        <v>3236</v>
      </c>
      <c r="I3517" s="649">
        <v>30</v>
      </c>
      <c r="J3517" s="649"/>
      <c r="K3517" s="649"/>
      <c r="L3517" s="649"/>
      <c r="M3517" s="649"/>
      <c r="N3517" s="544"/>
      <c r="O3517" s="544"/>
      <c r="P3517" s="544"/>
      <c r="Q3517" s="544"/>
      <c r="R3517" s="650" t="s">
        <v>3330</v>
      </c>
      <c r="S3517" s="649"/>
    </row>
    <row r="3518" spans="1:19" x14ac:dyDescent="0.25">
      <c r="A3518" t="s">
        <v>3317</v>
      </c>
      <c r="B3518" s="50" t="s">
        <v>2414</v>
      </c>
      <c r="C3518" s="51"/>
      <c r="D3518" s="326">
        <v>610000004733</v>
      </c>
      <c r="E3518" s="326"/>
      <c r="F3518" s="327" t="s">
        <v>5009</v>
      </c>
      <c r="G3518" s="381" t="s">
        <v>2422</v>
      </c>
      <c r="H3518" s="348" t="s">
        <v>3229</v>
      </c>
      <c r="I3518" s="649">
        <v>30</v>
      </c>
      <c r="J3518" s="649"/>
      <c r="K3518" s="649"/>
      <c r="L3518" s="649"/>
      <c r="M3518" s="649"/>
      <c r="N3518" s="544"/>
      <c r="O3518" s="544"/>
      <c r="P3518" s="544"/>
      <c r="Q3518" s="544"/>
      <c r="R3518" s="650" t="s">
        <v>3750</v>
      </c>
      <c r="S3518" s="649"/>
    </row>
    <row r="3519" spans="1:19" x14ac:dyDescent="0.25">
      <c r="A3519" t="s">
        <v>3317</v>
      </c>
      <c r="B3519" s="50" t="s">
        <v>2414</v>
      </c>
      <c r="C3519" s="51"/>
      <c r="D3519" s="326">
        <v>610000004733</v>
      </c>
      <c r="E3519" s="326"/>
      <c r="F3519" s="327" t="s">
        <v>5009</v>
      </c>
      <c r="G3519" s="381" t="s">
        <v>2422</v>
      </c>
      <c r="H3519" s="348" t="s">
        <v>3239</v>
      </c>
      <c r="I3519" s="649">
        <v>30</v>
      </c>
      <c r="J3519" s="649"/>
      <c r="K3519" s="649"/>
      <c r="L3519" s="649"/>
      <c r="M3519" s="649"/>
      <c r="N3519" s="544"/>
      <c r="O3519" s="544"/>
      <c r="P3519" s="544"/>
      <c r="Q3519" s="544"/>
      <c r="R3519" s="650" t="s">
        <v>3330</v>
      </c>
      <c r="S3519" s="649"/>
    </row>
    <row r="3520" spans="1:19" x14ac:dyDescent="0.25">
      <c r="A3520" t="s">
        <v>3317</v>
      </c>
      <c r="B3520" s="50" t="s">
        <v>2414</v>
      </c>
      <c r="C3520" s="51"/>
      <c r="D3520" s="337">
        <v>610000004733</v>
      </c>
      <c r="E3520" s="337"/>
      <c r="F3520" s="338" t="s">
        <v>5009</v>
      </c>
      <c r="G3520" s="651" t="s">
        <v>2422</v>
      </c>
      <c r="H3520" s="351" t="s">
        <v>3230</v>
      </c>
      <c r="I3520" s="652">
        <v>30</v>
      </c>
      <c r="J3520" s="652"/>
      <c r="K3520" s="652"/>
      <c r="L3520" s="652"/>
      <c r="M3520" s="652"/>
      <c r="N3520" s="544"/>
      <c r="O3520" s="544"/>
      <c r="P3520" s="544"/>
      <c r="Q3520" s="544"/>
      <c r="R3520" s="653" t="s">
        <v>3750</v>
      </c>
      <c r="S3520" s="652"/>
    </row>
    <row r="3521" spans="1:19" x14ac:dyDescent="0.25">
      <c r="A3521" t="s">
        <v>3317</v>
      </c>
      <c r="B3521" s="50" t="s">
        <v>2414</v>
      </c>
      <c r="C3521" s="51"/>
      <c r="D3521" s="340">
        <v>610000004734</v>
      </c>
      <c r="E3521" s="340"/>
      <c r="F3521" s="341" t="s">
        <v>5010</v>
      </c>
      <c r="G3521" s="380" t="s">
        <v>2415</v>
      </c>
      <c r="H3521" s="345" t="s">
        <v>5011</v>
      </c>
      <c r="I3521" s="654">
        <v>30</v>
      </c>
      <c r="J3521" s="654"/>
      <c r="K3521" s="654"/>
      <c r="L3521" s="654"/>
      <c r="M3521" s="654"/>
      <c r="N3521" s="544"/>
      <c r="O3521" s="544"/>
      <c r="P3521" s="544"/>
      <c r="Q3521" s="544"/>
      <c r="R3521" s="655"/>
      <c r="S3521" s="654"/>
    </row>
    <row r="3522" spans="1:19" x14ac:dyDescent="0.25">
      <c r="A3522" t="s">
        <v>3317</v>
      </c>
      <c r="B3522" s="50" t="s">
        <v>2414</v>
      </c>
      <c r="C3522" s="51"/>
      <c r="D3522" s="326">
        <v>610000004734</v>
      </c>
      <c r="E3522" s="326"/>
      <c r="F3522" s="327" t="s">
        <v>5010</v>
      </c>
      <c r="G3522" s="381" t="s">
        <v>2419</v>
      </c>
      <c r="H3522" s="381" t="s">
        <v>5012</v>
      </c>
      <c r="I3522" s="649">
        <v>30</v>
      </c>
      <c r="J3522" s="649"/>
      <c r="K3522" s="649"/>
      <c r="L3522" s="649"/>
      <c r="M3522" s="649"/>
      <c r="N3522" s="544"/>
      <c r="O3522" s="544"/>
      <c r="P3522" s="544"/>
      <c r="Q3522" s="544"/>
      <c r="R3522" s="650"/>
      <c r="S3522" s="649"/>
    </row>
    <row r="3523" spans="1:19" x14ac:dyDescent="0.25">
      <c r="A3523" t="s">
        <v>3317</v>
      </c>
      <c r="B3523" s="50" t="s">
        <v>2414</v>
      </c>
      <c r="C3523" s="51"/>
      <c r="D3523" s="337">
        <v>610000004734</v>
      </c>
      <c r="E3523" s="337"/>
      <c r="F3523" s="338" t="s">
        <v>5010</v>
      </c>
      <c r="G3523" s="651" t="s">
        <v>2422</v>
      </c>
      <c r="H3523" s="651" t="s">
        <v>5013</v>
      </c>
      <c r="I3523" s="652">
        <v>30</v>
      </c>
      <c r="J3523" s="652"/>
      <c r="K3523" s="652"/>
      <c r="L3523" s="652"/>
      <c r="M3523" s="652"/>
      <c r="N3523" s="544"/>
      <c r="O3523" s="544"/>
      <c r="P3523" s="544"/>
      <c r="Q3523" s="544"/>
      <c r="R3523" s="653"/>
      <c r="S3523" s="652"/>
    </row>
    <row r="3524" spans="1:19" x14ac:dyDescent="0.25">
      <c r="A3524" t="s">
        <v>3317</v>
      </c>
      <c r="B3524" s="50" t="s">
        <v>2414</v>
      </c>
      <c r="C3524" s="51"/>
      <c r="D3524" s="346">
        <v>610000004735</v>
      </c>
      <c r="E3524" s="346"/>
      <c r="F3524" s="347" t="s">
        <v>5014</v>
      </c>
      <c r="G3524" s="348" t="s">
        <v>2415</v>
      </c>
      <c r="H3524" s="348" t="s">
        <v>5015</v>
      </c>
      <c r="I3524" s="347">
        <v>90</v>
      </c>
      <c r="J3524" s="347"/>
      <c r="K3524" s="347"/>
      <c r="L3524" s="347"/>
      <c r="M3524" s="347"/>
      <c r="N3524" s="544"/>
      <c r="O3524" s="544"/>
      <c r="P3524" s="544"/>
      <c r="Q3524" s="544"/>
      <c r="R3524" s="413"/>
      <c r="S3524" s="347"/>
    </row>
    <row r="3525" spans="1:19" x14ac:dyDescent="0.25">
      <c r="A3525" t="s">
        <v>3317</v>
      </c>
      <c r="B3525" s="50" t="s">
        <v>2414</v>
      </c>
      <c r="C3525" s="51"/>
      <c r="D3525" s="346">
        <v>610000004735</v>
      </c>
      <c r="E3525" s="346"/>
      <c r="F3525" s="347" t="s">
        <v>5014</v>
      </c>
      <c r="G3525" s="348" t="s">
        <v>2419</v>
      </c>
      <c r="H3525" s="348" t="s">
        <v>5016</v>
      </c>
      <c r="I3525" s="347">
        <v>90</v>
      </c>
      <c r="J3525" s="347"/>
      <c r="K3525" s="347"/>
      <c r="L3525" s="347"/>
      <c r="M3525" s="347"/>
      <c r="N3525" s="544"/>
      <c r="O3525" s="544"/>
      <c r="P3525" s="544"/>
      <c r="Q3525" s="544"/>
      <c r="R3525" s="413"/>
      <c r="S3525" s="347"/>
    </row>
    <row r="3526" spans="1:19" x14ac:dyDescent="0.25">
      <c r="A3526" t="s">
        <v>3317</v>
      </c>
      <c r="B3526" s="50" t="s">
        <v>2414</v>
      </c>
      <c r="C3526" s="51"/>
      <c r="D3526" s="349">
        <v>610000004735</v>
      </c>
      <c r="E3526" s="349"/>
      <c r="F3526" s="350" t="s">
        <v>5014</v>
      </c>
      <c r="G3526" s="351" t="s">
        <v>2422</v>
      </c>
      <c r="H3526" s="351" t="s">
        <v>5017</v>
      </c>
      <c r="I3526" s="350">
        <v>90</v>
      </c>
      <c r="J3526" s="350"/>
      <c r="K3526" s="350"/>
      <c r="L3526" s="350"/>
      <c r="M3526" s="350"/>
      <c r="N3526" s="544"/>
      <c r="O3526" s="544"/>
      <c r="P3526" s="544"/>
      <c r="Q3526" s="544"/>
      <c r="R3526" s="414"/>
      <c r="S3526" s="350"/>
    </row>
    <row r="3527" spans="1:19" x14ac:dyDescent="0.25">
      <c r="A3527" t="s">
        <v>3317</v>
      </c>
      <c r="B3527" s="50" t="s">
        <v>2414</v>
      </c>
      <c r="C3527" s="51"/>
      <c r="D3527" s="340">
        <v>610000004736</v>
      </c>
      <c r="E3527" s="340"/>
      <c r="F3527" s="341" t="s">
        <v>5018</v>
      </c>
      <c r="G3527" s="380" t="s">
        <v>2415</v>
      </c>
      <c r="H3527" s="380" t="s">
        <v>3250</v>
      </c>
      <c r="I3527" s="654">
        <v>180</v>
      </c>
      <c r="J3527" s="654"/>
      <c r="K3527" s="654"/>
      <c r="L3527" s="654"/>
      <c r="M3527" s="654"/>
      <c r="N3527" s="544"/>
      <c r="O3527" s="544"/>
      <c r="P3527" s="544"/>
      <c r="Q3527" s="544"/>
      <c r="R3527" s="655" t="s">
        <v>3251</v>
      </c>
      <c r="S3527" s="654"/>
    </row>
    <row r="3528" spans="1:19" x14ac:dyDescent="0.25">
      <c r="A3528" t="s">
        <v>3317</v>
      </c>
      <c r="B3528" s="50" t="s">
        <v>2414</v>
      </c>
      <c r="C3528" s="51"/>
      <c r="D3528" s="326">
        <v>610000004736</v>
      </c>
      <c r="E3528" s="326"/>
      <c r="F3528" s="327" t="s">
        <v>5018</v>
      </c>
      <c r="G3528" s="381" t="s">
        <v>2419</v>
      </c>
      <c r="H3528" s="381" t="s">
        <v>5019</v>
      </c>
      <c r="I3528" s="649">
        <v>180</v>
      </c>
      <c r="J3528" s="649"/>
      <c r="K3528" s="649"/>
      <c r="L3528" s="649"/>
      <c r="M3528" s="649"/>
      <c r="N3528" s="544"/>
      <c r="O3528" s="544"/>
      <c r="P3528" s="544"/>
      <c r="Q3528" s="544"/>
      <c r="R3528" s="650" t="s">
        <v>3251</v>
      </c>
      <c r="S3528" s="649"/>
    </row>
    <row r="3529" spans="1:19" x14ac:dyDescent="0.25">
      <c r="A3529" t="s">
        <v>3317</v>
      </c>
      <c r="B3529" s="50" t="s">
        <v>2414</v>
      </c>
      <c r="C3529" s="51"/>
      <c r="D3529" s="326">
        <v>610000004736</v>
      </c>
      <c r="E3529" s="326"/>
      <c r="F3529" s="327" t="s">
        <v>5018</v>
      </c>
      <c r="G3529" s="381" t="s">
        <v>2422</v>
      </c>
      <c r="H3529" s="381" t="s">
        <v>3252</v>
      </c>
      <c r="I3529" s="649">
        <v>180</v>
      </c>
      <c r="J3529" s="649"/>
      <c r="K3529" s="649"/>
      <c r="L3529" s="649"/>
      <c r="M3529" s="649"/>
      <c r="N3529" s="544"/>
      <c r="O3529" s="544"/>
      <c r="P3529" s="544"/>
      <c r="Q3529" s="544"/>
      <c r="R3529" s="650" t="s">
        <v>3251</v>
      </c>
      <c r="S3529" s="649"/>
    </row>
    <row r="3530" spans="1:19" x14ac:dyDescent="0.25">
      <c r="A3530" t="s">
        <v>3317</v>
      </c>
      <c r="B3530" s="50" t="s">
        <v>2414</v>
      </c>
      <c r="C3530" s="51"/>
      <c r="D3530" s="326">
        <v>610000004736</v>
      </c>
      <c r="E3530" s="326"/>
      <c r="F3530" s="327" t="s">
        <v>5018</v>
      </c>
      <c r="G3530" s="381" t="s">
        <v>2415</v>
      </c>
      <c r="H3530" s="381" t="s">
        <v>5020</v>
      </c>
      <c r="I3530" s="649">
        <v>180</v>
      </c>
      <c r="J3530" s="649"/>
      <c r="K3530" s="649"/>
      <c r="L3530" s="649"/>
      <c r="M3530" s="649"/>
      <c r="N3530" s="544"/>
      <c r="O3530" s="544"/>
      <c r="P3530" s="544"/>
      <c r="Q3530" s="544"/>
      <c r="R3530" s="650" t="s">
        <v>3254</v>
      </c>
      <c r="S3530" s="649"/>
    </row>
    <row r="3531" spans="1:19" ht="15.75" thickBot="1" x14ac:dyDescent="0.3">
      <c r="A3531" t="s">
        <v>3317</v>
      </c>
      <c r="B3531" s="50" t="s">
        <v>2414</v>
      </c>
      <c r="C3531" s="214"/>
      <c r="D3531" s="366">
        <v>610000004736</v>
      </c>
      <c r="E3531" s="366"/>
      <c r="F3531" s="367" t="s">
        <v>5018</v>
      </c>
      <c r="G3531" s="662" t="s">
        <v>2419</v>
      </c>
      <c r="H3531" s="662" t="s">
        <v>5021</v>
      </c>
      <c r="I3531" s="552">
        <v>180</v>
      </c>
      <c r="J3531" s="552"/>
      <c r="K3531" s="552"/>
      <c r="L3531" s="552"/>
      <c r="M3531" s="552"/>
      <c r="N3531" s="544"/>
      <c r="O3531" s="544"/>
      <c r="P3531" s="544"/>
      <c r="Q3531" s="544"/>
      <c r="R3531" s="554" t="s">
        <v>3254</v>
      </c>
      <c r="S3531" s="552"/>
    </row>
    <row r="3532" spans="1:19" x14ac:dyDescent="0.25">
      <c r="A3532" t="s">
        <v>3317</v>
      </c>
      <c r="B3532" s="50" t="s">
        <v>2441</v>
      </c>
      <c r="C3532" s="51"/>
      <c r="D3532" s="340">
        <v>610000004737</v>
      </c>
      <c r="E3532" s="340"/>
      <c r="F3532" s="341" t="s">
        <v>5022</v>
      </c>
      <c r="G3532" s="380" t="s">
        <v>346</v>
      </c>
      <c r="H3532" s="380" t="s">
        <v>5023</v>
      </c>
      <c r="I3532" s="654">
        <v>15</v>
      </c>
      <c r="J3532" s="654"/>
      <c r="K3532" s="654"/>
      <c r="L3532" s="654"/>
      <c r="M3532" s="654"/>
      <c r="N3532" s="544"/>
      <c r="O3532" s="544"/>
      <c r="P3532" s="544"/>
      <c r="Q3532" s="544"/>
      <c r="R3532" s="655"/>
      <c r="S3532" s="654"/>
    </row>
    <row r="3533" spans="1:19" x14ac:dyDescent="0.25">
      <c r="A3533" t="s">
        <v>3317</v>
      </c>
      <c r="B3533" s="50" t="s">
        <v>2441</v>
      </c>
      <c r="C3533" s="51"/>
      <c r="D3533" s="326">
        <v>610000004737</v>
      </c>
      <c r="E3533" s="326"/>
      <c r="F3533" s="327" t="s">
        <v>5022</v>
      </c>
      <c r="G3533" s="381" t="s">
        <v>349</v>
      </c>
      <c r="H3533" s="381" t="s">
        <v>3263</v>
      </c>
      <c r="I3533" s="649">
        <v>15</v>
      </c>
      <c r="J3533" s="649"/>
      <c r="K3533" s="649"/>
      <c r="L3533" s="649"/>
      <c r="M3533" s="649"/>
      <c r="N3533" s="544"/>
      <c r="O3533" s="544"/>
      <c r="P3533" s="544"/>
      <c r="Q3533" s="544"/>
      <c r="R3533" s="650"/>
      <c r="S3533" s="649"/>
    </row>
    <row r="3534" spans="1:19" x14ac:dyDescent="0.25">
      <c r="A3534" t="s">
        <v>3317</v>
      </c>
      <c r="B3534" s="50" t="s">
        <v>2441</v>
      </c>
      <c r="C3534" s="51"/>
      <c r="D3534" s="337">
        <v>610000004737</v>
      </c>
      <c r="E3534" s="337"/>
      <c r="F3534" s="338" t="s">
        <v>5022</v>
      </c>
      <c r="G3534" s="651" t="s">
        <v>2447</v>
      </c>
      <c r="H3534" s="651" t="s">
        <v>5024</v>
      </c>
      <c r="I3534" s="652">
        <v>15</v>
      </c>
      <c r="J3534" s="652"/>
      <c r="K3534" s="652"/>
      <c r="L3534" s="652"/>
      <c r="M3534" s="652"/>
      <c r="N3534" s="544"/>
      <c r="O3534" s="544"/>
      <c r="P3534" s="544"/>
      <c r="Q3534" s="544"/>
      <c r="R3534" s="653"/>
      <c r="S3534" s="652"/>
    </row>
    <row r="3535" spans="1:19" x14ac:dyDescent="0.25">
      <c r="A3535" t="s">
        <v>3317</v>
      </c>
      <c r="B3535" s="50" t="s">
        <v>2441</v>
      </c>
      <c r="C3535" s="51"/>
      <c r="D3535" s="343">
        <v>610000004738</v>
      </c>
      <c r="E3535" s="343"/>
      <c r="F3535" s="344" t="s">
        <v>5025</v>
      </c>
      <c r="G3535" s="345" t="s">
        <v>2445</v>
      </c>
      <c r="H3535" s="345" t="s">
        <v>5026</v>
      </c>
      <c r="I3535" s="344">
        <v>15</v>
      </c>
      <c r="J3535" s="344"/>
      <c r="K3535" s="344"/>
      <c r="L3535" s="344"/>
      <c r="M3535" s="344"/>
      <c r="N3535" s="544"/>
      <c r="O3535" s="544"/>
      <c r="P3535" s="544"/>
      <c r="Q3535" s="544"/>
      <c r="R3535" s="418" t="s">
        <v>3750</v>
      </c>
      <c r="S3535" s="344"/>
    </row>
    <row r="3536" spans="1:19" x14ac:dyDescent="0.25">
      <c r="A3536" t="s">
        <v>3317</v>
      </c>
      <c r="B3536" s="50" t="s">
        <v>2441</v>
      </c>
      <c r="C3536" s="51"/>
      <c r="D3536" s="346">
        <v>610000004738</v>
      </c>
      <c r="E3536" s="346"/>
      <c r="F3536" s="347" t="s">
        <v>5025</v>
      </c>
      <c r="G3536" s="348" t="s">
        <v>2445</v>
      </c>
      <c r="H3536" s="348" t="s">
        <v>5027</v>
      </c>
      <c r="I3536" s="347">
        <v>15</v>
      </c>
      <c r="J3536" s="347"/>
      <c r="K3536" s="347"/>
      <c r="L3536" s="347"/>
      <c r="M3536" s="347"/>
      <c r="N3536" s="544"/>
      <c r="O3536" s="544"/>
      <c r="P3536" s="544"/>
      <c r="Q3536" s="544"/>
      <c r="R3536" s="413" t="s">
        <v>3330</v>
      </c>
      <c r="S3536" s="347"/>
    </row>
    <row r="3537" spans="1:19" x14ac:dyDescent="0.25">
      <c r="A3537" t="s">
        <v>3317</v>
      </c>
      <c r="B3537" s="50" t="s">
        <v>2441</v>
      </c>
      <c r="C3537" s="51"/>
      <c r="D3537" s="346">
        <v>610000004738</v>
      </c>
      <c r="E3537" s="346"/>
      <c r="F3537" s="347" t="s">
        <v>5025</v>
      </c>
      <c r="G3537" s="348" t="s">
        <v>346</v>
      </c>
      <c r="H3537" s="348" t="s">
        <v>5028</v>
      </c>
      <c r="I3537" s="347">
        <v>15</v>
      </c>
      <c r="J3537" s="347"/>
      <c r="K3537" s="347"/>
      <c r="L3537" s="347"/>
      <c r="M3537" s="347"/>
      <c r="N3537" s="544"/>
      <c r="O3537" s="544"/>
      <c r="P3537" s="544"/>
      <c r="Q3537" s="544"/>
      <c r="R3537" s="413" t="s">
        <v>3750</v>
      </c>
      <c r="S3537" s="347"/>
    </row>
    <row r="3538" spans="1:19" x14ac:dyDescent="0.25">
      <c r="A3538" t="s">
        <v>3317</v>
      </c>
      <c r="B3538" s="50" t="s">
        <v>2441</v>
      </c>
      <c r="C3538" s="51"/>
      <c r="D3538" s="349">
        <v>610000004738</v>
      </c>
      <c r="E3538" s="349"/>
      <c r="F3538" s="350" t="s">
        <v>5025</v>
      </c>
      <c r="G3538" s="351" t="s">
        <v>349</v>
      </c>
      <c r="H3538" s="351" t="s">
        <v>5029</v>
      </c>
      <c r="I3538" s="350">
        <v>15</v>
      </c>
      <c r="J3538" s="350"/>
      <c r="K3538" s="350"/>
      <c r="L3538" s="350"/>
      <c r="M3538" s="350"/>
      <c r="N3538" s="544"/>
      <c r="O3538" s="544"/>
      <c r="P3538" s="544"/>
      <c r="Q3538" s="544"/>
      <c r="R3538" s="414" t="s">
        <v>3750</v>
      </c>
      <c r="S3538" s="350"/>
    </row>
    <row r="3539" spans="1:19" x14ac:dyDescent="0.25">
      <c r="A3539" t="s">
        <v>3317</v>
      </c>
      <c r="B3539" s="50" t="s">
        <v>2441</v>
      </c>
      <c r="C3539" s="51"/>
      <c r="D3539" s="448">
        <v>610000004739</v>
      </c>
      <c r="E3539" s="448"/>
      <c r="F3539" s="383" t="s">
        <v>5030</v>
      </c>
      <c r="G3539" s="663" t="s">
        <v>346</v>
      </c>
      <c r="H3539" s="663" t="s">
        <v>5031</v>
      </c>
      <c r="I3539" s="664">
        <v>30</v>
      </c>
      <c r="J3539" s="664"/>
      <c r="K3539" s="664"/>
      <c r="L3539" s="664"/>
      <c r="M3539" s="664"/>
      <c r="N3539" s="544"/>
      <c r="O3539" s="544"/>
      <c r="P3539" s="544"/>
      <c r="Q3539" s="544"/>
      <c r="R3539" s="665"/>
      <c r="S3539" s="664"/>
    </row>
    <row r="3540" spans="1:19" x14ac:dyDescent="0.25">
      <c r="A3540" t="s">
        <v>3317</v>
      </c>
      <c r="B3540" s="50" t="s">
        <v>2441</v>
      </c>
      <c r="C3540" s="51"/>
      <c r="D3540" s="343">
        <v>610000004740</v>
      </c>
      <c r="E3540" s="343"/>
      <c r="F3540" s="344" t="s">
        <v>5032</v>
      </c>
      <c r="G3540" s="345" t="s">
        <v>2445</v>
      </c>
      <c r="H3540" s="345" t="s">
        <v>5033</v>
      </c>
      <c r="I3540" s="344">
        <v>180</v>
      </c>
      <c r="J3540" s="344"/>
      <c r="K3540" s="344"/>
      <c r="L3540" s="344"/>
      <c r="M3540" s="344"/>
      <c r="N3540" s="544"/>
      <c r="O3540" s="544"/>
      <c r="P3540" s="544"/>
      <c r="Q3540" s="544"/>
      <c r="R3540" s="418" t="s">
        <v>3251</v>
      </c>
      <c r="S3540" s="344"/>
    </row>
    <row r="3541" spans="1:19" x14ac:dyDescent="0.25">
      <c r="A3541" t="s">
        <v>3317</v>
      </c>
      <c r="B3541" s="50" t="s">
        <v>2441</v>
      </c>
      <c r="C3541" s="51"/>
      <c r="D3541" s="346">
        <v>610000004740</v>
      </c>
      <c r="E3541" s="346"/>
      <c r="F3541" s="347" t="s">
        <v>5032</v>
      </c>
      <c r="G3541" s="348" t="s">
        <v>346</v>
      </c>
      <c r="H3541" s="348" t="s">
        <v>5034</v>
      </c>
      <c r="I3541" s="347">
        <v>180</v>
      </c>
      <c r="J3541" s="347"/>
      <c r="K3541" s="347"/>
      <c r="L3541" s="347"/>
      <c r="M3541" s="347"/>
      <c r="N3541" s="544"/>
      <c r="O3541" s="544"/>
      <c r="P3541" s="544"/>
      <c r="Q3541" s="544"/>
      <c r="R3541" s="413" t="s">
        <v>3251</v>
      </c>
      <c r="S3541" s="347"/>
    </row>
    <row r="3542" spans="1:19" x14ac:dyDescent="0.25">
      <c r="A3542" t="s">
        <v>3317</v>
      </c>
      <c r="B3542" s="50" t="s">
        <v>2441</v>
      </c>
      <c r="C3542" s="51"/>
      <c r="D3542" s="346">
        <v>610000004740</v>
      </c>
      <c r="E3542" s="346"/>
      <c r="F3542" s="347" t="s">
        <v>5032</v>
      </c>
      <c r="G3542" s="348" t="s">
        <v>349</v>
      </c>
      <c r="H3542" s="348" t="s">
        <v>3267</v>
      </c>
      <c r="I3542" s="347">
        <v>180</v>
      </c>
      <c r="J3542" s="347"/>
      <c r="K3542" s="347"/>
      <c r="L3542" s="347"/>
      <c r="M3542" s="347"/>
      <c r="N3542" s="544"/>
      <c r="O3542" s="544"/>
      <c r="P3542" s="544"/>
      <c r="Q3542" s="544"/>
      <c r="R3542" s="413" t="s">
        <v>3251</v>
      </c>
      <c r="S3542" s="347"/>
    </row>
    <row r="3543" spans="1:19" ht="15.75" thickBot="1" x14ac:dyDescent="0.3">
      <c r="A3543" t="s">
        <v>3317</v>
      </c>
      <c r="B3543" s="50" t="s">
        <v>2441</v>
      </c>
      <c r="C3543" s="214"/>
      <c r="D3543" s="466">
        <v>610000004740</v>
      </c>
      <c r="E3543" s="466"/>
      <c r="F3543" s="467" t="s">
        <v>5032</v>
      </c>
      <c r="G3543" s="468" t="s">
        <v>2447</v>
      </c>
      <c r="H3543" s="468" t="s">
        <v>5035</v>
      </c>
      <c r="I3543" s="467">
        <v>180</v>
      </c>
      <c r="J3543" s="467"/>
      <c r="K3543" s="467"/>
      <c r="L3543" s="467"/>
      <c r="M3543" s="467"/>
      <c r="N3543" s="544"/>
      <c r="O3543" s="544"/>
      <c r="P3543" s="544"/>
      <c r="Q3543" s="544"/>
      <c r="R3543" s="543" t="s">
        <v>3251</v>
      </c>
      <c r="S3543" s="467"/>
    </row>
    <row r="3544" spans="1:19" x14ac:dyDescent="0.25">
      <c r="A3544" t="s">
        <v>3317</v>
      </c>
      <c r="B3544" s="50" t="s">
        <v>2452</v>
      </c>
      <c r="C3544" s="51"/>
      <c r="D3544" s="428">
        <v>610000004741</v>
      </c>
      <c r="E3544" s="428"/>
      <c r="F3544" s="430" t="s">
        <v>5036</v>
      </c>
      <c r="G3544" s="429" t="s">
        <v>273</v>
      </c>
      <c r="H3544" s="429" t="s">
        <v>3278</v>
      </c>
      <c r="I3544" s="430">
        <v>15</v>
      </c>
      <c r="J3544" s="430"/>
      <c r="K3544" s="430"/>
      <c r="L3544" s="430"/>
      <c r="M3544" s="430"/>
      <c r="N3544" s="544"/>
      <c r="O3544" s="544"/>
      <c r="P3544" s="544"/>
      <c r="Q3544" s="544"/>
      <c r="R3544" s="431"/>
      <c r="S3544" s="430"/>
    </row>
    <row r="3545" spans="1:19" x14ac:dyDescent="0.25">
      <c r="A3545" t="s">
        <v>3317</v>
      </c>
      <c r="B3545" s="50" t="s">
        <v>2452</v>
      </c>
      <c r="C3545" s="51"/>
      <c r="D3545" s="340">
        <v>610000004742</v>
      </c>
      <c r="E3545" s="340"/>
      <c r="F3545" s="341" t="s">
        <v>5037</v>
      </c>
      <c r="G3545" s="380" t="s">
        <v>279</v>
      </c>
      <c r="H3545" s="345" t="s">
        <v>3276</v>
      </c>
      <c r="I3545" s="654">
        <v>15</v>
      </c>
      <c r="J3545" s="654"/>
      <c r="K3545" s="654"/>
      <c r="L3545" s="654"/>
      <c r="M3545" s="654"/>
      <c r="N3545" s="544"/>
      <c r="O3545" s="544"/>
      <c r="P3545" s="544"/>
      <c r="Q3545" s="544"/>
      <c r="R3545" s="655"/>
      <c r="S3545" s="654"/>
    </row>
    <row r="3546" spans="1:19" x14ac:dyDescent="0.25">
      <c r="A3546" t="s">
        <v>3317</v>
      </c>
      <c r="B3546" s="50" t="s">
        <v>2452</v>
      </c>
      <c r="C3546" s="51"/>
      <c r="D3546" s="337">
        <v>610000004742</v>
      </c>
      <c r="E3546" s="337"/>
      <c r="F3546" s="338" t="s">
        <v>5037</v>
      </c>
      <c r="G3546" s="651" t="s">
        <v>2455</v>
      </c>
      <c r="H3546" s="351" t="s">
        <v>5038</v>
      </c>
      <c r="I3546" s="652">
        <v>15</v>
      </c>
      <c r="J3546" s="652"/>
      <c r="K3546" s="652"/>
      <c r="L3546" s="652"/>
      <c r="M3546" s="652"/>
      <c r="N3546" s="544"/>
      <c r="O3546" s="544"/>
      <c r="P3546" s="544"/>
      <c r="Q3546" s="544"/>
      <c r="R3546" s="653"/>
      <c r="S3546" s="652"/>
    </row>
    <row r="3547" spans="1:19" x14ac:dyDescent="0.25">
      <c r="A3547" t="s">
        <v>3317</v>
      </c>
      <c r="B3547" s="50" t="s">
        <v>2452</v>
      </c>
      <c r="C3547" s="51"/>
      <c r="D3547" s="340">
        <v>610000004743</v>
      </c>
      <c r="E3547" s="340"/>
      <c r="F3547" s="341" t="s">
        <v>5039</v>
      </c>
      <c r="G3547" s="380" t="s">
        <v>275</v>
      </c>
      <c r="H3547" s="380" t="s">
        <v>5040</v>
      </c>
      <c r="I3547" s="654">
        <v>15</v>
      </c>
      <c r="J3547" s="654"/>
      <c r="K3547" s="654"/>
      <c r="L3547" s="654"/>
      <c r="M3547" s="654"/>
      <c r="N3547" s="544"/>
      <c r="O3547" s="544"/>
      <c r="P3547" s="544"/>
      <c r="Q3547" s="544"/>
      <c r="R3547" s="655" t="s">
        <v>3281</v>
      </c>
      <c r="S3547" s="654"/>
    </row>
    <row r="3548" spans="1:19" x14ac:dyDescent="0.25">
      <c r="A3548" t="s">
        <v>3317</v>
      </c>
      <c r="B3548" s="50" t="s">
        <v>2452</v>
      </c>
      <c r="C3548" s="51"/>
      <c r="D3548" s="326">
        <v>610000004743</v>
      </c>
      <c r="E3548" s="326"/>
      <c r="F3548" s="327" t="s">
        <v>5039</v>
      </c>
      <c r="G3548" s="381" t="s">
        <v>271</v>
      </c>
      <c r="H3548" s="381" t="s">
        <v>5041</v>
      </c>
      <c r="I3548" s="649">
        <v>15</v>
      </c>
      <c r="J3548" s="649"/>
      <c r="K3548" s="649"/>
      <c r="L3548" s="649"/>
      <c r="M3548" s="649"/>
      <c r="N3548" s="544"/>
      <c r="O3548" s="544"/>
      <c r="P3548" s="544"/>
      <c r="Q3548" s="544"/>
      <c r="R3548" s="650" t="s">
        <v>3281</v>
      </c>
      <c r="S3548" s="649"/>
    </row>
    <row r="3549" spans="1:19" x14ac:dyDescent="0.25">
      <c r="A3549" t="s">
        <v>3317</v>
      </c>
      <c r="B3549" s="50" t="s">
        <v>2452</v>
      </c>
      <c r="C3549" s="51"/>
      <c r="D3549" s="326">
        <v>610000004743</v>
      </c>
      <c r="E3549" s="326"/>
      <c r="F3549" s="327" t="s">
        <v>5039</v>
      </c>
      <c r="G3549" s="381" t="s">
        <v>279</v>
      </c>
      <c r="H3549" s="381" t="s">
        <v>3284</v>
      </c>
      <c r="I3549" s="649">
        <v>15</v>
      </c>
      <c r="J3549" s="649"/>
      <c r="K3549" s="649"/>
      <c r="L3549" s="649"/>
      <c r="M3549" s="649"/>
      <c r="N3549" s="544"/>
      <c r="O3549" s="544"/>
      <c r="P3549" s="544"/>
      <c r="Q3549" s="544"/>
      <c r="R3549" s="650" t="s">
        <v>3281</v>
      </c>
      <c r="S3549" s="649"/>
    </row>
    <row r="3550" spans="1:19" x14ac:dyDescent="0.25">
      <c r="A3550" t="s">
        <v>3317</v>
      </c>
      <c r="B3550" s="50" t="s">
        <v>2452</v>
      </c>
      <c r="C3550" s="51"/>
      <c r="D3550" s="337">
        <v>610000004743</v>
      </c>
      <c r="E3550" s="337"/>
      <c r="F3550" s="338" t="s">
        <v>5039</v>
      </c>
      <c r="G3550" s="651" t="s">
        <v>2455</v>
      </c>
      <c r="H3550" s="651" t="s">
        <v>5042</v>
      </c>
      <c r="I3550" s="652">
        <v>15</v>
      </c>
      <c r="J3550" s="652"/>
      <c r="K3550" s="652"/>
      <c r="L3550" s="652"/>
      <c r="M3550" s="652"/>
      <c r="N3550" s="544"/>
      <c r="O3550" s="544"/>
      <c r="P3550" s="544"/>
      <c r="Q3550" s="544"/>
      <c r="R3550" s="653" t="s">
        <v>3750</v>
      </c>
      <c r="S3550" s="652"/>
    </row>
    <row r="3551" spans="1:19" x14ac:dyDescent="0.25">
      <c r="A3551" t="s">
        <v>3317</v>
      </c>
      <c r="B3551" s="50" t="s">
        <v>2452</v>
      </c>
      <c r="C3551" s="51"/>
      <c r="D3551" s="340">
        <v>610000004744</v>
      </c>
      <c r="E3551" s="340"/>
      <c r="F3551" s="341" t="s">
        <v>5043</v>
      </c>
      <c r="G3551" s="380" t="s">
        <v>271</v>
      </c>
      <c r="H3551" s="380" t="s">
        <v>3286</v>
      </c>
      <c r="I3551" s="654">
        <v>180</v>
      </c>
      <c r="J3551" s="654"/>
      <c r="K3551" s="654"/>
      <c r="L3551" s="654"/>
      <c r="M3551" s="654"/>
      <c r="N3551" s="544"/>
      <c r="O3551" s="544"/>
      <c r="P3551" s="544"/>
      <c r="Q3551" s="544"/>
      <c r="R3551" s="655" t="s">
        <v>3254</v>
      </c>
      <c r="S3551" s="654"/>
    </row>
    <row r="3552" spans="1:19" x14ac:dyDescent="0.25">
      <c r="A3552" t="s">
        <v>3317</v>
      </c>
      <c r="B3552" s="50" t="s">
        <v>2452</v>
      </c>
      <c r="C3552" s="51"/>
      <c r="D3552" s="326">
        <v>610000004744</v>
      </c>
      <c r="E3552" s="326"/>
      <c r="F3552" s="327" t="s">
        <v>5043</v>
      </c>
      <c r="G3552" s="381" t="s">
        <v>2455</v>
      </c>
      <c r="H3552" s="381" t="s">
        <v>5044</v>
      </c>
      <c r="I3552" s="649">
        <v>180</v>
      </c>
      <c r="J3552" s="649"/>
      <c r="K3552" s="649"/>
      <c r="L3552" s="649"/>
      <c r="M3552" s="649"/>
      <c r="N3552" s="544"/>
      <c r="O3552" s="544"/>
      <c r="P3552" s="544"/>
      <c r="Q3552" s="544"/>
      <c r="R3552" s="650" t="s">
        <v>3254</v>
      </c>
      <c r="S3552" s="649"/>
    </row>
    <row r="3553" spans="1:19" ht="15.75" thickBot="1" x14ac:dyDescent="0.3">
      <c r="A3553" t="s">
        <v>3317</v>
      </c>
      <c r="B3553" s="50" t="s">
        <v>2452</v>
      </c>
      <c r="C3553" s="214"/>
      <c r="D3553" s="366"/>
      <c r="E3553" s="366"/>
      <c r="F3553" s="367"/>
      <c r="G3553" s="662"/>
      <c r="H3553" s="662" t="s">
        <v>966</v>
      </c>
      <c r="I3553" s="552"/>
      <c r="J3553" s="552"/>
      <c r="K3553" s="552"/>
      <c r="L3553" s="552"/>
      <c r="M3553" s="552"/>
      <c r="N3553" s="544"/>
      <c r="O3553" s="544"/>
      <c r="P3553" s="544"/>
      <c r="Q3553" s="544"/>
      <c r="R3553" s="554"/>
      <c r="S3553" s="552"/>
    </row>
    <row r="3554" spans="1:19" x14ac:dyDescent="0.25">
      <c r="A3554" t="s">
        <v>3317</v>
      </c>
      <c r="B3554" s="50" t="s">
        <v>2473</v>
      </c>
      <c r="C3554" s="51"/>
      <c r="D3554" s="340">
        <v>343633</v>
      </c>
      <c r="E3554" s="340"/>
      <c r="F3554" s="341" t="s">
        <v>5045</v>
      </c>
      <c r="G3554" s="380" t="s">
        <v>386</v>
      </c>
      <c r="H3554" s="380" t="s">
        <v>5046</v>
      </c>
      <c r="I3554" s="654">
        <v>7</v>
      </c>
      <c r="J3554" s="654"/>
      <c r="K3554" s="654"/>
      <c r="L3554" s="654"/>
      <c r="M3554" s="654"/>
      <c r="N3554" s="544"/>
      <c r="O3554" s="544"/>
      <c r="P3554" s="544"/>
      <c r="Q3554" s="544"/>
      <c r="R3554" s="655" t="s">
        <v>3750</v>
      </c>
      <c r="S3554" s="654"/>
    </row>
    <row r="3555" spans="1:19" x14ac:dyDescent="0.25">
      <c r="A3555" t="s">
        <v>3317</v>
      </c>
      <c r="B3555" s="50" t="s">
        <v>2473</v>
      </c>
      <c r="C3555" s="51"/>
      <c r="D3555" s="337">
        <v>343633</v>
      </c>
      <c r="E3555" s="337"/>
      <c r="F3555" s="338" t="s">
        <v>5045</v>
      </c>
      <c r="G3555" s="351" t="s">
        <v>389</v>
      </c>
      <c r="H3555" s="351" t="s">
        <v>5047</v>
      </c>
      <c r="I3555" s="652">
        <v>7</v>
      </c>
      <c r="J3555" s="652"/>
      <c r="K3555" s="652"/>
      <c r="L3555" s="652"/>
      <c r="M3555" s="652"/>
      <c r="N3555" s="544"/>
      <c r="O3555" s="544"/>
      <c r="P3555" s="544"/>
      <c r="Q3555" s="544"/>
      <c r="R3555" s="653" t="s">
        <v>3750</v>
      </c>
      <c r="S3555" s="652"/>
    </row>
    <row r="3556" spans="1:19" x14ac:dyDescent="0.25">
      <c r="A3556" t="s">
        <v>3317</v>
      </c>
      <c r="B3556" s="50" t="s">
        <v>2473</v>
      </c>
      <c r="C3556" s="51"/>
      <c r="D3556" s="340">
        <v>610000004745</v>
      </c>
      <c r="E3556" s="340"/>
      <c r="F3556" s="341" t="s">
        <v>5048</v>
      </c>
      <c r="G3556" s="380" t="s">
        <v>386</v>
      </c>
      <c r="H3556" s="380" t="s">
        <v>3362</v>
      </c>
      <c r="I3556" s="654">
        <v>15</v>
      </c>
      <c r="J3556" s="654"/>
      <c r="K3556" s="654"/>
      <c r="L3556" s="654"/>
      <c r="M3556" s="654"/>
      <c r="N3556" s="544"/>
      <c r="O3556" s="544"/>
      <c r="P3556" s="544"/>
      <c r="Q3556" s="544"/>
      <c r="R3556" s="655"/>
      <c r="S3556" s="654"/>
    </row>
    <row r="3557" spans="1:19" x14ac:dyDescent="0.25">
      <c r="A3557" t="s">
        <v>3317</v>
      </c>
      <c r="B3557" s="50" t="s">
        <v>2473</v>
      </c>
      <c r="C3557" s="51"/>
      <c r="D3557" s="326">
        <v>610000004745</v>
      </c>
      <c r="E3557" s="326"/>
      <c r="F3557" s="327" t="s">
        <v>5048</v>
      </c>
      <c r="G3557" s="381" t="s">
        <v>393</v>
      </c>
      <c r="H3557" s="381" t="s">
        <v>3359</v>
      </c>
      <c r="I3557" s="649">
        <v>15</v>
      </c>
      <c r="J3557" s="649"/>
      <c r="K3557" s="649"/>
      <c r="L3557" s="649"/>
      <c r="M3557" s="649"/>
      <c r="N3557" s="544"/>
      <c r="O3557" s="544"/>
      <c r="P3557" s="544"/>
      <c r="Q3557" s="544"/>
      <c r="R3557" s="650"/>
      <c r="S3557" s="649"/>
    </row>
    <row r="3558" spans="1:19" x14ac:dyDescent="0.25">
      <c r="A3558" t="s">
        <v>3317</v>
      </c>
      <c r="B3558" s="50" t="s">
        <v>2473</v>
      </c>
      <c r="C3558" s="51"/>
      <c r="D3558" s="326">
        <v>610000004745</v>
      </c>
      <c r="E3558" s="326"/>
      <c r="F3558" s="327" t="s">
        <v>5048</v>
      </c>
      <c r="G3558" s="381" t="s">
        <v>397</v>
      </c>
      <c r="H3558" s="381" t="s">
        <v>3361</v>
      </c>
      <c r="I3558" s="649">
        <v>15</v>
      </c>
      <c r="J3558" s="649"/>
      <c r="K3558" s="649"/>
      <c r="L3558" s="649"/>
      <c r="M3558" s="649"/>
      <c r="N3558" s="544"/>
      <c r="O3558" s="544"/>
      <c r="P3558" s="544"/>
      <c r="Q3558" s="544"/>
      <c r="R3558" s="650"/>
      <c r="S3558" s="649"/>
    </row>
    <row r="3559" spans="1:19" x14ac:dyDescent="0.25">
      <c r="A3559" t="s">
        <v>3317</v>
      </c>
      <c r="B3559" s="50" t="s">
        <v>2473</v>
      </c>
      <c r="C3559" s="51"/>
      <c r="D3559" s="326">
        <v>610000004745</v>
      </c>
      <c r="E3559" s="326"/>
      <c r="F3559" s="327" t="s">
        <v>5048</v>
      </c>
      <c r="G3559" s="381" t="s">
        <v>393</v>
      </c>
      <c r="H3559" s="381" t="s">
        <v>5049</v>
      </c>
      <c r="I3559" s="649">
        <v>15</v>
      </c>
      <c r="J3559" s="649"/>
      <c r="K3559" s="649"/>
      <c r="L3559" s="649"/>
      <c r="M3559" s="649"/>
      <c r="N3559" s="544"/>
      <c r="O3559" s="544"/>
      <c r="P3559" s="544"/>
      <c r="Q3559" s="544"/>
      <c r="R3559" s="650" t="s">
        <v>3281</v>
      </c>
      <c r="S3559" s="649"/>
    </row>
    <row r="3560" spans="1:19" x14ac:dyDescent="0.25">
      <c r="A3560" t="s">
        <v>3317</v>
      </c>
      <c r="B3560" s="50" t="s">
        <v>2473</v>
      </c>
      <c r="C3560" s="51"/>
      <c r="D3560" s="337">
        <v>610000004745</v>
      </c>
      <c r="E3560" s="337"/>
      <c r="F3560" s="338" t="s">
        <v>5048</v>
      </c>
      <c r="G3560" s="651" t="s">
        <v>397</v>
      </c>
      <c r="H3560" s="651" t="s">
        <v>3365</v>
      </c>
      <c r="I3560" s="652">
        <v>15</v>
      </c>
      <c r="J3560" s="652"/>
      <c r="K3560" s="652"/>
      <c r="L3560" s="652"/>
      <c r="M3560" s="652"/>
      <c r="N3560" s="544"/>
      <c r="O3560" s="544"/>
      <c r="P3560" s="544"/>
      <c r="Q3560" s="544"/>
      <c r="R3560" s="653" t="s">
        <v>3281</v>
      </c>
      <c r="S3560" s="652"/>
    </row>
    <row r="3561" spans="1:19" x14ac:dyDescent="0.25">
      <c r="A3561" t="s">
        <v>3317</v>
      </c>
      <c r="B3561" s="50" t="s">
        <v>2473</v>
      </c>
      <c r="C3561" s="51"/>
      <c r="D3561" s="326">
        <v>610000004746</v>
      </c>
      <c r="E3561" s="326"/>
      <c r="F3561" s="327" t="s">
        <v>5050</v>
      </c>
      <c r="G3561" s="348" t="s">
        <v>391</v>
      </c>
      <c r="H3561" s="348" t="s">
        <v>5051</v>
      </c>
      <c r="I3561" s="649">
        <v>15</v>
      </c>
      <c r="J3561" s="649"/>
      <c r="K3561" s="649"/>
      <c r="L3561" s="649"/>
      <c r="M3561" s="649"/>
      <c r="N3561" s="544"/>
      <c r="O3561" s="544"/>
      <c r="P3561" s="544"/>
      <c r="Q3561" s="544"/>
      <c r="R3561" s="650" t="s">
        <v>3750</v>
      </c>
      <c r="S3561" s="649"/>
    </row>
    <row r="3562" spans="1:19" x14ac:dyDescent="0.25">
      <c r="A3562" t="s">
        <v>3317</v>
      </c>
      <c r="B3562" s="50" t="s">
        <v>2473</v>
      </c>
      <c r="C3562" s="51"/>
      <c r="D3562" s="337">
        <v>610000004746</v>
      </c>
      <c r="E3562" s="337"/>
      <c r="F3562" s="338" t="s">
        <v>5050</v>
      </c>
      <c r="G3562" s="351" t="s">
        <v>395</v>
      </c>
      <c r="H3562" s="351" t="s">
        <v>3366</v>
      </c>
      <c r="I3562" s="652">
        <v>15</v>
      </c>
      <c r="J3562" s="652"/>
      <c r="K3562" s="652"/>
      <c r="L3562" s="652"/>
      <c r="M3562" s="652"/>
      <c r="N3562" s="544"/>
      <c r="O3562" s="544"/>
      <c r="P3562" s="544"/>
      <c r="Q3562" s="544"/>
      <c r="R3562" s="653" t="s">
        <v>3750</v>
      </c>
      <c r="S3562" s="652"/>
    </row>
    <row r="3563" spans="1:19" x14ac:dyDescent="0.25">
      <c r="A3563" t="s">
        <v>3317</v>
      </c>
      <c r="B3563" s="50" t="s">
        <v>2473</v>
      </c>
      <c r="C3563" s="51"/>
      <c r="D3563" s="340">
        <v>610000004747</v>
      </c>
      <c r="E3563" s="340"/>
      <c r="F3563" s="341" t="s">
        <v>5052</v>
      </c>
      <c r="G3563" s="345" t="s">
        <v>391</v>
      </c>
      <c r="H3563" s="345" t="s">
        <v>3369</v>
      </c>
      <c r="I3563" s="654">
        <v>30</v>
      </c>
      <c r="J3563" s="654"/>
      <c r="K3563" s="654"/>
      <c r="L3563" s="654"/>
      <c r="M3563" s="654"/>
      <c r="N3563" s="544"/>
      <c r="O3563" s="544"/>
      <c r="P3563" s="544"/>
      <c r="Q3563" s="544"/>
      <c r="R3563" s="655" t="s">
        <v>3750</v>
      </c>
      <c r="S3563" s="654"/>
    </row>
    <row r="3564" spans="1:19" x14ac:dyDescent="0.25">
      <c r="A3564" t="s">
        <v>3317</v>
      </c>
      <c r="B3564" s="50" t="s">
        <v>2473</v>
      </c>
      <c r="C3564" s="51"/>
      <c r="D3564" s="337">
        <v>610000004747</v>
      </c>
      <c r="E3564" s="337"/>
      <c r="F3564" s="338" t="s">
        <v>5052</v>
      </c>
      <c r="G3564" s="651" t="s">
        <v>393</v>
      </c>
      <c r="H3564" s="651" t="s">
        <v>3370</v>
      </c>
      <c r="I3564" s="652">
        <v>30</v>
      </c>
      <c r="J3564" s="652"/>
      <c r="K3564" s="652"/>
      <c r="L3564" s="652"/>
      <c r="M3564" s="652"/>
      <c r="N3564" s="544"/>
      <c r="O3564" s="544"/>
      <c r="P3564" s="544"/>
      <c r="Q3564" s="544"/>
      <c r="R3564" s="653" t="s">
        <v>3750</v>
      </c>
      <c r="S3564" s="652"/>
    </row>
    <row r="3565" spans="1:19" x14ac:dyDescent="0.25">
      <c r="A3565" t="s">
        <v>3317</v>
      </c>
      <c r="B3565" s="50" t="s">
        <v>2473</v>
      </c>
      <c r="C3565" s="51"/>
      <c r="D3565" s="340"/>
      <c r="E3565" s="340"/>
      <c r="F3565" s="341" t="s">
        <v>5053</v>
      </c>
      <c r="G3565" s="345" t="s">
        <v>386</v>
      </c>
      <c r="H3565" s="345" t="s">
        <v>5054</v>
      </c>
      <c r="I3565" s="654">
        <v>90</v>
      </c>
      <c r="J3565" s="654"/>
      <c r="K3565" s="654"/>
      <c r="L3565" s="654"/>
      <c r="M3565" s="654"/>
      <c r="N3565" s="544"/>
      <c r="O3565" s="544"/>
      <c r="P3565" s="544"/>
      <c r="Q3565" s="544"/>
      <c r="R3565" s="655"/>
      <c r="S3565" s="654"/>
    </row>
    <row r="3566" spans="1:19" x14ac:dyDescent="0.25">
      <c r="A3566" t="s">
        <v>3317</v>
      </c>
      <c r="B3566" s="50" t="s">
        <v>2473</v>
      </c>
      <c r="C3566" s="51"/>
      <c r="D3566" s="337"/>
      <c r="E3566" s="337"/>
      <c r="F3566" s="338" t="s">
        <v>5053</v>
      </c>
      <c r="G3566" s="651" t="s">
        <v>389</v>
      </c>
      <c r="H3566" s="651" t="s">
        <v>5055</v>
      </c>
      <c r="I3566" s="652">
        <v>90</v>
      </c>
      <c r="J3566" s="652"/>
      <c r="K3566" s="652"/>
      <c r="L3566" s="652"/>
      <c r="M3566" s="652"/>
      <c r="N3566" s="544"/>
      <c r="O3566" s="544"/>
      <c r="P3566" s="544"/>
      <c r="Q3566" s="544"/>
      <c r="R3566" s="653"/>
      <c r="S3566" s="652"/>
    </row>
    <row r="3567" spans="1:19" x14ac:dyDescent="0.25">
      <c r="A3567" t="s">
        <v>3317</v>
      </c>
      <c r="B3567" s="50" t="s">
        <v>2473</v>
      </c>
      <c r="C3567" s="51"/>
      <c r="D3567" s="340">
        <v>610000004748</v>
      </c>
      <c r="E3567" s="340"/>
      <c r="F3567" s="341" t="s">
        <v>5056</v>
      </c>
      <c r="G3567" s="380" t="s">
        <v>389</v>
      </c>
      <c r="H3567" s="380" t="s">
        <v>3381</v>
      </c>
      <c r="I3567" s="654">
        <v>180</v>
      </c>
      <c r="J3567" s="654"/>
      <c r="K3567" s="654"/>
      <c r="L3567" s="654"/>
      <c r="M3567" s="654"/>
      <c r="N3567" s="544"/>
      <c r="O3567" s="544"/>
      <c r="P3567" s="544"/>
      <c r="Q3567" s="544"/>
      <c r="R3567" s="655" t="s">
        <v>3254</v>
      </c>
      <c r="S3567" s="654"/>
    </row>
    <row r="3568" spans="1:19" x14ac:dyDescent="0.25">
      <c r="A3568" t="s">
        <v>3317</v>
      </c>
      <c r="B3568" s="50" t="s">
        <v>2473</v>
      </c>
      <c r="C3568" s="51"/>
      <c r="D3568" s="326">
        <v>610000004748</v>
      </c>
      <c r="E3568" s="326"/>
      <c r="F3568" s="327" t="s">
        <v>5056</v>
      </c>
      <c r="G3568" s="381" t="s">
        <v>386</v>
      </c>
      <c r="H3568" s="381" t="s">
        <v>3382</v>
      </c>
      <c r="I3568" s="649">
        <v>180</v>
      </c>
      <c r="J3568" s="649"/>
      <c r="K3568" s="649"/>
      <c r="L3568" s="649"/>
      <c r="M3568" s="649"/>
      <c r="N3568" s="544"/>
      <c r="O3568" s="544"/>
      <c r="P3568" s="544"/>
      <c r="Q3568" s="544"/>
      <c r="R3568" s="650" t="s">
        <v>3254</v>
      </c>
      <c r="S3568" s="649"/>
    </row>
    <row r="3569" spans="1:19" x14ac:dyDescent="0.25">
      <c r="A3569" t="s">
        <v>3317</v>
      </c>
      <c r="B3569" s="50" t="s">
        <v>2473</v>
      </c>
      <c r="C3569" s="51"/>
      <c r="D3569" s="326">
        <v>610000004748</v>
      </c>
      <c r="E3569" s="326"/>
      <c r="F3569" s="327" t="s">
        <v>5056</v>
      </c>
      <c r="G3569" s="381" t="s">
        <v>395</v>
      </c>
      <c r="H3569" s="381" t="s">
        <v>3383</v>
      </c>
      <c r="I3569" s="649">
        <v>180</v>
      </c>
      <c r="J3569" s="649"/>
      <c r="K3569" s="649"/>
      <c r="L3569" s="649"/>
      <c r="M3569" s="649"/>
      <c r="N3569" s="544"/>
      <c r="O3569" s="544"/>
      <c r="P3569" s="544"/>
      <c r="Q3569" s="544"/>
      <c r="R3569" s="650" t="s">
        <v>3254</v>
      </c>
      <c r="S3569" s="649"/>
    </row>
    <row r="3570" spans="1:19" x14ac:dyDescent="0.25">
      <c r="A3570" t="s">
        <v>3317</v>
      </c>
      <c r="B3570" s="50" t="s">
        <v>2473</v>
      </c>
      <c r="C3570" s="51"/>
      <c r="D3570" s="346">
        <v>610000004748</v>
      </c>
      <c r="E3570" s="346"/>
      <c r="F3570" s="347" t="s">
        <v>5056</v>
      </c>
      <c r="G3570" s="348" t="s">
        <v>391</v>
      </c>
      <c r="H3570" s="348" t="s">
        <v>3375</v>
      </c>
      <c r="I3570" s="347">
        <v>180</v>
      </c>
      <c r="J3570" s="347"/>
      <c r="K3570" s="347"/>
      <c r="L3570" s="347"/>
      <c r="M3570" s="347"/>
      <c r="N3570" s="544"/>
      <c r="O3570" s="544"/>
      <c r="P3570" s="544"/>
      <c r="Q3570" s="544"/>
      <c r="R3570" s="413" t="s">
        <v>3376</v>
      </c>
      <c r="S3570" s="347"/>
    </row>
    <row r="3571" spans="1:19" x14ac:dyDescent="0.25">
      <c r="A3571" t="s">
        <v>3317</v>
      </c>
      <c r="B3571" s="50" t="s">
        <v>2473</v>
      </c>
      <c r="C3571" s="51"/>
      <c r="D3571" s="337">
        <v>610000004748</v>
      </c>
      <c r="E3571" s="337"/>
      <c r="F3571" s="338" t="s">
        <v>5056</v>
      </c>
      <c r="G3571" s="651" t="s">
        <v>391</v>
      </c>
      <c r="H3571" s="651" t="s">
        <v>5057</v>
      </c>
      <c r="I3571" s="652">
        <v>180</v>
      </c>
      <c r="J3571" s="652"/>
      <c r="K3571" s="652"/>
      <c r="L3571" s="652"/>
      <c r="M3571" s="652"/>
      <c r="N3571" s="544"/>
      <c r="O3571" s="544"/>
      <c r="P3571" s="544"/>
      <c r="Q3571" s="544"/>
      <c r="R3571" s="653"/>
      <c r="S3571" s="652"/>
    </row>
    <row r="3572" spans="1:19" x14ac:dyDescent="0.25">
      <c r="A3572" t="s">
        <v>3317</v>
      </c>
      <c r="B3572" s="50" t="s">
        <v>2473</v>
      </c>
      <c r="C3572" s="51"/>
      <c r="D3572" s="343">
        <v>610000004749</v>
      </c>
      <c r="E3572" s="343"/>
      <c r="F3572" s="344" t="s">
        <v>5058</v>
      </c>
      <c r="G3572" s="345" t="s">
        <v>393</v>
      </c>
      <c r="H3572" s="345" t="s">
        <v>5059</v>
      </c>
      <c r="I3572" s="344">
        <v>180</v>
      </c>
      <c r="J3572" s="344"/>
      <c r="K3572" s="344"/>
      <c r="L3572" s="344"/>
      <c r="M3572" s="344"/>
      <c r="N3572" s="544"/>
      <c r="O3572" s="544"/>
      <c r="P3572" s="544"/>
      <c r="Q3572" s="544"/>
      <c r="R3572" s="418"/>
      <c r="S3572" s="344"/>
    </row>
    <row r="3573" spans="1:19" ht="15.75" thickBot="1" x14ac:dyDescent="0.3">
      <c r="A3573" t="s">
        <v>3317</v>
      </c>
      <c r="B3573" s="50" t="s">
        <v>2473</v>
      </c>
      <c r="C3573" s="214"/>
      <c r="D3573" s="466">
        <v>610000004749</v>
      </c>
      <c r="E3573" s="466"/>
      <c r="F3573" s="467" t="s">
        <v>5058</v>
      </c>
      <c r="G3573" s="468" t="s">
        <v>397</v>
      </c>
      <c r="H3573" s="468" t="s">
        <v>3387</v>
      </c>
      <c r="I3573" s="467">
        <v>180</v>
      </c>
      <c r="J3573" s="467"/>
      <c r="K3573" s="467"/>
      <c r="L3573" s="467"/>
      <c r="M3573" s="467"/>
      <c r="N3573" s="544"/>
      <c r="O3573" s="544"/>
      <c r="P3573" s="544"/>
      <c r="Q3573" s="544"/>
      <c r="R3573" s="543"/>
      <c r="S3573" s="467"/>
    </row>
    <row r="3574" spans="1:19" x14ac:dyDescent="0.25">
      <c r="A3574" t="s">
        <v>3317</v>
      </c>
      <c r="B3574" s="50" t="s">
        <v>2476</v>
      </c>
      <c r="C3574" s="51"/>
      <c r="D3574" s="529">
        <v>610000004750</v>
      </c>
      <c r="E3574" s="529"/>
      <c r="F3574" s="530" t="s">
        <v>5060</v>
      </c>
      <c r="G3574" s="556" t="s">
        <v>426</v>
      </c>
      <c r="H3574" s="556" t="s">
        <v>5061</v>
      </c>
      <c r="I3574" s="666">
        <v>15</v>
      </c>
      <c r="J3574" s="666"/>
      <c r="K3574" s="666"/>
      <c r="L3574" s="666"/>
      <c r="M3574" s="666"/>
      <c r="N3574" s="544"/>
      <c r="O3574" s="544"/>
      <c r="P3574" s="544"/>
      <c r="Q3574" s="544"/>
      <c r="R3574" s="667"/>
      <c r="S3574" s="666"/>
    </row>
    <row r="3575" spans="1:19" x14ac:dyDescent="0.25">
      <c r="A3575" t="s">
        <v>3317</v>
      </c>
      <c r="B3575" s="50" t="s">
        <v>2476</v>
      </c>
      <c r="C3575" s="51"/>
      <c r="D3575" s="337">
        <v>610000004750</v>
      </c>
      <c r="E3575" s="337"/>
      <c r="F3575" s="338" t="s">
        <v>5060</v>
      </c>
      <c r="G3575" s="351" t="s">
        <v>687</v>
      </c>
      <c r="H3575" s="351" t="s">
        <v>5062</v>
      </c>
      <c r="I3575" s="652">
        <v>15</v>
      </c>
      <c r="J3575" s="652"/>
      <c r="K3575" s="652"/>
      <c r="L3575" s="652"/>
      <c r="M3575" s="652"/>
      <c r="N3575" s="544"/>
      <c r="O3575" s="544"/>
      <c r="P3575" s="544"/>
      <c r="Q3575" s="544"/>
      <c r="R3575" s="653"/>
      <c r="S3575" s="652"/>
    </row>
    <row r="3576" spans="1:19" x14ac:dyDescent="0.25">
      <c r="A3576" t="s">
        <v>3317</v>
      </c>
      <c r="B3576" s="50" t="s">
        <v>2476</v>
      </c>
      <c r="C3576" s="51"/>
      <c r="D3576" s="329">
        <v>610000004751</v>
      </c>
      <c r="E3576" s="329"/>
      <c r="F3576" s="330" t="s">
        <v>5063</v>
      </c>
      <c r="G3576" s="362" t="s">
        <v>419</v>
      </c>
      <c r="H3576" s="362" t="s">
        <v>3391</v>
      </c>
      <c r="I3576" s="657">
        <v>15</v>
      </c>
      <c r="J3576" s="657"/>
      <c r="K3576" s="657"/>
      <c r="L3576" s="657"/>
      <c r="M3576" s="657"/>
      <c r="N3576" s="544"/>
      <c r="O3576" s="544"/>
      <c r="P3576" s="544"/>
      <c r="Q3576" s="544"/>
      <c r="R3576" s="658"/>
      <c r="S3576" s="657"/>
    </row>
    <row r="3577" spans="1:19" x14ac:dyDescent="0.25">
      <c r="A3577" t="s">
        <v>3317</v>
      </c>
      <c r="B3577" s="50" t="s">
        <v>2476</v>
      </c>
      <c r="C3577" s="51"/>
      <c r="D3577" s="334">
        <v>610000004752</v>
      </c>
      <c r="E3577" s="334"/>
      <c r="F3577" s="335" t="s">
        <v>5064</v>
      </c>
      <c r="G3577" s="420" t="s">
        <v>426</v>
      </c>
      <c r="H3577" s="420" t="s">
        <v>3394</v>
      </c>
      <c r="I3577" s="647">
        <v>15</v>
      </c>
      <c r="J3577" s="647"/>
      <c r="K3577" s="647"/>
      <c r="L3577" s="647"/>
      <c r="M3577" s="647"/>
      <c r="N3577" s="544"/>
      <c r="O3577" s="544"/>
      <c r="P3577" s="544"/>
      <c r="Q3577" s="544"/>
      <c r="R3577" s="648" t="s">
        <v>3750</v>
      </c>
      <c r="S3577" s="647"/>
    </row>
    <row r="3578" spans="1:19" x14ac:dyDescent="0.25">
      <c r="A3578" t="s">
        <v>3317</v>
      </c>
      <c r="B3578" s="50" t="s">
        <v>2476</v>
      </c>
      <c r="C3578" s="51"/>
      <c r="D3578" s="337">
        <v>610000004752</v>
      </c>
      <c r="E3578" s="337"/>
      <c r="F3578" s="338" t="s">
        <v>5064</v>
      </c>
      <c r="G3578" s="351" t="s">
        <v>419</v>
      </c>
      <c r="H3578" s="351" t="s">
        <v>3393</v>
      </c>
      <c r="I3578" s="652">
        <v>15</v>
      </c>
      <c r="J3578" s="652"/>
      <c r="K3578" s="652"/>
      <c r="L3578" s="652"/>
      <c r="M3578" s="652"/>
      <c r="N3578" s="544"/>
      <c r="O3578" s="544"/>
      <c r="P3578" s="544"/>
      <c r="Q3578" s="544"/>
      <c r="R3578" s="653" t="s">
        <v>3281</v>
      </c>
      <c r="S3578" s="652"/>
    </row>
    <row r="3579" spans="1:19" x14ac:dyDescent="0.25">
      <c r="A3579" t="s">
        <v>3317</v>
      </c>
      <c r="B3579" s="50" t="s">
        <v>2476</v>
      </c>
      <c r="C3579" s="51"/>
      <c r="D3579" s="369">
        <v>610000004753</v>
      </c>
      <c r="E3579" s="369"/>
      <c r="F3579" s="370" t="s">
        <v>5065</v>
      </c>
      <c r="G3579" s="61" t="s">
        <v>419</v>
      </c>
      <c r="H3579" s="61" t="s">
        <v>3396</v>
      </c>
      <c r="I3579" s="376">
        <v>30</v>
      </c>
      <c r="J3579" s="376"/>
      <c r="K3579" s="376"/>
      <c r="L3579" s="376"/>
      <c r="M3579" s="376"/>
      <c r="N3579" s="544"/>
      <c r="O3579" s="544"/>
      <c r="P3579" s="544"/>
      <c r="Q3579" s="544"/>
      <c r="R3579" s="668"/>
      <c r="S3579" s="376"/>
    </row>
    <row r="3580" spans="1:19" x14ac:dyDescent="0.25">
      <c r="A3580" t="s">
        <v>3317</v>
      </c>
      <c r="B3580" s="50" t="s">
        <v>2476</v>
      </c>
      <c r="C3580" s="51"/>
      <c r="D3580" s="340">
        <v>610000004754</v>
      </c>
      <c r="E3580" s="340"/>
      <c r="F3580" s="341" t="s">
        <v>5066</v>
      </c>
      <c r="G3580" s="345" t="s">
        <v>419</v>
      </c>
      <c r="H3580" s="345" t="s">
        <v>3400</v>
      </c>
      <c r="I3580" s="654">
        <v>180</v>
      </c>
      <c r="J3580" s="654"/>
      <c r="K3580" s="654"/>
      <c r="L3580" s="654"/>
      <c r="M3580" s="654"/>
      <c r="N3580" s="544"/>
      <c r="O3580" s="544"/>
      <c r="P3580" s="544"/>
      <c r="Q3580" s="544"/>
      <c r="R3580" s="655" t="s">
        <v>3401</v>
      </c>
      <c r="S3580" s="654"/>
    </row>
    <row r="3581" spans="1:19" x14ac:dyDescent="0.25">
      <c r="A3581" t="s">
        <v>3317</v>
      </c>
      <c r="B3581" s="50" t="s">
        <v>2476</v>
      </c>
      <c r="C3581" s="51"/>
      <c r="D3581" s="326">
        <v>610000004754</v>
      </c>
      <c r="E3581" s="326"/>
      <c r="F3581" s="327" t="s">
        <v>5066</v>
      </c>
      <c r="G3581" s="348" t="s">
        <v>426</v>
      </c>
      <c r="H3581" s="348" t="s">
        <v>3403</v>
      </c>
      <c r="I3581" s="649">
        <v>180</v>
      </c>
      <c r="J3581" s="649"/>
      <c r="K3581" s="649"/>
      <c r="L3581" s="649"/>
      <c r="M3581" s="649"/>
      <c r="N3581" s="544"/>
      <c r="O3581" s="544"/>
      <c r="P3581" s="544"/>
      <c r="Q3581" s="544"/>
      <c r="R3581" s="650" t="s">
        <v>3254</v>
      </c>
      <c r="S3581" s="649"/>
    </row>
    <row r="3582" spans="1:19" ht="15.75" thickBot="1" x14ac:dyDescent="0.3">
      <c r="A3582" t="s">
        <v>3317</v>
      </c>
      <c r="B3582" s="50" t="s">
        <v>2476</v>
      </c>
      <c r="C3582" s="214"/>
      <c r="D3582" s="632"/>
      <c r="E3582" s="632"/>
      <c r="F3582" s="633"/>
      <c r="G3582" s="669"/>
      <c r="H3582" s="669"/>
      <c r="I3582" s="670"/>
      <c r="J3582" s="670"/>
      <c r="K3582" s="670"/>
      <c r="L3582" s="670"/>
      <c r="M3582" s="670"/>
      <c r="N3582" s="544"/>
      <c r="O3582" s="544"/>
      <c r="P3582" s="544"/>
      <c r="Q3582" s="544"/>
      <c r="R3582" s="671"/>
      <c r="S3582" s="670"/>
    </row>
    <row r="3583" spans="1:19" x14ac:dyDescent="0.25">
      <c r="A3583" t="s">
        <v>3317</v>
      </c>
      <c r="B3583" s="50" t="s">
        <v>2486</v>
      </c>
      <c r="C3583" s="51"/>
      <c r="D3583" s="440">
        <v>610000004755</v>
      </c>
      <c r="E3583" s="440"/>
      <c r="F3583" s="442" t="s">
        <v>5067</v>
      </c>
      <c r="G3583" s="429" t="s">
        <v>454</v>
      </c>
      <c r="H3583" s="429" t="s">
        <v>3407</v>
      </c>
      <c r="I3583" s="660">
        <v>15</v>
      </c>
      <c r="J3583" s="660"/>
      <c r="K3583" s="660"/>
      <c r="L3583" s="660"/>
      <c r="M3583" s="660"/>
      <c r="N3583" s="544"/>
      <c r="O3583" s="544"/>
      <c r="P3583" s="544"/>
      <c r="Q3583" s="544"/>
      <c r="R3583" s="661"/>
      <c r="S3583" s="660"/>
    </row>
    <row r="3584" spans="1:19" x14ac:dyDescent="0.25">
      <c r="A3584" t="s">
        <v>3317</v>
      </c>
      <c r="B3584" s="50" t="s">
        <v>2486</v>
      </c>
      <c r="C3584" s="51"/>
      <c r="D3584" s="369">
        <v>610000004756</v>
      </c>
      <c r="E3584" s="369"/>
      <c r="F3584" s="370" t="s">
        <v>5068</v>
      </c>
      <c r="G3584" s="61" t="s">
        <v>457</v>
      </c>
      <c r="H3584" s="61" t="s">
        <v>3409</v>
      </c>
      <c r="I3584" s="376">
        <v>15</v>
      </c>
      <c r="J3584" s="376"/>
      <c r="K3584" s="376"/>
      <c r="L3584" s="376"/>
      <c r="M3584" s="376"/>
      <c r="N3584" s="544"/>
      <c r="O3584" s="544"/>
      <c r="P3584" s="544"/>
      <c r="Q3584" s="544"/>
      <c r="R3584" s="668"/>
      <c r="S3584" s="376"/>
    </row>
    <row r="3585" spans="1:21" ht="15.75" thickBot="1" x14ac:dyDescent="0.3">
      <c r="A3585" t="s">
        <v>3317</v>
      </c>
      <c r="B3585" s="50" t="s">
        <v>2486</v>
      </c>
      <c r="C3585" s="214"/>
      <c r="D3585" s="369">
        <v>610000004757</v>
      </c>
      <c r="E3585" s="369"/>
      <c r="F3585" s="370" t="s">
        <v>5069</v>
      </c>
      <c r="G3585" s="672" t="s">
        <v>399</v>
      </c>
      <c r="H3585" s="672" t="s">
        <v>3367</v>
      </c>
      <c r="I3585" s="376">
        <v>15</v>
      </c>
      <c r="J3585" s="376"/>
      <c r="K3585" s="376"/>
      <c r="L3585" s="376"/>
      <c r="M3585" s="376"/>
      <c r="N3585" s="544"/>
      <c r="O3585" s="544"/>
      <c r="P3585" s="544"/>
      <c r="Q3585" s="544"/>
      <c r="R3585" s="668" t="s">
        <v>3750</v>
      </c>
      <c r="S3585" s="376"/>
    </row>
    <row r="3586" spans="1:21" x14ac:dyDescent="0.25">
      <c r="A3586" t="s">
        <v>3317</v>
      </c>
      <c r="B3586" s="50" t="s">
        <v>2498</v>
      </c>
      <c r="C3586" s="51"/>
      <c r="D3586" s="440">
        <v>610000004758</v>
      </c>
      <c r="E3586" s="440"/>
      <c r="F3586" s="442" t="s">
        <v>5070</v>
      </c>
      <c r="G3586" s="429" t="s">
        <v>312</v>
      </c>
      <c r="H3586" s="429" t="s">
        <v>3288</v>
      </c>
      <c r="I3586" s="660">
        <v>15</v>
      </c>
      <c r="J3586" s="660"/>
      <c r="K3586" s="660"/>
      <c r="L3586" s="660"/>
      <c r="M3586" s="660"/>
      <c r="N3586" s="544"/>
      <c r="O3586" s="544"/>
      <c r="P3586" s="544"/>
      <c r="Q3586" s="544"/>
      <c r="R3586" s="661"/>
      <c r="S3586" s="660"/>
    </row>
    <row r="3587" spans="1:21" x14ac:dyDescent="0.25">
      <c r="A3587" t="s">
        <v>3317</v>
      </c>
      <c r="B3587" s="50" t="s">
        <v>2498</v>
      </c>
      <c r="C3587" s="51"/>
      <c r="D3587" s="340">
        <v>610000004759</v>
      </c>
      <c r="E3587" s="340"/>
      <c r="F3587" s="341" t="s">
        <v>5071</v>
      </c>
      <c r="G3587" s="345" t="s">
        <v>312</v>
      </c>
      <c r="H3587" s="345" t="s">
        <v>5072</v>
      </c>
      <c r="I3587" s="654">
        <v>15</v>
      </c>
      <c r="J3587" s="654"/>
      <c r="K3587" s="654"/>
      <c r="L3587" s="654"/>
      <c r="M3587" s="654"/>
      <c r="N3587" s="544"/>
      <c r="O3587" s="544"/>
      <c r="P3587" s="544"/>
      <c r="Q3587" s="544"/>
      <c r="R3587" s="655"/>
      <c r="S3587" s="654"/>
    </row>
    <row r="3588" spans="1:21" x14ac:dyDescent="0.25">
      <c r="A3588" t="s">
        <v>3317</v>
      </c>
      <c r="B3588" s="50" t="s">
        <v>2498</v>
      </c>
      <c r="C3588" s="51"/>
      <c r="D3588" s="326">
        <v>610000004759</v>
      </c>
      <c r="E3588" s="326"/>
      <c r="F3588" s="327" t="s">
        <v>5071</v>
      </c>
      <c r="G3588" s="348" t="s">
        <v>3417</v>
      </c>
      <c r="H3588" s="348" t="s">
        <v>5073</v>
      </c>
      <c r="I3588" s="649">
        <v>15</v>
      </c>
      <c r="J3588" s="649"/>
      <c r="K3588" s="649"/>
      <c r="L3588" s="649"/>
      <c r="M3588" s="649"/>
      <c r="N3588" s="544"/>
      <c r="O3588" s="544"/>
      <c r="P3588" s="544"/>
      <c r="Q3588" s="544"/>
      <c r="R3588" s="650"/>
      <c r="S3588" s="649"/>
    </row>
    <row r="3589" spans="1:21" x14ac:dyDescent="0.25">
      <c r="A3589" t="s">
        <v>3317</v>
      </c>
      <c r="B3589" s="50" t="s">
        <v>2498</v>
      </c>
      <c r="C3589" s="51"/>
      <c r="D3589" s="337">
        <v>610000004759</v>
      </c>
      <c r="E3589" s="337"/>
      <c r="F3589" s="338" t="s">
        <v>5071</v>
      </c>
      <c r="G3589" s="351" t="s">
        <v>5074</v>
      </c>
      <c r="H3589" s="351" t="s">
        <v>5075</v>
      </c>
      <c r="I3589" s="652">
        <v>15</v>
      </c>
      <c r="J3589" s="652"/>
      <c r="K3589" s="652"/>
      <c r="L3589" s="652"/>
      <c r="M3589" s="652"/>
      <c r="N3589" s="544"/>
      <c r="O3589" s="544"/>
      <c r="P3589" s="544"/>
      <c r="Q3589" s="544"/>
      <c r="R3589" s="653"/>
      <c r="S3589" s="652"/>
    </row>
    <row r="3590" spans="1:21" x14ac:dyDescent="0.25">
      <c r="A3590" t="s">
        <v>3317</v>
      </c>
      <c r="B3590" s="50" t="s">
        <v>2498</v>
      </c>
      <c r="C3590" s="51"/>
      <c r="D3590" s="340">
        <v>610000004760</v>
      </c>
      <c r="E3590" s="340"/>
      <c r="F3590" s="341" t="s">
        <v>5076</v>
      </c>
      <c r="G3590" s="345" t="s">
        <v>312</v>
      </c>
      <c r="H3590" s="345" t="s">
        <v>5077</v>
      </c>
      <c r="I3590" s="654">
        <v>15</v>
      </c>
      <c r="J3590" s="654"/>
      <c r="K3590" s="654"/>
      <c r="L3590" s="654"/>
      <c r="M3590" s="654"/>
      <c r="N3590" s="544"/>
      <c r="O3590" s="544"/>
      <c r="P3590" s="544"/>
      <c r="Q3590" s="544"/>
      <c r="R3590" s="655" t="s">
        <v>3750</v>
      </c>
      <c r="S3590" s="654"/>
    </row>
    <row r="3591" spans="1:21" x14ac:dyDescent="0.25">
      <c r="A3591" t="s">
        <v>3317</v>
      </c>
      <c r="B3591" s="50" t="s">
        <v>2498</v>
      </c>
      <c r="C3591" s="490"/>
      <c r="D3591" s="337">
        <v>610000004760</v>
      </c>
      <c r="E3591" s="337"/>
      <c r="F3591" s="338" t="s">
        <v>5076</v>
      </c>
      <c r="G3591" s="651" t="s">
        <v>3417</v>
      </c>
      <c r="H3591" s="651" t="s">
        <v>5078</v>
      </c>
      <c r="I3591" s="652">
        <v>15</v>
      </c>
      <c r="J3591" s="652"/>
      <c r="K3591" s="652"/>
      <c r="L3591" s="652"/>
      <c r="M3591" s="652"/>
      <c r="N3591" s="544"/>
      <c r="O3591" s="544"/>
      <c r="P3591" s="544"/>
      <c r="Q3591" s="544"/>
      <c r="R3591" s="653" t="s">
        <v>3750</v>
      </c>
      <c r="S3591" s="652"/>
    </row>
    <row r="3592" spans="1:21" x14ac:dyDescent="0.25">
      <c r="A3592" t="s">
        <v>3317</v>
      </c>
      <c r="B3592" s="50" t="s">
        <v>2498</v>
      </c>
      <c r="C3592" s="51"/>
      <c r="D3592" s="343">
        <v>610000004761</v>
      </c>
      <c r="E3592" s="343"/>
      <c r="F3592" s="344" t="s">
        <v>5079</v>
      </c>
      <c r="G3592" s="345" t="s">
        <v>312</v>
      </c>
      <c r="H3592" s="345" t="s">
        <v>5080</v>
      </c>
      <c r="I3592" s="344">
        <v>180</v>
      </c>
      <c r="J3592" s="344"/>
      <c r="K3592" s="344"/>
      <c r="L3592" s="344"/>
      <c r="M3592" s="344"/>
      <c r="N3592" s="544"/>
      <c r="O3592" s="544"/>
      <c r="P3592" s="544"/>
      <c r="Q3592" s="544"/>
      <c r="R3592" s="418" t="s">
        <v>3254</v>
      </c>
      <c r="S3592" s="344"/>
    </row>
    <row r="3593" spans="1:21" ht="15.75" thickBot="1" x14ac:dyDescent="0.3">
      <c r="A3593" t="s">
        <v>3317</v>
      </c>
      <c r="B3593" s="50" t="s">
        <v>2498</v>
      </c>
      <c r="C3593" s="214"/>
      <c r="D3593" s="466">
        <v>610000004761</v>
      </c>
      <c r="E3593" s="466"/>
      <c r="F3593" s="467" t="s">
        <v>5079</v>
      </c>
      <c r="G3593" s="468" t="s">
        <v>3417</v>
      </c>
      <c r="H3593" s="468" t="s">
        <v>5081</v>
      </c>
      <c r="I3593" s="467">
        <v>180</v>
      </c>
      <c r="J3593" s="467"/>
      <c r="K3593" s="467"/>
      <c r="L3593" s="467"/>
      <c r="M3593" s="467"/>
      <c r="N3593" s="544"/>
      <c r="O3593" s="544"/>
      <c r="P3593" s="544"/>
      <c r="Q3593" s="544"/>
      <c r="R3593" s="543" t="s">
        <v>3251</v>
      </c>
      <c r="S3593" s="467"/>
    </row>
    <row r="3594" spans="1:21" x14ac:dyDescent="0.25">
      <c r="A3594" t="s">
        <v>3317</v>
      </c>
      <c r="B3594" s="50" t="s">
        <v>2504</v>
      </c>
      <c r="C3594" s="51"/>
      <c r="D3594" s="340">
        <v>610000004762</v>
      </c>
      <c r="E3594" s="340"/>
      <c r="F3594" s="341" t="s">
        <v>5082</v>
      </c>
      <c r="G3594" s="345" t="s">
        <v>326</v>
      </c>
      <c r="H3594" s="345" t="s">
        <v>3307</v>
      </c>
      <c r="I3594" s="654">
        <v>15</v>
      </c>
      <c r="J3594" s="654"/>
      <c r="K3594" s="654"/>
      <c r="L3594" s="654"/>
      <c r="M3594" s="654"/>
      <c r="N3594" s="544"/>
      <c r="O3594" s="544"/>
      <c r="P3594" s="544"/>
      <c r="Q3594" s="544"/>
      <c r="R3594" s="655" t="s">
        <v>3750</v>
      </c>
      <c r="S3594" s="654"/>
    </row>
    <row r="3595" spans="1:21" x14ac:dyDescent="0.25">
      <c r="A3595" t="s">
        <v>3317</v>
      </c>
      <c r="B3595" s="50" t="s">
        <v>2504</v>
      </c>
      <c r="C3595" s="51"/>
      <c r="D3595" s="337">
        <v>610000004762</v>
      </c>
      <c r="E3595" s="337"/>
      <c r="F3595" s="338" t="s">
        <v>5082</v>
      </c>
      <c r="G3595" s="351" t="s">
        <v>333</v>
      </c>
      <c r="H3595" s="351" t="s">
        <v>3308</v>
      </c>
      <c r="I3595" s="652">
        <v>15</v>
      </c>
      <c r="J3595" s="652"/>
      <c r="K3595" s="652"/>
      <c r="L3595" s="652"/>
      <c r="M3595" s="652"/>
      <c r="N3595" s="544"/>
      <c r="O3595" s="544"/>
      <c r="P3595" s="544"/>
      <c r="Q3595" s="544"/>
      <c r="R3595" s="653" t="s">
        <v>3750</v>
      </c>
      <c r="S3595" s="652"/>
    </row>
    <row r="3596" spans="1:21" x14ac:dyDescent="0.25">
      <c r="A3596" t="s">
        <v>3317</v>
      </c>
      <c r="B3596" s="50" t="s">
        <v>2504</v>
      </c>
      <c r="C3596" s="51"/>
      <c r="D3596" s="340">
        <v>610000004763</v>
      </c>
      <c r="E3596" s="340"/>
      <c r="F3596" s="341" t="s">
        <v>5083</v>
      </c>
      <c r="G3596" s="380" t="s">
        <v>326</v>
      </c>
      <c r="H3596" s="380" t="s">
        <v>3312</v>
      </c>
      <c r="I3596" s="654">
        <v>180</v>
      </c>
      <c r="J3596" s="654"/>
      <c r="K3596" s="654"/>
      <c r="L3596" s="654"/>
      <c r="M3596" s="654"/>
      <c r="N3596" s="544"/>
      <c r="O3596" s="544"/>
      <c r="P3596" s="544"/>
      <c r="Q3596" s="544"/>
      <c r="R3596" s="655" t="s">
        <v>3254</v>
      </c>
      <c r="S3596" s="654"/>
    </row>
    <row r="3597" spans="1:21" x14ac:dyDescent="0.25">
      <c r="A3597" t="s">
        <v>3317</v>
      </c>
      <c r="B3597" s="50" t="s">
        <v>2504</v>
      </c>
      <c r="C3597" s="382"/>
      <c r="D3597" s="337">
        <v>610000004763</v>
      </c>
      <c r="E3597" s="337"/>
      <c r="F3597" s="338" t="s">
        <v>5083</v>
      </c>
      <c r="G3597" s="651" t="s">
        <v>333</v>
      </c>
      <c r="H3597" s="651" t="s">
        <v>3313</v>
      </c>
      <c r="I3597" s="652">
        <v>180</v>
      </c>
      <c r="J3597" s="652"/>
      <c r="K3597" s="652"/>
      <c r="L3597" s="652"/>
      <c r="M3597" s="652"/>
      <c r="N3597" s="544"/>
      <c r="O3597" s="544"/>
      <c r="P3597" s="544"/>
      <c r="Q3597" s="544"/>
      <c r="R3597" s="653" t="s">
        <v>3254</v>
      </c>
      <c r="S3597" s="652"/>
    </row>
    <row r="3598" spans="1:21" x14ac:dyDescent="0.25">
      <c r="A3598" t="s">
        <v>3317</v>
      </c>
      <c r="B3598" s="464" t="s">
        <v>2510</v>
      </c>
      <c r="C3598" s="465"/>
      <c r="D3598" s="334">
        <v>610000004182</v>
      </c>
      <c r="E3598" s="335" t="s">
        <v>5084</v>
      </c>
      <c r="F3598" s="335" t="s">
        <v>5085</v>
      </c>
      <c r="G3598" s="646" t="s">
        <v>2532</v>
      </c>
      <c r="H3598" s="646" t="s">
        <v>5086</v>
      </c>
      <c r="I3598" s="647">
        <v>15</v>
      </c>
      <c r="J3598" s="673"/>
      <c r="K3598" s="674"/>
      <c r="R3598" s="544"/>
      <c r="S3598" s="544"/>
      <c r="T3598" s="544"/>
      <c r="U3598" s="421" t="s">
        <v>5087</v>
      </c>
    </row>
    <row r="3599" spans="1:21" x14ac:dyDescent="0.25">
      <c r="A3599" t="s">
        <v>3317</v>
      </c>
      <c r="B3599" s="464" t="s">
        <v>2510</v>
      </c>
      <c r="C3599" s="51"/>
      <c r="D3599" s="337">
        <v>610000004182</v>
      </c>
      <c r="E3599" s="338" t="s">
        <v>5088</v>
      </c>
      <c r="F3599" s="338" t="s">
        <v>5085</v>
      </c>
      <c r="G3599" s="651" t="s">
        <v>330</v>
      </c>
      <c r="H3599" s="651" t="s">
        <v>5089</v>
      </c>
      <c r="I3599" s="652">
        <v>15</v>
      </c>
      <c r="J3599" s="673"/>
      <c r="K3599" s="674"/>
      <c r="R3599" s="544"/>
      <c r="S3599" s="544"/>
      <c r="T3599" s="544"/>
      <c r="U3599" s="350" t="s">
        <v>5087</v>
      </c>
    </row>
    <row r="3600" spans="1:21" x14ac:dyDescent="0.25">
      <c r="A3600" t="s">
        <v>3317</v>
      </c>
      <c r="B3600" s="464" t="s">
        <v>2510</v>
      </c>
      <c r="C3600" s="51"/>
      <c r="D3600" s="334">
        <v>610000004183</v>
      </c>
      <c r="E3600" s="335" t="s">
        <v>5090</v>
      </c>
      <c r="F3600" s="335" t="s">
        <v>5091</v>
      </c>
      <c r="G3600" s="646" t="s">
        <v>2532</v>
      </c>
      <c r="H3600" s="646" t="s">
        <v>5092</v>
      </c>
      <c r="I3600" s="647">
        <v>15</v>
      </c>
      <c r="J3600" s="673"/>
      <c r="K3600" s="674"/>
      <c r="R3600" s="544" t="s">
        <v>3330</v>
      </c>
      <c r="S3600" s="544"/>
      <c r="T3600" s="544"/>
      <c r="U3600" s="421" t="s">
        <v>5087</v>
      </c>
    </row>
    <row r="3601" spans="1:21" x14ac:dyDescent="0.25">
      <c r="A3601" t="s">
        <v>3317</v>
      </c>
      <c r="B3601" s="464" t="s">
        <v>2510</v>
      </c>
      <c r="C3601" s="51"/>
      <c r="D3601" s="340">
        <v>610000004183</v>
      </c>
      <c r="E3601" s="341" t="s">
        <v>5093</v>
      </c>
      <c r="F3601" s="341" t="s">
        <v>5091</v>
      </c>
      <c r="G3601" s="380" t="s">
        <v>330</v>
      </c>
      <c r="H3601" s="380" t="s">
        <v>5094</v>
      </c>
      <c r="I3601" s="654">
        <v>15</v>
      </c>
      <c r="J3601" s="673"/>
      <c r="K3601" s="674"/>
      <c r="R3601" s="544" t="s">
        <v>3750</v>
      </c>
      <c r="S3601" s="544"/>
      <c r="T3601" s="544"/>
      <c r="U3601" s="344" t="s">
        <v>5095</v>
      </c>
    </row>
    <row r="3602" spans="1:21" x14ac:dyDescent="0.25">
      <c r="A3602" t="s">
        <v>3317</v>
      </c>
      <c r="B3602" s="464" t="s">
        <v>2510</v>
      </c>
      <c r="C3602" s="51"/>
      <c r="D3602" s="326">
        <v>610000004183</v>
      </c>
      <c r="E3602" s="327" t="s">
        <v>5096</v>
      </c>
      <c r="F3602" s="327" t="s">
        <v>5091</v>
      </c>
      <c r="G3602" s="381" t="s">
        <v>349</v>
      </c>
      <c r="H3602" s="381" t="s">
        <v>5029</v>
      </c>
      <c r="I3602" s="649">
        <v>15</v>
      </c>
      <c r="J3602" s="673"/>
      <c r="K3602" s="674"/>
      <c r="R3602" s="544" t="s">
        <v>3750</v>
      </c>
      <c r="S3602" s="544"/>
      <c r="T3602" s="544"/>
      <c r="U3602" s="347" t="s">
        <v>5095</v>
      </c>
    </row>
    <row r="3603" spans="1:21" x14ac:dyDescent="0.25">
      <c r="A3603" t="s">
        <v>3317</v>
      </c>
      <c r="B3603" s="464" t="s">
        <v>2510</v>
      </c>
      <c r="C3603" s="51"/>
      <c r="D3603" s="326">
        <v>610000004183</v>
      </c>
      <c r="E3603" s="327" t="s">
        <v>5097</v>
      </c>
      <c r="F3603" s="327" t="s">
        <v>5091</v>
      </c>
      <c r="G3603" s="381" t="s">
        <v>2518</v>
      </c>
      <c r="H3603" s="381" t="s">
        <v>5098</v>
      </c>
      <c r="I3603" s="649">
        <v>15</v>
      </c>
      <c r="J3603" s="673"/>
      <c r="K3603" s="674"/>
      <c r="R3603" s="544" t="s">
        <v>3750</v>
      </c>
      <c r="S3603" s="544"/>
      <c r="T3603" s="544"/>
      <c r="U3603" s="347" t="s">
        <v>5095</v>
      </c>
    </row>
    <row r="3604" spans="1:21" x14ac:dyDescent="0.25">
      <c r="A3604" t="s">
        <v>3317</v>
      </c>
      <c r="B3604" s="464" t="s">
        <v>2510</v>
      </c>
      <c r="C3604" s="51"/>
      <c r="D3604" s="326">
        <v>610000004183</v>
      </c>
      <c r="E3604" s="327" t="s">
        <v>5099</v>
      </c>
      <c r="F3604" s="327" t="s">
        <v>5091</v>
      </c>
      <c r="G3604" s="381" t="s">
        <v>2521</v>
      </c>
      <c r="H3604" s="381" t="s">
        <v>5100</v>
      </c>
      <c r="I3604" s="649">
        <v>15</v>
      </c>
      <c r="J3604" s="673"/>
      <c r="K3604" s="674"/>
      <c r="R3604" s="544" t="s">
        <v>3750</v>
      </c>
      <c r="S3604" s="544"/>
      <c r="T3604" s="544"/>
      <c r="U3604" s="347" t="s">
        <v>5095</v>
      </c>
    </row>
    <row r="3605" spans="1:21" x14ac:dyDescent="0.25">
      <c r="A3605" t="s">
        <v>3317</v>
      </c>
      <c r="B3605" s="464" t="s">
        <v>2510</v>
      </c>
      <c r="C3605" s="51"/>
      <c r="D3605" s="326">
        <v>610000004183</v>
      </c>
      <c r="E3605" s="327" t="s">
        <v>5101</v>
      </c>
      <c r="F3605" s="327" t="s">
        <v>5091</v>
      </c>
      <c r="G3605" s="381" t="s">
        <v>2524</v>
      </c>
      <c r="H3605" s="381" t="s">
        <v>5102</v>
      </c>
      <c r="I3605" s="649">
        <v>15</v>
      </c>
      <c r="J3605" s="673"/>
      <c r="K3605" s="674"/>
      <c r="R3605" s="544" t="s">
        <v>3750</v>
      </c>
      <c r="S3605" s="544"/>
      <c r="T3605" s="544"/>
      <c r="U3605" s="347" t="s">
        <v>5095</v>
      </c>
    </row>
    <row r="3606" spans="1:21" x14ac:dyDescent="0.25">
      <c r="A3606" t="s">
        <v>3317</v>
      </c>
      <c r="B3606" s="464" t="s">
        <v>2510</v>
      </c>
      <c r="C3606" s="51"/>
      <c r="D3606" s="326">
        <v>610000004183</v>
      </c>
      <c r="E3606" s="327" t="s">
        <v>5103</v>
      </c>
      <c r="F3606" s="327" t="s">
        <v>5091</v>
      </c>
      <c r="G3606" s="381" t="s">
        <v>2527</v>
      </c>
      <c r="H3606" s="381" t="s">
        <v>5104</v>
      </c>
      <c r="I3606" s="649">
        <v>15</v>
      </c>
      <c r="J3606" s="673"/>
      <c r="K3606" s="674"/>
      <c r="R3606" s="544" t="s">
        <v>3750</v>
      </c>
      <c r="S3606" s="544"/>
      <c r="T3606" s="544"/>
      <c r="U3606" s="347" t="s">
        <v>5095</v>
      </c>
    </row>
    <row r="3607" spans="1:21" x14ac:dyDescent="0.25">
      <c r="A3607" t="s">
        <v>3317</v>
      </c>
      <c r="B3607" s="464" t="s">
        <v>2510</v>
      </c>
      <c r="C3607" s="51"/>
      <c r="D3607" s="326">
        <v>610000004183</v>
      </c>
      <c r="E3607" s="327" t="s">
        <v>5105</v>
      </c>
      <c r="F3607" s="327" t="s">
        <v>5091</v>
      </c>
      <c r="G3607" s="381" t="s">
        <v>2534</v>
      </c>
      <c r="H3607" s="381" t="s">
        <v>5106</v>
      </c>
      <c r="I3607" s="649">
        <v>15</v>
      </c>
      <c r="J3607" s="673"/>
      <c r="K3607" s="674"/>
      <c r="R3607" s="544" t="s">
        <v>3750</v>
      </c>
      <c r="S3607" s="544"/>
      <c r="T3607" s="544"/>
      <c r="U3607" s="347" t="s">
        <v>5095</v>
      </c>
    </row>
    <row r="3608" spans="1:21" x14ac:dyDescent="0.25">
      <c r="A3608" t="s">
        <v>3317</v>
      </c>
      <c r="B3608" s="464" t="s">
        <v>2510</v>
      </c>
      <c r="C3608" s="51"/>
      <c r="D3608" s="326">
        <v>610000004183</v>
      </c>
      <c r="E3608" s="327" t="s">
        <v>5107</v>
      </c>
      <c r="F3608" s="327" t="s">
        <v>5091</v>
      </c>
      <c r="G3608" s="381" t="s">
        <v>2532</v>
      </c>
      <c r="H3608" s="381" t="s">
        <v>5108</v>
      </c>
      <c r="I3608" s="649">
        <v>15</v>
      </c>
      <c r="J3608" s="673"/>
      <c r="K3608" s="674"/>
      <c r="R3608" s="544" t="s">
        <v>3750</v>
      </c>
      <c r="S3608" s="544"/>
      <c r="T3608" s="544"/>
      <c r="U3608" s="347" t="s">
        <v>5095</v>
      </c>
    </row>
    <row r="3609" spans="1:21" x14ac:dyDescent="0.25">
      <c r="A3609" t="s">
        <v>3317</v>
      </c>
      <c r="B3609" s="464" t="s">
        <v>2510</v>
      </c>
      <c r="C3609" s="51"/>
      <c r="D3609" s="337">
        <v>610000004183</v>
      </c>
      <c r="E3609" s="338" t="s">
        <v>5109</v>
      </c>
      <c r="F3609" s="338" t="s">
        <v>5091</v>
      </c>
      <c r="G3609" s="651" t="s">
        <v>5110</v>
      </c>
      <c r="H3609" s="651" t="s">
        <v>5111</v>
      </c>
      <c r="I3609" s="652">
        <v>15</v>
      </c>
      <c r="J3609" s="673"/>
      <c r="K3609" s="674"/>
      <c r="R3609" s="544" t="s">
        <v>3750</v>
      </c>
      <c r="S3609" s="544"/>
      <c r="T3609" s="544"/>
      <c r="U3609" s="350" t="s">
        <v>5095</v>
      </c>
    </row>
    <row r="3610" spans="1:21" x14ac:dyDescent="0.25">
      <c r="A3610" t="s">
        <v>3317</v>
      </c>
      <c r="B3610" s="464" t="s">
        <v>2510</v>
      </c>
      <c r="C3610" s="544"/>
      <c r="D3610" s="340">
        <v>610000004184</v>
      </c>
      <c r="E3610" s="341" t="s">
        <v>5112</v>
      </c>
      <c r="F3610" s="341" t="s">
        <v>5113</v>
      </c>
      <c r="G3610" s="380" t="s">
        <v>330</v>
      </c>
      <c r="H3610" s="380" t="s">
        <v>5114</v>
      </c>
      <c r="I3610" s="654">
        <v>30</v>
      </c>
      <c r="J3610" s="673"/>
      <c r="K3610" s="674"/>
      <c r="R3610" s="544"/>
      <c r="S3610" s="544"/>
      <c r="T3610" s="544"/>
      <c r="U3610" s="344" t="s">
        <v>5115</v>
      </c>
    </row>
    <row r="3611" spans="1:21" x14ac:dyDescent="0.25">
      <c r="A3611" t="s">
        <v>3317</v>
      </c>
      <c r="B3611" s="464" t="s">
        <v>2510</v>
      </c>
      <c r="C3611" s="51"/>
      <c r="D3611" s="326">
        <v>610000004184</v>
      </c>
      <c r="E3611" s="327" t="s">
        <v>5116</v>
      </c>
      <c r="F3611" s="327" t="s">
        <v>5113</v>
      </c>
      <c r="G3611" s="381" t="s">
        <v>330</v>
      </c>
      <c r="H3611" s="381" t="s">
        <v>5117</v>
      </c>
      <c r="I3611" s="649">
        <v>30</v>
      </c>
      <c r="J3611" s="673"/>
      <c r="K3611" s="674"/>
      <c r="R3611" s="544"/>
      <c r="S3611" s="544"/>
      <c r="T3611" s="544"/>
      <c r="U3611" s="347" t="s">
        <v>5115</v>
      </c>
    </row>
    <row r="3612" spans="1:21" x14ac:dyDescent="0.25">
      <c r="A3612" t="s">
        <v>3317</v>
      </c>
      <c r="B3612" s="464" t="s">
        <v>2510</v>
      </c>
      <c r="C3612" s="51"/>
      <c r="D3612" s="326">
        <v>610000004184</v>
      </c>
      <c r="E3612" s="327" t="s">
        <v>5118</v>
      </c>
      <c r="F3612" s="327" t="s">
        <v>5113</v>
      </c>
      <c r="G3612" s="381" t="s">
        <v>349</v>
      </c>
      <c r="H3612" s="381" t="s">
        <v>5119</v>
      </c>
      <c r="I3612" s="649">
        <v>30</v>
      </c>
      <c r="J3612" s="673"/>
      <c r="K3612" s="674"/>
      <c r="R3612" s="544"/>
      <c r="S3612" s="544"/>
      <c r="T3612" s="544"/>
      <c r="U3612" s="347" t="s">
        <v>5115</v>
      </c>
    </row>
    <row r="3613" spans="1:21" x14ac:dyDescent="0.25">
      <c r="A3613" t="s">
        <v>3317</v>
      </c>
      <c r="B3613" s="464" t="s">
        <v>2510</v>
      </c>
      <c r="C3613" s="51"/>
      <c r="D3613" s="326">
        <v>610000004184</v>
      </c>
      <c r="E3613" s="327" t="s">
        <v>5120</v>
      </c>
      <c r="F3613" s="327" t="s">
        <v>5113</v>
      </c>
      <c r="G3613" s="381" t="s">
        <v>349</v>
      </c>
      <c r="H3613" s="381" t="s">
        <v>5121</v>
      </c>
      <c r="I3613" s="649">
        <v>30</v>
      </c>
      <c r="J3613" s="673"/>
      <c r="K3613" s="674"/>
      <c r="R3613" s="544"/>
      <c r="S3613" s="544"/>
      <c r="T3613" s="544"/>
      <c r="U3613" s="347" t="s">
        <v>5115</v>
      </c>
    </row>
    <row r="3614" spans="1:21" x14ac:dyDescent="0.25">
      <c r="A3614" t="s">
        <v>3317</v>
      </c>
      <c r="B3614" s="464" t="s">
        <v>2510</v>
      </c>
      <c r="C3614" s="51"/>
      <c r="D3614" s="326">
        <v>610000004184</v>
      </c>
      <c r="E3614" s="327" t="s">
        <v>5122</v>
      </c>
      <c r="F3614" s="327" t="s">
        <v>5113</v>
      </c>
      <c r="G3614" s="381" t="s">
        <v>2518</v>
      </c>
      <c r="H3614" s="381" t="s">
        <v>5123</v>
      </c>
      <c r="I3614" s="649">
        <v>30</v>
      </c>
      <c r="J3614" s="673"/>
      <c r="K3614" s="674"/>
      <c r="R3614" s="544"/>
      <c r="S3614" s="544"/>
      <c r="T3614" s="544"/>
      <c r="U3614" s="347" t="s">
        <v>5115</v>
      </c>
    </row>
    <row r="3615" spans="1:21" x14ac:dyDescent="0.25">
      <c r="A3615" t="s">
        <v>3317</v>
      </c>
      <c r="B3615" s="464" t="s">
        <v>2510</v>
      </c>
      <c r="C3615" s="51"/>
      <c r="D3615" s="326">
        <v>610000004184</v>
      </c>
      <c r="E3615" s="327" t="s">
        <v>5124</v>
      </c>
      <c r="F3615" s="327" t="s">
        <v>5113</v>
      </c>
      <c r="G3615" s="381" t="s">
        <v>2518</v>
      </c>
      <c r="H3615" s="381" t="s">
        <v>5125</v>
      </c>
      <c r="I3615" s="649">
        <v>30</v>
      </c>
      <c r="J3615" s="673"/>
      <c r="K3615" s="674"/>
      <c r="R3615" s="544"/>
      <c r="S3615" s="544"/>
      <c r="T3615" s="544"/>
      <c r="U3615" s="347" t="s">
        <v>5115</v>
      </c>
    </row>
    <row r="3616" spans="1:21" x14ac:dyDescent="0.25">
      <c r="A3616" t="s">
        <v>3317</v>
      </c>
      <c r="B3616" s="464" t="s">
        <v>2510</v>
      </c>
      <c r="C3616" s="51"/>
      <c r="D3616" s="326">
        <v>610000004184</v>
      </c>
      <c r="E3616" s="327" t="s">
        <v>5126</v>
      </c>
      <c r="F3616" s="327" t="s">
        <v>5113</v>
      </c>
      <c r="G3616" s="381" t="s">
        <v>2521</v>
      </c>
      <c r="H3616" s="381" t="s">
        <v>5127</v>
      </c>
      <c r="I3616" s="649">
        <v>30</v>
      </c>
      <c r="J3616" s="673"/>
      <c r="K3616" s="674"/>
      <c r="R3616" s="544"/>
      <c r="S3616" s="544"/>
      <c r="T3616" s="544"/>
      <c r="U3616" s="347" t="s">
        <v>5115</v>
      </c>
    </row>
    <row r="3617" spans="1:21" x14ac:dyDescent="0.25">
      <c r="A3617" t="s">
        <v>3317</v>
      </c>
      <c r="B3617" s="464" t="s">
        <v>2510</v>
      </c>
      <c r="C3617" s="51"/>
      <c r="D3617" s="326">
        <v>610000004184</v>
      </c>
      <c r="E3617" s="327" t="s">
        <v>5128</v>
      </c>
      <c r="F3617" s="327" t="s">
        <v>5113</v>
      </c>
      <c r="G3617" s="381" t="s">
        <v>2521</v>
      </c>
      <c r="H3617" s="381" t="s">
        <v>5129</v>
      </c>
      <c r="I3617" s="649">
        <v>30</v>
      </c>
      <c r="J3617" s="673"/>
      <c r="K3617" s="674"/>
      <c r="R3617" s="544"/>
      <c r="S3617" s="544"/>
      <c r="T3617" s="544"/>
      <c r="U3617" s="347" t="s">
        <v>5115</v>
      </c>
    </row>
    <row r="3618" spans="1:21" x14ac:dyDescent="0.25">
      <c r="A3618" t="s">
        <v>3317</v>
      </c>
      <c r="B3618" s="464" t="s">
        <v>2510</v>
      </c>
      <c r="C3618" s="51"/>
      <c r="D3618" s="326">
        <v>610000004184</v>
      </c>
      <c r="E3618" s="327" t="s">
        <v>5130</v>
      </c>
      <c r="F3618" s="327" t="s">
        <v>5113</v>
      </c>
      <c r="G3618" s="381" t="s">
        <v>2524</v>
      </c>
      <c r="H3618" s="381" t="s">
        <v>5131</v>
      </c>
      <c r="I3618" s="649">
        <v>30</v>
      </c>
      <c r="J3618" s="673"/>
      <c r="K3618" s="674"/>
      <c r="R3618" s="544"/>
      <c r="S3618" s="544"/>
      <c r="T3618" s="544"/>
      <c r="U3618" s="347" t="s">
        <v>5115</v>
      </c>
    </row>
    <row r="3619" spans="1:21" x14ac:dyDescent="0.25">
      <c r="A3619" t="s">
        <v>3317</v>
      </c>
      <c r="B3619" s="464" t="s">
        <v>2510</v>
      </c>
      <c r="C3619" s="51"/>
      <c r="D3619" s="326">
        <v>610000004184</v>
      </c>
      <c r="E3619" s="327" t="s">
        <v>5132</v>
      </c>
      <c r="F3619" s="327" t="s">
        <v>5113</v>
      </c>
      <c r="G3619" s="381" t="s">
        <v>2524</v>
      </c>
      <c r="H3619" s="381" t="s">
        <v>5133</v>
      </c>
      <c r="I3619" s="649">
        <v>30</v>
      </c>
      <c r="J3619" s="673"/>
      <c r="K3619" s="674"/>
      <c r="R3619" s="544"/>
      <c r="S3619" s="544"/>
      <c r="T3619" s="544"/>
      <c r="U3619" s="347" t="s">
        <v>5115</v>
      </c>
    </row>
    <row r="3620" spans="1:21" x14ac:dyDescent="0.25">
      <c r="A3620" t="s">
        <v>3317</v>
      </c>
      <c r="B3620" s="464" t="s">
        <v>2510</v>
      </c>
      <c r="C3620" s="51"/>
      <c r="D3620" s="326">
        <v>610000004184</v>
      </c>
      <c r="E3620" s="327" t="s">
        <v>5134</v>
      </c>
      <c r="F3620" s="327" t="s">
        <v>5113</v>
      </c>
      <c r="G3620" s="381" t="s">
        <v>2527</v>
      </c>
      <c r="H3620" s="381" t="s">
        <v>5135</v>
      </c>
      <c r="I3620" s="649">
        <v>30</v>
      </c>
      <c r="J3620" s="673"/>
      <c r="K3620" s="674"/>
      <c r="R3620" s="544"/>
      <c r="S3620" s="544"/>
      <c r="T3620" s="544"/>
      <c r="U3620" s="347" t="s">
        <v>5115</v>
      </c>
    </row>
    <row r="3621" spans="1:21" x14ac:dyDescent="0.25">
      <c r="A3621" t="s">
        <v>3317</v>
      </c>
      <c r="B3621" s="464" t="s">
        <v>2510</v>
      </c>
      <c r="C3621" s="51"/>
      <c r="D3621" s="326">
        <v>610000004184</v>
      </c>
      <c r="E3621" s="327" t="s">
        <v>5136</v>
      </c>
      <c r="F3621" s="327" t="s">
        <v>5113</v>
      </c>
      <c r="G3621" s="381" t="s">
        <v>2527</v>
      </c>
      <c r="H3621" s="381" t="s">
        <v>5137</v>
      </c>
      <c r="I3621" s="649">
        <v>30</v>
      </c>
      <c r="J3621" s="673"/>
      <c r="K3621" s="674"/>
      <c r="R3621" s="544"/>
      <c r="S3621" s="544"/>
      <c r="T3621" s="544"/>
      <c r="U3621" s="347" t="s">
        <v>5115</v>
      </c>
    </row>
    <row r="3622" spans="1:21" x14ac:dyDescent="0.25">
      <c r="A3622" t="s">
        <v>3317</v>
      </c>
      <c r="B3622" s="464" t="s">
        <v>2510</v>
      </c>
      <c r="C3622" s="51"/>
      <c r="D3622" s="326">
        <v>610000004184</v>
      </c>
      <c r="E3622" s="327" t="s">
        <v>5138</v>
      </c>
      <c r="F3622" s="327" t="s">
        <v>5113</v>
      </c>
      <c r="G3622" s="381" t="s">
        <v>2534</v>
      </c>
      <c r="H3622" s="381" t="s">
        <v>5139</v>
      </c>
      <c r="I3622" s="649">
        <v>30</v>
      </c>
      <c r="J3622" s="673"/>
      <c r="K3622" s="674"/>
      <c r="R3622" s="544"/>
      <c r="S3622" s="544"/>
      <c r="T3622" s="544"/>
      <c r="U3622" s="347" t="s">
        <v>5115</v>
      </c>
    </row>
    <row r="3623" spans="1:21" x14ac:dyDescent="0.25">
      <c r="A3623" t="s">
        <v>3317</v>
      </c>
      <c r="B3623" s="464" t="s">
        <v>2510</v>
      </c>
      <c r="C3623" s="51"/>
      <c r="D3623" s="326">
        <v>610000004184</v>
      </c>
      <c r="E3623" s="327" t="s">
        <v>5140</v>
      </c>
      <c r="F3623" s="327" t="s">
        <v>5113</v>
      </c>
      <c r="G3623" s="381" t="s">
        <v>2534</v>
      </c>
      <c r="H3623" s="381" t="s">
        <v>5141</v>
      </c>
      <c r="I3623" s="649">
        <v>30</v>
      </c>
      <c r="J3623" s="673"/>
      <c r="K3623" s="674"/>
      <c r="R3623" s="544"/>
      <c r="S3623" s="544"/>
      <c r="T3623" s="544"/>
      <c r="U3623" s="347" t="s">
        <v>5115</v>
      </c>
    </row>
    <row r="3624" spans="1:21" x14ac:dyDescent="0.25">
      <c r="A3624" t="s">
        <v>3317</v>
      </c>
      <c r="B3624" s="464" t="s">
        <v>2510</v>
      </c>
      <c r="C3624" s="51"/>
      <c r="D3624" s="337">
        <v>610000004184</v>
      </c>
      <c r="E3624" s="338" t="s">
        <v>5142</v>
      </c>
      <c r="F3624" s="338" t="s">
        <v>5113</v>
      </c>
      <c r="G3624" s="651" t="s">
        <v>5110</v>
      </c>
      <c r="H3624" s="651" t="s">
        <v>5143</v>
      </c>
      <c r="I3624" s="652">
        <v>30</v>
      </c>
      <c r="J3624" s="673"/>
      <c r="K3624" s="674"/>
      <c r="R3624" s="544"/>
      <c r="S3624" s="544"/>
      <c r="T3624" s="544"/>
      <c r="U3624" s="350" t="s">
        <v>5115</v>
      </c>
    </row>
    <row r="3625" spans="1:21" x14ac:dyDescent="0.25">
      <c r="A3625" t="s">
        <v>3317</v>
      </c>
      <c r="B3625" s="464" t="s">
        <v>2510</v>
      </c>
      <c r="C3625" s="51"/>
      <c r="D3625" s="448">
        <v>610000004185</v>
      </c>
      <c r="E3625" s="383" t="s">
        <v>5144</v>
      </c>
      <c r="F3625" s="383" t="s">
        <v>5145</v>
      </c>
      <c r="G3625" s="663" t="s">
        <v>5110</v>
      </c>
      <c r="H3625" s="663" t="s">
        <v>5146</v>
      </c>
      <c r="I3625" s="664">
        <v>30</v>
      </c>
      <c r="J3625" s="673"/>
      <c r="K3625" s="674"/>
      <c r="R3625" s="544"/>
      <c r="S3625" s="544"/>
      <c r="T3625" s="544"/>
      <c r="U3625" s="434" t="s">
        <v>5115</v>
      </c>
    </row>
    <row r="3626" spans="1:21" x14ac:dyDescent="0.25">
      <c r="A3626" t="s">
        <v>3317</v>
      </c>
      <c r="B3626" s="464" t="s">
        <v>2510</v>
      </c>
      <c r="C3626" s="51"/>
      <c r="D3626" s="340">
        <v>610000004186</v>
      </c>
      <c r="E3626" s="341" t="s">
        <v>5147</v>
      </c>
      <c r="F3626" s="341" t="s">
        <v>5148</v>
      </c>
      <c r="G3626" s="380" t="s">
        <v>330</v>
      </c>
      <c r="H3626" s="380" t="s">
        <v>5149</v>
      </c>
      <c r="I3626" s="654">
        <v>180</v>
      </c>
      <c r="J3626" s="673"/>
      <c r="K3626" s="674"/>
      <c r="R3626" s="544" t="s">
        <v>3254</v>
      </c>
      <c r="S3626" s="544" t="s">
        <v>3984</v>
      </c>
      <c r="T3626" s="544"/>
      <c r="U3626" s="344" t="s">
        <v>5150</v>
      </c>
    </row>
    <row r="3627" spans="1:21" x14ac:dyDescent="0.25">
      <c r="A3627" t="s">
        <v>3317</v>
      </c>
      <c r="B3627" s="464" t="s">
        <v>2510</v>
      </c>
      <c r="C3627" s="51"/>
      <c r="D3627" s="326">
        <v>610000004186</v>
      </c>
      <c r="E3627" s="327" t="s">
        <v>5151</v>
      </c>
      <c r="F3627" s="327" t="s">
        <v>5148</v>
      </c>
      <c r="G3627" s="381" t="s">
        <v>349</v>
      </c>
      <c r="H3627" s="381" t="s">
        <v>3335</v>
      </c>
      <c r="I3627" s="649">
        <v>180</v>
      </c>
      <c r="J3627" s="673"/>
      <c r="K3627" s="674"/>
      <c r="R3627" s="544" t="s">
        <v>3254</v>
      </c>
      <c r="S3627" s="544" t="s">
        <v>5152</v>
      </c>
      <c r="T3627" s="544"/>
      <c r="U3627" s="347" t="s">
        <v>5150</v>
      </c>
    </row>
    <row r="3628" spans="1:21" x14ac:dyDescent="0.25">
      <c r="A3628" t="s">
        <v>3317</v>
      </c>
      <c r="B3628" s="464" t="s">
        <v>2510</v>
      </c>
      <c r="C3628" s="51"/>
      <c r="D3628" s="326">
        <v>610000004186</v>
      </c>
      <c r="E3628" s="327" t="s">
        <v>5153</v>
      </c>
      <c r="F3628" s="327" t="s">
        <v>5148</v>
      </c>
      <c r="G3628" s="381" t="s">
        <v>2516</v>
      </c>
      <c r="H3628" s="381" t="s">
        <v>5154</v>
      </c>
      <c r="I3628" s="649">
        <v>180</v>
      </c>
      <c r="J3628" s="673"/>
      <c r="K3628" s="674"/>
      <c r="R3628" s="544" t="s">
        <v>3254</v>
      </c>
      <c r="S3628" s="544" t="s">
        <v>3998</v>
      </c>
      <c r="T3628" s="544"/>
      <c r="U3628" s="347" t="s">
        <v>5150</v>
      </c>
    </row>
    <row r="3629" spans="1:21" x14ac:dyDescent="0.25">
      <c r="A3629" t="s">
        <v>3317</v>
      </c>
      <c r="B3629" s="464" t="s">
        <v>2510</v>
      </c>
      <c r="C3629" s="51"/>
      <c r="D3629" s="326">
        <v>610000004186</v>
      </c>
      <c r="E3629" s="327" t="s">
        <v>5155</v>
      </c>
      <c r="F3629" s="327" t="s">
        <v>5148</v>
      </c>
      <c r="G3629" s="381" t="s">
        <v>2521</v>
      </c>
      <c r="H3629" s="381" t="s">
        <v>5156</v>
      </c>
      <c r="I3629" s="649">
        <v>180</v>
      </c>
      <c r="J3629" s="673"/>
      <c r="K3629" s="674"/>
      <c r="R3629" s="544" t="s">
        <v>3254</v>
      </c>
      <c r="S3629" s="544" t="s">
        <v>5152</v>
      </c>
      <c r="T3629" s="544"/>
      <c r="U3629" s="347" t="s">
        <v>5150</v>
      </c>
    </row>
    <row r="3630" spans="1:21" x14ac:dyDescent="0.25">
      <c r="A3630" t="s">
        <v>3317</v>
      </c>
      <c r="B3630" s="464" t="s">
        <v>2510</v>
      </c>
      <c r="C3630" s="51"/>
      <c r="D3630" s="326">
        <v>610000004186</v>
      </c>
      <c r="E3630" s="327" t="s">
        <v>5157</v>
      </c>
      <c r="F3630" s="327" t="s">
        <v>5148</v>
      </c>
      <c r="G3630" s="381" t="s">
        <v>2524</v>
      </c>
      <c r="H3630" s="381" t="s">
        <v>5158</v>
      </c>
      <c r="I3630" s="649">
        <v>180</v>
      </c>
      <c r="J3630" s="673"/>
      <c r="K3630" s="674"/>
      <c r="R3630" s="544" t="s">
        <v>3254</v>
      </c>
      <c r="S3630" s="544" t="s">
        <v>5152</v>
      </c>
      <c r="T3630" s="544"/>
      <c r="U3630" s="347" t="s">
        <v>5150</v>
      </c>
    </row>
    <row r="3631" spans="1:21" x14ac:dyDescent="0.25">
      <c r="A3631" t="s">
        <v>3317</v>
      </c>
      <c r="B3631" s="464" t="s">
        <v>2510</v>
      </c>
      <c r="C3631" s="51"/>
      <c r="D3631" s="326">
        <v>610000004186</v>
      </c>
      <c r="E3631" s="327" t="s">
        <v>5159</v>
      </c>
      <c r="F3631" s="327" t="s">
        <v>5148</v>
      </c>
      <c r="G3631" s="381" t="s">
        <v>2527</v>
      </c>
      <c r="H3631" s="381" t="s">
        <v>5160</v>
      </c>
      <c r="I3631" s="649">
        <v>180</v>
      </c>
      <c r="J3631" s="673"/>
      <c r="K3631" s="674"/>
      <c r="R3631" s="544" t="s">
        <v>3254</v>
      </c>
      <c r="S3631" s="544" t="s">
        <v>5152</v>
      </c>
      <c r="T3631" s="544"/>
      <c r="U3631" s="347" t="s">
        <v>5150</v>
      </c>
    </row>
    <row r="3632" spans="1:21" x14ac:dyDescent="0.25">
      <c r="A3632" t="s">
        <v>3317</v>
      </c>
      <c r="B3632" s="464" t="s">
        <v>2510</v>
      </c>
      <c r="C3632" s="51"/>
      <c r="D3632" s="326">
        <v>610000004186</v>
      </c>
      <c r="E3632" s="327" t="s">
        <v>5161</v>
      </c>
      <c r="F3632" s="327" t="s">
        <v>5148</v>
      </c>
      <c r="G3632" s="381" t="s">
        <v>2534</v>
      </c>
      <c r="H3632" s="381" t="s">
        <v>3997</v>
      </c>
      <c r="I3632" s="649">
        <v>180</v>
      </c>
      <c r="J3632" s="673"/>
      <c r="K3632" s="674"/>
      <c r="R3632" s="544" t="s">
        <v>3254</v>
      </c>
      <c r="S3632" s="544" t="s">
        <v>5152</v>
      </c>
      <c r="T3632" s="544"/>
      <c r="U3632" s="347" t="s">
        <v>5150</v>
      </c>
    </row>
    <row r="3633" spans="1:21" x14ac:dyDescent="0.25">
      <c r="A3633" t="s">
        <v>3317</v>
      </c>
      <c r="B3633" s="464" t="s">
        <v>2510</v>
      </c>
      <c r="C3633" s="51"/>
      <c r="D3633" s="337">
        <v>610000004186</v>
      </c>
      <c r="E3633" s="338" t="s">
        <v>5162</v>
      </c>
      <c r="F3633" s="338" t="s">
        <v>5148</v>
      </c>
      <c r="G3633" s="651" t="s">
        <v>5110</v>
      </c>
      <c r="H3633" s="651" t="s">
        <v>5163</v>
      </c>
      <c r="I3633" s="652">
        <v>180</v>
      </c>
      <c r="J3633" s="673"/>
      <c r="K3633" s="674"/>
      <c r="R3633" s="544" t="s">
        <v>3376</v>
      </c>
      <c r="S3633" s="544"/>
      <c r="T3633" s="544"/>
      <c r="U3633" s="350" t="s">
        <v>5150</v>
      </c>
    </row>
    <row r="3634" spans="1:21" ht="15.75" thickBot="1" x14ac:dyDescent="0.3">
      <c r="A3634" t="s">
        <v>3317</v>
      </c>
      <c r="B3634" s="464" t="s">
        <v>2510</v>
      </c>
      <c r="C3634" s="214"/>
      <c r="D3634" s="363">
        <v>610000004187</v>
      </c>
      <c r="E3634" s="675" t="s">
        <v>5164</v>
      </c>
      <c r="F3634" s="364" t="s">
        <v>5165</v>
      </c>
      <c r="G3634" s="675" t="s">
        <v>2532</v>
      </c>
      <c r="H3634" s="675" t="s">
        <v>5166</v>
      </c>
      <c r="I3634" s="364">
        <v>180</v>
      </c>
      <c r="J3634" s="676"/>
      <c r="K3634" s="674"/>
      <c r="R3634" s="544" t="s">
        <v>5167</v>
      </c>
      <c r="S3634" s="544" t="s">
        <v>5168</v>
      </c>
      <c r="T3634" s="544"/>
      <c r="U3634" s="675" t="s">
        <v>5169</v>
      </c>
    </row>
    <row r="3635" spans="1:21" x14ac:dyDescent="0.25">
      <c r="A3635" t="s">
        <v>3317</v>
      </c>
      <c r="B3635" s="50" t="s">
        <v>2640</v>
      </c>
      <c r="C3635" s="51"/>
      <c r="D3635" s="340">
        <v>610000004188</v>
      </c>
      <c r="E3635" s="341" t="s">
        <v>5170</v>
      </c>
      <c r="F3635" s="341" t="s">
        <v>5171</v>
      </c>
      <c r="G3635" s="380" t="s">
        <v>1164</v>
      </c>
      <c r="H3635" s="380" t="s">
        <v>5172</v>
      </c>
      <c r="I3635" s="654">
        <v>15</v>
      </c>
      <c r="J3635" s="673"/>
      <c r="K3635" s="674"/>
      <c r="R3635" s="544" t="s">
        <v>3750</v>
      </c>
      <c r="S3635" s="544"/>
      <c r="T3635" s="544"/>
      <c r="U3635" s="344" t="s">
        <v>5173</v>
      </c>
    </row>
    <row r="3636" spans="1:21" x14ac:dyDescent="0.25">
      <c r="A3636" t="s">
        <v>3317</v>
      </c>
      <c r="B3636" s="50" t="s">
        <v>2640</v>
      </c>
      <c r="C3636" s="51"/>
      <c r="D3636" s="326">
        <v>610000004188</v>
      </c>
      <c r="E3636" s="327" t="s">
        <v>5174</v>
      </c>
      <c r="F3636" s="327" t="s">
        <v>5171</v>
      </c>
      <c r="G3636" s="381" t="s">
        <v>1175</v>
      </c>
      <c r="H3636" s="381" t="s">
        <v>4033</v>
      </c>
      <c r="I3636" s="649">
        <v>15</v>
      </c>
      <c r="J3636" s="673"/>
      <c r="K3636" s="674"/>
      <c r="R3636" s="544" t="s">
        <v>3750</v>
      </c>
      <c r="S3636" s="544"/>
      <c r="T3636" s="544"/>
      <c r="U3636" s="347" t="s">
        <v>5173</v>
      </c>
    </row>
    <row r="3637" spans="1:21" x14ac:dyDescent="0.25">
      <c r="A3637" t="s">
        <v>3317</v>
      </c>
      <c r="B3637" s="50" t="s">
        <v>2640</v>
      </c>
      <c r="C3637" s="51"/>
      <c r="D3637" s="326">
        <v>610000004188</v>
      </c>
      <c r="E3637" s="327" t="s">
        <v>5175</v>
      </c>
      <c r="F3637" s="327" t="s">
        <v>5171</v>
      </c>
      <c r="G3637" s="381" t="s">
        <v>1161</v>
      </c>
      <c r="H3637" s="381" t="s">
        <v>5176</v>
      </c>
      <c r="I3637" s="649">
        <v>15</v>
      </c>
      <c r="J3637" s="673"/>
      <c r="K3637" s="674"/>
      <c r="R3637" s="544" t="s">
        <v>3750</v>
      </c>
      <c r="S3637" s="544"/>
      <c r="T3637" s="544"/>
      <c r="U3637" s="347" t="s">
        <v>5173</v>
      </c>
    </row>
    <row r="3638" spans="1:21" x14ac:dyDescent="0.25">
      <c r="A3638" t="s">
        <v>3317</v>
      </c>
      <c r="B3638" s="50" t="s">
        <v>2640</v>
      </c>
      <c r="C3638" s="51"/>
      <c r="D3638" s="448">
        <v>610000004188</v>
      </c>
      <c r="E3638" s="383" t="s">
        <v>5178</v>
      </c>
      <c r="F3638" s="383" t="s">
        <v>5171</v>
      </c>
      <c r="G3638" s="663" t="s">
        <v>5177</v>
      </c>
      <c r="H3638" s="663" t="s">
        <v>4034</v>
      </c>
      <c r="I3638" s="664">
        <v>15</v>
      </c>
      <c r="J3638" s="673"/>
      <c r="K3638" s="674"/>
      <c r="R3638" s="544" t="s">
        <v>3750</v>
      </c>
      <c r="S3638" s="544"/>
      <c r="T3638" s="544"/>
      <c r="U3638" s="434" t="s">
        <v>5179</v>
      </c>
    </row>
    <row r="3639" spans="1:21" x14ac:dyDescent="0.25">
      <c r="A3639" t="s">
        <v>3317</v>
      </c>
      <c r="B3639" s="50" t="s">
        <v>2640</v>
      </c>
      <c r="C3639" s="51"/>
      <c r="D3639" s="337">
        <v>610000004189</v>
      </c>
      <c r="E3639" s="338" t="s">
        <v>5180</v>
      </c>
      <c r="F3639" s="338" t="s">
        <v>5181</v>
      </c>
      <c r="G3639" s="651" t="s">
        <v>1161</v>
      </c>
      <c r="H3639" s="651" t="s">
        <v>5182</v>
      </c>
      <c r="I3639" s="652">
        <v>15</v>
      </c>
      <c r="J3639" s="673"/>
      <c r="K3639" s="674"/>
      <c r="R3639" s="544"/>
      <c r="S3639" s="544"/>
      <c r="T3639" s="544"/>
      <c r="U3639" s="350" t="s">
        <v>5173</v>
      </c>
    </row>
    <row r="3640" spans="1:21" x14ac:dyDescent="0.25">
      <c r="A3640" t="s">
        <v>3317</v>
      </c>
      <c r="B3640" s="50" t="s">
        <v>2640</v>
      </c>
      <c r="C3640" s="51"/>
      <c r="D3640" s="369">
        <v>610000004190</v>
      </c>
      <c r="E3640" s="370" t="s">
        <v>5183</v>
      </c>
      <c r="F3640" s="370" t="s">
        <v>5184</v>
      </c>
      <c r="G3640" s="672" t="s">
        <v>2649</v>
      </c>
      <c r="H3640" s="672" t="s">
        <v>4037</v>
      </c>
      <c r="I3640" s="376">
        <v>30</v>
      </c>
      <c r="J3640" s="673"/>
      <c r="K3640" s="674"/>
      <c r="R3640" s="544"/>
      <c r="S3640" s="544"/>
      <c r="T3640" s="544"/>
      <c r="U3640" s="353" t="s">
        <v>5185</v>
      </c>
    </row>
    <row r="3641" spans="1:21" x14ac:dyDescent="0.25">
      <c r="A3641" t="s">
        <v>3317</v>
      </c>
      <c r="B3641" s="50" t="s">
        <v>2640</v>
      </c>
      <c r="C3641" s="51"/>
      <c r="D3641" s="340">
        <v>610000004191</v>
      </c>
      <c r="E3641" s="341" t="s">
        <v>5186</v>
      </c>
      <c r="F3641" s="341" t="s">
        <v>5187</v>
      </c>
      <c r="G3641" s="380" t="s">
        <v>1175</v>
      </c>
      <c r="H3641" s="380" t="s">
        <v>4039</v>
      </c>
      <c r="I3641" s="654">
        <v>30</v>
      </c>
      <c r="J3641" s="673"/>
      <c r="K3641" s="674"/>
      <c r="R3641" s="544"/>
      <c r="S3641" s="544"/>
      <c r="T3641" s="544"/>
      <c r="U3641" s="344" t="s">
        <v>5185</v>
      </c>
    </row>
    <row r="3642" spans="1:21" x14ac:dyDescent="0.25">
      <c r="A3642" t="s">
        <v>3317</v>
      </c>
      <c r="B3642" s="50" t="s">
        <v>2640</v>
      </c>
      <c r="C3642" s="51"/>
      <c r="D3642" s="326">
        <v>610000004191</v>
      </c>
      <c r="E3642" s="327" t="s">
        <v>5188</v>
      </c>
      <c r="F3642" s="327" t="s">
        <v>5187</v>
      </c>
      <c r="G3642" s="381" t="s">
        <v>1167</v>
      </c>
      <c r="H3642" s="381" t="s">
        <v>4043</v>
      </c>
      <c r="I3642" s="649">
        <v>30</v>
      </c>
      <c r="J3642" s="673"/>
      <c r="K3642" s="674"/>
      <c r="R3642" s="544"/>
      <c r="S3642" s="544"/>
      <c r="T3642" s="544"/>
      <c r="U3642" s="347" t="s">
        <v>5185</v>
      </c>
    </row>
    <row r="3643" spans="1:21" x14ac:dyDescent="0.25">
      <c r="A3643" t="s">
        <v>3317</v>
      </c>
      <c r="B3643" s="50" t="s">
        <v>2640</v>
      </c>
      <c r="C3643" s="51"/>
      <c r="D3643" s="337">
        <v>610000004191</v>
      </c>
      <c r="E3643" s="338" t="s">
        <v>5189</v>
      </c>
      <c r="F3643" s="338" t="s">
        <v>5187</v>
      </c>
      <c r="G3643" s="651" t="s">
        <v>1161</v>
      </c>
      <c r="H3643" s="651" t="s">
        <v>4042</v>
      </c>
      <c r="I3643" s="652">
        <v>30</v>
      </c>
      <c r="J3643" s="673"/>
      <c r="K3643" s="674"/>
      <c r="R3643" s="544"/>
      <c r="S3643" s="544"/>
      <c r="T3643" s="544"/>
      <c r="U3643" s="350" t="s">
        <v>5190</v>
      </c>
    </row>
    <row r="3644" spans="1:21" x14ac:dyDescent="0.25">
      <c r="A3644" t="s">
        <v>3317</v>
      </c>
      <c r="B3644" s="50" t="s">
        <v>2640</v>
      </c>
      <c r="C3644" s="51"/>
      <c r="D3644" s="340">
        <v>610000004192</v>
      </c>
      <c r="E3644" s="341" t="s">
        <v>5191</v>
      </c>
      <c r="F3644" s="341" t="s">
        <v>5192</v>
      </c>
      <c r="G3644" s="380" t="s">
        <v>1161</v>
      </c>
      <c r="H3644" s="380" t="s">
        <v>4048</v>
      </c>
      <c r="I3644" s="654">
        <v>30</v>
      </c>
      <c r="J3644" s="673"/>
      <c r="K3644" s="674"/>
      <c r="R3644" s="544"/>
      <c r="S3644" s="544"/>
      <c r="T3644" s="544"/>
      <c r="U3644" s="344" t="s">
        <v>5185</v>
      </c>
    </row>
    <row r="3645" spans="1:21" x14ac:dyDescent="0.25">
      <c r="A3645" t="s">
        <v>3317</v>
      </c>
      <c r="B3645" s="50" t="s">
        <v>2640</v>
      </c>
      <c r="C3645" s="51"/>
      <c r="D3645" s="326">
        <v>610000004192</v>
      </c>
      <c r="E3645" s="327" t="s">
        <v>5193</v>
      </c>
      <c r="F3645" s="327" t="s">
        <v>5192</v>
      </c>
      <c r="G3645" s="381" t="s">
        <v>1164</v>
      </c>
      <c r="H3645" s="381" t="s">
        <v>4049</v>
      </c>
      <c r="I3645" s="649">
        <v>30</v>
      </c>
      <c r="J3645" s="673"/>
      <c r="K3645" s="674"/>
      <c r="R3645" s="544"/>
      <c r="S3645" s="544"/>
      <c r="T3645" s="544"/>
      <c r="U3645" s="347" t="s">
        <v>5185</v>
      </c>
    </row>
    <row r="3646" spans="1:21" x14ac:dyDescent="0.25">
      <c r="A3646" t="s">
        <v>3317</v>
      </c>
      <c r="B3646" s="50" t="s">
        <v>2640</v>
      </c>
      <c r="C3646" s="51"/>
      <c r="D3646" s="337">
        <v>610000004192</v>
      </c>
      <c r="E3646" s="338" t="s">
        <v>5194</v>
      </c>
      <c r="F3646" s="338" t="s">
        <v>5192</v>
      </c>
      <c r="G3646" s="651" t="s">
        <v>1167</v>
      </c>
      <c r="H3646" s="651" t="s">
        <v>4051</v>
      </c>
      <c r="I3646" s="652">
        <v>30</v>
      </c>
      <c r="J3646" s="673"/>
      <c r="K3646" s="674"/>
      <c r="R3646" s="544"/>
      <c r="S3646" s="544"/>
      <c r="T3646" s="544"/>
      <c r="U3646" s="350" t="s">
        <v>5185</v>
      </c>
    </row>
    <row r="3647" spans="1:21" x14ac:dyDescent="0.25">
      <c r="A3647" t="s">
        <v>3317</v>
      </c>
      <c r="B3647" s="50" t="s">
        <v>2640</v>
      </c>
      <c r="C3647" s="51"/>
      <c r="D3647" s="448">
        <v>610000004193</v>
      </c>
      <c r="E3647" s="383" t="s">
        <v>5195</v>
      </c>
      <c r="F3647" s="383" t="s">
        <v>5196</v>
      </c>
      <c r="G3647" s="663" t="s">
        <v>1161</v>
      </c>
      <c r="H3647" s="663" t="s">
        <v>5197</v>
      </c>
      <c r="I3647" s="664">
        <v>90</v>
      </c>
      <c r="J3647" s="673"/>
      <c r="K3647" s="674"/>
      <c r="R3647" s="544"/>
      <c r="S3647" s="544"/>
      <c r="T3647" s="544"/>
      <c r="U3647" s="434" t="s">
        <v>5198</v>
      </c>
    </row>
    <row r="3648" spans="1:21" x14ac:dyDescent="0.25">
      <c r="A3648" t="s">
        <v>3317</v>
      </c>
      <c r="B3648" s="50" t="s">
        <v>2640</v>
      </c>
      <c r="C3648" s="51"/>
      <c r="D3648" s="340">
        <v>610000004194</v>
      </c>
      <c r="E3648" s="341" t="s">
        <v>5199</v>
      </c>
      <c r="F3648" s="341" t="s">
        <v>5200</v>
      </c>
      <c r="G3648" s="380" t="s">
        <v>1175</v>
      </c>
      <c r="H3648" s="380" t="s">
        <v>4067</v>
      </c>
      <c r="I3648" s="654">
        <v>180</v>
      </c>
      <c r="J3648" s="673"/>
      <c r="K3648" s="674"/>
      <c r="R3648" s="544" t="s">
        <v>3254</v>
      </c>
      <c r="S3648" s="544" t="s">
        <v>3984</v>
      </c>
      <c r="T3648" s="544"/>
      <c r="U3648" s="344" t="s">
        <v>5201</v>
      </c>
    </row>
    <row r="3649" spans="1:21" ht="15.75" thickBot="1" x14ac:dyDescent="0.3">
      <c r="A3649" t="s">
        <v>3317</v>
      </c>
      <c r="B3649" s="50" t="s">
        <v>2640</v>
      </c>
      <c r="C3649" s="214"/>
      <c r="D3649" s="366">
        <v>610000004194</v>
      </c>
      <c r="E3649" s="367" t="s">
        <v>5202</v>
      </c>
      <c r="F3649" s="367" t="s">
        <v>5200</v>
      </c>
      <c r="G3649" s="662" t="s">
        <v>5177</v>
      </c>
      <c r="H3649" s="662" t="s">
        <v>4069</v>
      </c>
      <c r="I3649" s="552">
        <v>180</v>
      </c>
      <c r="J3649" s="673"/>
      <c r="K3649" s="674"/>
      <c r="R3649" s="544" t="s">
        <v>3254</v>
      </c>
      <c r="S3649" s="544" t="s">
        <v>3872</v>
      </c>
      <c r="T3649" s="544"/>
      <c r="U3649" s="467" t="s">
        <v>5201</v>
      </c>
    </row>
    <row r="3650" spans="1:21" x14ac:dyDescent="0.25">
      <c r="A3650" t="s">
        <v>3317</v>
      </c>
      <c r="B3650" s="50" t="s">
        <v>2728</v>
      </c>
      <c r="C3650" s="51"/>
      <c r="D3650" s="529">
        <v>610000004195</v>
      </c>
      <c r="E3650" s="530" t="s">
        <v>5203</v>
      </c>
      <c r="F3650" s="530" t="s">
        <v>5204</v>
      </c>
      <c r="G3650" s="677" t="s">
        <v>419</v>
      </c>
      <c r="H3650" s="677" t="s">
        <v>5205</v>
      </c>
      <c r="I3650" s="666">
        <v>15</v>
      </c>
      <c r="J3650" s="673"/>
      <c r="K3650" s="674"/>
      <c r="R3650" s="544" t="s">
        <v>3750</v>
      </c>
      <c r="S3650" s="544"/>
      <c r="T3650" s="544"/>
      <c r="U3650" s="557" t="s">
        <v>5206</v>
      </c>
    </row>
    <row r="3651" spans="1:21" x14ac:dyDescent="0.25">
      <c r="A3651" t="s">
        <v>3317</v>
      </c>
      <c r="B3651" s="50" t="s">
        <v>2728</v>
      </c>
      <c r="C3651" s="51"/>
      <c r="D3651" s="337">
        <v>610000004195</v>
      </c>
      <c r="E3651" s="338" t="s">
        <v>5207</v>
      </c>
      <c r="F3651" s="338" t="s">
        <v>5204</v>
      </c>
      <c r="G3651" s="651" t="s">
        <v>5208</v>
      </c>
      <c r="H3651" s="651" t="s">
        <v>5209</v>
      </c>
      <c r="I3651" s="652">
        <v>15</v>
      </c>
      <c r="J3651" s="673"/>
      <c r="K3651" s="674"/>
      <c r="R3651" s="544" t="s">
        <v>3750</v>
      </c>
      <c r="S3651" s="544"/>
      <c r="T3651" s="544"/>
      <c r="U3651" s="350" t="s">
        <v>5210</v>
      </c>
    </row>
    <row r="3652" spans="1:21" x14ac:dyDescent="0.25">
      <c r="A3652" t="s">
        <v>3317</v>
      </c>
      <c r="B3652" s="50" t="s">
        <v>2728</v>
      </c>
      <c r="C3652" s="51"/>
      <c r="D3652" s="340">
        <v>610000004196</v>
      </c>
      <c r="E3652" s="341" t="s">
        <v>5211</v>
      </c>
      <c r="F3652" s="341" t="s">
        <v>5212</v>
      </c>
      <c r="G3652" s="380" t="s">
        <v>5208</v>
      </c>
      <c r="H3652" s="380" t="s">
        <v>3753</v>
      </c>
      <c r="I3652" s="654">
        <v>30</v>
      </c>
      <c r="J3652" s="673"/>
      <c r="K3652" s="674"/>
      <c r="R3652" s="544"/>
      <c r="S3652" s="544"/>
      <c r="T3652" s="544"/>
      <c r="U3652" s="344" t="s">
        <v>5213</v>
      </c>
    </row>
    <row r="3653" spans="1:21" x14ac:dyDescent="0.25">
      <c r="A3653" t="s">
        <v>3317</v>
      </c>
      <c r="B3653" s="50" t="s">
        <v>2728</v>
      </c>
      <c r="C3653" s="51"/>
      <c r="D3653" s="326">
        <v>610000004196</v>
      </c>
      <c r="E3653" s="327" t="s">
        <v>5214</v>
      </c>
      <c r="F3653" s="327" t="s">
        <v>5212</v>
      </c>
      <c r="G3653" s="381" t="s">
        <v>5208</v>
      </c>
      <c r="H3653" s="381" t="s">
        <v>3754</v>
      </c>
      <c r="I3653" s="649">
        <v>30</v>
      </c>
      <c r="J3653" s="673"/>
      <c r="K3653" s="674"/>
      <c r="R3653" s="544"/>
      <c r="S3653" s="544"/>
      <c r="T3653" s="544"/>
      <c r="U3653" s="347" t="s">
        <v>5213</v>
      </c>
    </row>
    <row r="3654" spans="1:21" x14ac:dyDescent="0.25">
      <c r="A3654" t="s">
        <v>3317</v>
      </c>
      <c r="B3654" s="50" t="s">
        <v>2728</v>
      </c>
      <c r="C3654" s="51"/>
      <c r="D3654" s="326">
        <v>610000004196</v>
      </c>
      <c r="E3654" s="327" t="s">
        <v>5215</v>
      </c>
      <c r="F3654" s="327" t="s">
        <v>5212</v>
      </c>
      <c r="G3654" s="381" t="s">
        <v>419</v>
      </c>
      <c r="H3654" s="381" t="s">
        <v>3755</v>
      </c>
      <c r="I3654" s="649">
        <v>30</v>
      </c>
      <c r="J3654" s="673"/>
      <c r="K3654" s="674"/>
      <c r="R3654" s="544"/>
      <c r="S3654" s="544" t="s">
        <v>5216</v>
      </c>
      <c r="T3654" s="544"/>
      <c r="U3654" s="347" t="s">
        <v>5213</v>
      </c>
    </row>
    <row r="3655" spans="1:21" x14ac:dyDescent="0.25">
      <c r="A3655" t="s">
        <v>3317</v>
      </c>
      <c r="B3655" s="50" t="s">
        <v>2728</v>
      </c>
      <c r="C3655" s="51"/>
      <c r="D3655" s="372">
        <v>610000004196</v>
      </c>
      <c r="E3655" s="333" t="s">
        <v>5217</v>
      </c>
      <c r="F3655" s="333" t="s">
        <v>5212</v>
      </c>
      <c r="G3655" s="678" t="s">
        <v>2731</v>
      </c>
      <c r="H3655" s="678" t="s">
        <v>3756</v>
      </c>
      <c r="I3655" s="679">
        <v>30</v>
      </c>
      <c r="J3655" s="673"/>
      <c r="K3655" s="674"/>
      <c r="R3655" s="544"/>
      <c r="S3655" s="544"/>
      <c r="T3655" s="544"/>
      <c r="U3655" s="493" t="s">
        <v>5213</v>
      </c>
    </row>
    <row r="3656" spans="1:21" x14ac:dyDescent="0.25">
      <c r="A3656" t="s">
        <v>3317</v>
      </c>
      <c r="B3656" s="50" t="s">
        <v>2728</v>
      </c>
      <c r="C3656" s="51"/>
      <c r="D3656" s="334">
        <v>610000004197</v>
      </c>
      <c r="E3656" s="335" t="s">
        <v>5218</v>
      </c>
      <c r="F3656" s="335" t="s">
        <v>5219</v>
      </c>
      <c r="G3656" s="646" t="s">
        <v>419</v>
      </c>
      <c r="H3656" s="646" t="s">
        <v>4088</v>
      </c>
      <c r="I3656" s="647">
        <v>30</v>
      </c>
      <c r="J3656" s="673"/>
      <c r="K3656" s="674"/>
      <c r="R3656" s="544" t="s">
        <v>5220</v>
      </c>
      <c r="S3656" s="544"/>
      <c r="T3656" s="544"/>
      <c r="U3656" s="421" t="s">
        <v>5213</v>
      </c>
    </row>
    <row r="3657" spans="1:21" x14ac:dyDescent="0.25">
      <c r="A3657" t="s">
        <v>3317</v>
      </c>
      <c r="B3657" s="50" t="s">
        <v>2728</v>
      </c>
      <c r="C3657" s="51"/>
      <c r="D3657" s="337">
        <v>610000004197</v>
      </c>
      <c r="E3657" s="338" t="s">
        <v>5221</v>
      </c>
      <c r="F3657" s="338" t="s">
        <v>5219</v>
      </c>
      <c r="G3657" s="651" t="s">
        <v>1215</v>
      </c>
      <c r="H3657" s="651" t="s">
        <v>5222</v>
      </c>
      <c r="I3657" s="652">
        <v>30</v>
      </c>
      <c r="J3657" s="673"/>
      <c r="K3657" s="674"/>
      <c r="R3657" s="544" t="s">
        <v>5220</v>
      </c>
      <c r="S3657" s="544"/>
      <c r="T3657" s="544"/>
      <c r="U3657" s="350" t="s">
        <v>5213</v>
      </c>
    </row>
    <row r="3658" spans="1:21" x14ac:dyDescent="0.25">
      <c r="A3658" t="s">
        <v>3317</v>
      </c>
      <c r="B3658" s="50" t="s">
        <v>2728</v>
      </c>
      <c r="C3658" s="51"/>
      <c r="D3658" s="340">
        <v>610000004198</v>
      </c>
      <c r="E3658" s="341" t="s">
        <v>5223</v>
      </c>
      <c r="F3658" s="341" t="s">
        <v>5224</v>
      </c>
      <c r="G3658" s="380" t="s">
        <v>419</v>
      </c>
      <c r="H3658" s="380" t="s">
        <v>3396</v>
      </c>
      <c r="I3658" s="654">
        <v>30</v>
      </c>
      <c r="J3658" s="673"/>
      <c r="K3658" s="674"/>
      <c r="R3658" s="544"/>
      <c r="S3658" s="544"/>
      <c r="T3658" s="544"/>
      <c r="U3658" s="344" t="s">
        <v>5213</v>
      </c>
    </row>
    <row r="3659" spans="1:21" x14ac:dyDescent="0.25">
      <c r="A3659" t="s">
        <v>3317</v>
      </c>
      <c r="B3659" s="50" t="s">
        <v>2728</v>
      </c>
      <c r="C3659" s="51"/>
      <c r="D3659" s="337">
        <v>610000004198</v>
      </c>
      <c r="E3659" s="338" t="s">
        <v>5225</v>
      </c>
      <c r="F3659" s="338" t="s">
        <v>5224</v>
      </c>
      <c r="G3659" s="651" t="s">
        <v>1215</v>
      </c>
      <c r="H3659" s="651" t="s">
        <v>4093</v>
      </c>
      <c r="I3659" s="652">
        <v>30</v>
      </c>
      <c r="J3659" s="673"/>
      <c r="K3659" s="674"/>
      <c r="R3659" s="544"/>
      <c r="S3659" s="544"/>
      <c r="T3659" s="544"/>
      <c r="U3659" s="350" t="s">
        <v>5213</v>
      </c>
    </row>
    <row r="3660" spans="1:21" x14ac:dyDescent="0.25">
      <c r="A3660" t="s">
        <v>3317</v>
      </c>
      <c r="B3660" s="50" t="s">
        <v>2728</v>
      </c>
      <c r="C3660" s="51"/>
      <c r="D3660" s="369">
        <v>610000004199</v>
      </c>
      <c r="E3660" s="370" t="s">
        <v>5226</v>
      </c>
      <c r="F3660" s="370" t="s">
        <v>5227</v>
      </c>
      <c r="G3660" s="672" t="s">
        <v>419</v>
      </c>
      <c r="H3660" s="672" t="s">
        <v>4103</v>
      </c>
      <c r="I3660" s="376">
        <v>90</v>
      </c>
      <c r="J3660" s="673"/>
      <c r="K3660" s="674"/>
      <c r="R3660" s="544"/>
      <c r="S3660" s="544"/>
      <c r="T3660" s="544"/>
      <c r="U3660" s="353" t="s">
        <v>5228</v>
      </c>
    </row>
    <row r="3661" spans="1:21" x14ac:dyDescent="0.25">
      <c r="A3661" t="s">
        <v>3317</v>
      </c>
      <c r="B3661" s="50" t="s">
        <v>2728</v>
      </c>
      <c r="C3661" s="51"/>
      <c r="D3661" s="340">
        <v>610000004200</v>
      </c>
      <c r="E3661" s="341" t="s">
        <v>5229</v>
      </c>
      <c r="F3661" s="341" t="s">
        <v>5230</v>
      </c>
      <c r="G3661" s="380" t="s">
        <v>419</v>
      </c>
      <c r="H3661" s="380" t="s">
        <v>4112</v>
      </c>
      <c r="I3661" s="654">
        <v>180</v>
      </c>
      <c r="J3661" s="673"/>
      <c r="K3661" s="674"/>
      <c r="R3661" s="544" t="s">
        <v>3401</v>
      </c>
      <c r="S3661" s="544" t="s">
        <v>5216</v>
      </c>
      <c r="T3661" s="544"/>
      <c r="U3661" s="344" t="s">
        <v>5231</v>
      </c>
    </row>
    <row r="3662" spans="1:21" ht="15.75" thickBot="1" x14ac:dyDescent="0.3">
      <c r="A3662" t="s">
        <v>3317</v>
      </c>
      <c r="B3662" s="50" t="s">
        <v>2728</v>
      </c>
      <c r="C3662" s="214"/>
      <c r="D3662" s="366">
        <v>610000004200</v>
      </c>
      <c r="E3662" s="367" t="s">
        <v>5232</v>
      </c>
      <c r="F3662" s="367" t="s">
        <v>5230</v>
      </c>
      <c r="G3662" s="662" t="s">
        <v>5208</v>
      </c>
      <c r="H3662" s="662" t="s">
        <v>4111</v>
      </c>
      <c r="I3662" s="552">
        <v>180</v>
      </c>
      <c r="J3662" s="673"/>
      <c r="K3662" s="674"/>
      <c r="R3662" s="544" t="s">
        <v>3254</v>
      </c>
      <c r="S3662" s="544"/>
      <c r="T3662" s="544"/>
      <c r="U3662" s="467" t="s">
        <v>5231</v>
      </c>
    </row>
    <row r="3663" spans="1:21" x14ac:dyDescent="0.25">
      <c r="A3663" t="s">
        <v>3317</v>
      </c>
      <c r="B3663" s="50" t="s">
        <v>2830</v>
      </c>
      <c r="C3663" s="51"/>
      <c r="D3663" s="329">
        <v>610000004201</v>
      </c>
      <c r="E3663" s="330" t="s">
        <v>5233</v>
      </c>
      <c r="F3663" s="330" t="s">
        <v>5234</v>
      </c>
      <c r="G3663" s="656" t="s">
        <v>393</v>
      </c>
      <c r="H3663" s="656" t="s">
        <v>5235</v>
      </c>
      <c r="I3663" s="657">
        <v>15</v>
      </c>
      <c r="J3663" s="673"/>
      <c r="K3663" s="674"/>
      <c r="R3663" s="544" t="s">
        <v>5236</v>
      </c>
      <c r="S3663" s="544" t="s">
        <v>5237</v>
      </c>
      <c r="T3663" s="544"/>
      <c r="U3663" s="361" t="s">
        <v>5238</v>
      </c>
    </row>
    <row r="3664" spans="1:21" x14ac:dyDescent="0.25">
      <c r="A3664" t="s">
        <v>3317</v>
      </c>
      <c r="B3664" s="50" t="s">
        <v>2830</v>
      </c>
      <c r="C3664" s="51"/>
      <c r="D3664" s="334">
        <v>610000004202</v>
      </c>
      <c r="E3664" s="335" t="s">
        <v>5239</v>
      </c>
      <c r="F3664" s="335" t="s">
        <v>5240</v>
      </c>
      <c r="G3664" s="646" t="s">
        <v>393</v>
      </c>
      <c r="H3664" s="646" t="s">
        <v>5049</v>
      </c>
      <c r="I3664" s="647">
        <v>15</v>
      </c>
      <c r="J3664" s="673"/>
      <c r="K3664" s="674"/>
      <c r="R3664" s="544" t="s">
        <v>5220</v>
      </c>
      <c r="S3664" s="544"/>
      <c r="T3664" s="544"/>
      <c r="U3664" s="421" t="s">
        <v>5238</v>
      </c>
    </row>
    <row r="3665" spans="1:21" x14ac:dyDescent="0.25">
      <c r="A3665" t="s">
        <v>3317</v>
      </c>
      <c r="B3665" s="50" t="s">
        <v>2830</v>
      </c>
      <c r="C3665" s="51"/>
      <c r="D3665" s="326">
        <v>610000004202</v>
      </c>
      <c r="E3665" s="327" t="s">
        <v>5241</v>
      </c>
      <c r="F3665" s="327" t="s">
        <v>5240</v>
      </c>
      <c r="G3665" s="381" t="s">
        <v>2837</v>
      </c>
      <c r="H3665" s="381" t="s">
        <v>5242</v>
      </c>
      <c r="I3665" s="649">
        <v>15</v>
      </c>
      <c r="J3665" s="673"/>
      <c r="K3665" s="674"/>
      <c r="R3665" s="544" t="s">
        <v>3750</v>
      </c>
      <c r="S3665" s="544"/>
      <c r="T3665" s="544"/>
      <c r="U3665" s="347" t="s">
        <v>5243</v>
      </c>
    </row>
    <row r="3666" spans="1:21" x14ac:dyDescent="0.25">
      <c r="A3666" t="s">
        <v>3317</v>
      </c>
      <c r="B3666" s="50" t="s">
        <v>2830</v>
      </c>
      <c r="C3666" s="51"/>
      <c r="D3666" s="326">
        <v>610000004202</v>
      </c>
      <c r="E3666" s="327" t="s">
        <v>5244</v>
      </c>
      <c r="F3666" s="327" t="s">
        <v>5240</v>
      </c>
      <c r="G3666" s="381" t="s">
        <v>2837</v>
      </c>
      <c r="H3666" s="381" t="s">
        <v>5245</v>
      </c>
      <c r="I3666" s="649">
        <v>15</v>
      </c>
      <c r="J3666" s="673"/>
      <c r="K3666" s="674"/>
      <c r="R3666" s="544" t="s">
        <v>3750</v>
      </c>
      <c r="S3666" s="544"/>
      <c r="T3666" s="544"/>
      <c r="U3666" s="347" t="s">
        <v>5243</v>
      </c>
    </row>
    <row r="3667" spans="1:21" x14ac:dyDescent="0.25">
      <c r="A3667" t="s">
        <v>3317</v>
      </c>
      <c r="B3667" s="50" t="s">
        <v>2830</v>
      </c>
      <c r="C3667" s="51"/>
      <c r="D3667" s="326">
        <v>610000004202</v>
      </c>
      <c r="E3667" s="327" t="s">
        <v>5246</v>
      </c>
      <c r="F3667" s="327" t="s">
        <v>5240</v>
      </c>
      <c r="G3667" s="381" t="s">
        <v>389</v>
      </c>
      <c r="H3667" s="381" t="s">
        <v>4129</v>
      </c>
      <c r="I3667" s="649">
        <v>15</v>
      </c>
      <c r="J3667" s="673"/>
      <c r="K3667" s="674"/>
      <c r="R3667" s="544" t="s">
        <v>3750</v>
      </c>
      <c r="S3667" s="544"/>
      <c r="T3667" s="544"/>
      <c r="U3667" s="347" t="s">
        <v>5243</v>
      </c>
    </row>
    <row r="3668" spans="1:21" x14ac:dyDescent="0.25">
      <c r="A3668" t="s">
        <v>3317</v>
      </c>
      <c r="B3668" s="50" t="s">
        <v>2830</v>
      </c>
      <c r="C3668" s="51"/>
      <c r="D3668" s="337">
        <v>610000004202</v>
      </c>
      <c r="E3668" s="338" t="s">
        <v>5247</v>
      </c>
      <c r="F3668" s="338" t="s">
        <v>5240</v>
      </c>
      <c r="G3668" s="651" t="s">
        <v>1293</v>
      </c>
      <c r="H3668" s="651" t="s">
        <v>4130</v>
      </c>
      <c r="I3668" s="652">
        <v>15</v>
      </c>
      <c r="J3668" s="673"/>
      <c r="K3668" s="674"/>
      <c r="R3668" s="544" t="s">
        <v>3750</v>
      </c>
      <c r="S3668" s="544"/>
      <c r="T3668" s="544"/>
      <c r="U3668" s="350" t="s">
        <v>5243</v>
      </c>
    </row>
    <row r="3669" spans="1:21" x14ac:dyDescent="0.25">
      <c r="A3669" t="s">
        <v>3317</v>
      </c>
      <c r="B3669" s="50" t="s">
        <v>2830</v>
      </c>
      <c r="C3669" s="51"/>
      <c r="D3669" s="369">
        <v>610000004203</v>
      </c>
      <c r="E3669" s="370" t="s">
        <v>5248</v>
      </c>
      <c r="F3669" s="370" t="s">
        <v>5249</v>
      </c>
      <c r="G3669" s="672" t="s">
        <v>2834</v>
      </c>
      <c r="H3669" s="672" t="s">
        <v>5250</v>
      </c>
      <c r="I3669" s="376">
        <v>30</v>
      </c>
      <c r="J3669" s="673"/>
      <c r="K3669" s="674"/>
      <c r="R3669" s="544" t="s">
        <v>3869</v>
      </c>
      <c r="S3669" s="544"/>
      <c r="T3669" s="544"/>
      <c r="U3669" s="353" t="s">
        <v>5251</v>
      </c>
    </row>
    <row r="3670" spans="1:21" x14ac:dyDescent="0.25">
      <c r="A3670" t="s">
        <v>3317</v>
      </c>
      <c r="B3670" s="50" t="s">
        <v>2830</v>
      </c>
      <c r="C3670" s="51"/>
      <c r="D3670" s="340">
        <v>610000004204</v>
      </c>
      <c r="E3670" s="341" t="s">
        <v>5252</v>
      </c>
      <c r="F3670" s="341" t="s">
        <v>5253</v>
      </c>
      <c r="G3670" s="380" t="s">
        <v>2840</v>
      </c>
      <c r="H3670" s="380" t="s">
        <v>3382</v>
      </c>
      <c r="I3670" s="654">
        <v>180</v>
      </c>
      <c r="J3670" s="673"/>
      <c r="K3670" s="674"/>
      <c r="R3670" s="544" t="s">
        <v>4141</v>
      </c>
      <c r="S3670" s="544" t="s">
        <v>5254</v>
      </c>
      <c r="T3670" s="544"/>
      <c r="U3670" s="344" t="s">
        <v>5255</v>
      </c>
    </row>
    <row r="3671" spans="1:21" x14ac:dyDescent="0.25">
      <c r="A3671" t="s">
        <v>3317</v>
      </c>
      <c r="B3671" s="50" t="s">
        <v>2830</v>
      </c>
      <c r="C3671" s="51"/>
      <c r="D3671" s="326">
        <v>610000004204</v>
      </c>
      <c r="E3671" s="327" t="s">
        <v>5256</v>
      </c>
      <c r="F3671" s="327" t="s">
        <v>5253</v>
      </c>
      <c r="G3671" s="381" t="s">
        <v>2837</v>
      </c>
      <c r="H3671" s="381" t="s">
        <v>4143</v>
      </c>
      <c r="I3671" s="649">
        <v>180</v>
      </c>
      <c r="J3671" s="673"/>
      <c r="K3671" s="674"/>
      <c r="R3671" s="544" t="s">
        <v>4141</v>
      </c>
      <c r="S3671" s="544" t="s">
        <v>5254</v>
      </c>
      <c r="T3671" s="544"/>
      <c r="U3671" s="347" t="s">
        <v>5255</v>
      </c>
    </row>
    <row r="3672" spans="1:21" x14ac:dyDescent="0.25">
      <c r="A3672" t="s">
        <v>3317</v>
      </c>
      <c r="B3672" s="50" t="s">
        <v>2830</v>
      </c>
      <c r="C3672" s="51"/>
      <c r="D3672" s="337">
        <v>610000004204</v>
      </c>
      <c r="E3672" s="338" t="s">
        <v>5257</v>
      </c>
      <c r="F3672" s="338" t="s">
        <v>5253</v>
      </c>
      <c r="G3672" s="651" t="s">
        <v>389</v>
      </c>
      <c r="H3672" s="651" t="s">
        <v>5258</v>
      </c>
      <c r="I3672" s="652">
        <v>180</v>
      </c>
      <c r="J3672" s="673"/>
      <c r="K3672" s="674"/>
      <c r="R3672" s="544" t="s">
        <v>3254</v>
      </c>
      <c r="S3672" s="544" t="s">
        <v>3984</v>
      </c>
      <c r="T3672" s="544"/>
      <c r="U3672" s="350" t="s">
        <v>5255</v>
      </c>
    </row>
    <row r="3673" spans="1:21" x14ac:dyDescent="0.25">
      <c r="A3673" t="s">
        <v>3317</v>
      </c>
      <c r="B3673" s="50" t="s">
        <v>2830</v>
      </c>
      <c r="C3673" s="51"/>
      <c r="D3673" s="423">
        <v>610000004205</v>
      </c>
      <c r="E3673" s="434" t="s">
        <v>5259</v>
      </c>
      <c r="F3673" s="434" t="s">
        <v>5260</v>
      </c>
      <c r="G3673" s="433" t="s">
        <v>393</v>
      </c>
      <c r="H3673" s="433" t="s">
        <v>5059</v>
      </c>
      <c r="I3673" s="434">
        <v>180</v>
      </c>
      <c r="J3673" s="676"/>
      <c r="K3673" s="674"/>
      <c r="R3673" s="544" t="s">
        <v>5261</v>
      </c>
      <c r="S3673" s="544" t="s">
        <v>3186</v>
      </c>
      <c r="T3673" s="544"/>
      <c r="U3673" s="434" t="s">
        <v>5262</v>
      </c>
    </row>
    <row r="3674" spans="1:21" x14ac:dyDescent="0.25">
      <c r="A3674" t="s">
        <v>3317</v>
      </c>
      <c r="B3674" s="50" t="s">
        <v>2830</v>
      </c>
      <c r="C3674" s="51"/>
      <c r="D3674" s="340">
        <v>610000004206</v>
      </c>
      <c r="E3674" s="341" t="s">
        <v>5263</v>
      </c>
      <c r="F3674" s="341" t="s">
        <v>5264</v>
      </c>
      <c r="G3674" s="380" t="s">
        <v>2837</v>
      </c>
      <c r="H3674" s="380" t="s">
        <v>4148</v>
      </c>
      <c r="I3674" s="654">
        <v>365</v>
      </c>
      <c r="J3674" s="673"/>
      <c r="K3674" s="674"/>
      <c r="R3674" s="544" t="s">
        <v>4149</v>
      </c>
      <c r="S3674" s="544" t="s">
        <v>4153</v>
      </c>
      <c r="T3674" s="544"/>
      <c r="U3674" s="344" t="s">
        <v>5265</v>
      </c>
    </row>
    <row r="3675" spans="1:21" x14ac:dyDescent="0.25">
      <c r="A3675" t="s">
        <v>3317</v>
      </c>
      <c r="B3675" s="50" t="s">
        <v>2830</v>
      </c>
      <c r="C3675" s="51"/>
      <c r="D3675" s="326">
        <v>610000004206</v>
      </c>
      <c r="E3675" s="327" t="s">
        <v>5266</v>
      </c>
      <c r="F3675" s="327" t="s">
        <v>5264</v>
      </c>
      <c r="G3675" s="381" t="s">
        <v>2837</v>
      </c>
      <c r="H3675" s="381" t="s">
        <v>4151</v>
      </c>
      <c r="I3675" s="649">
        <v>365</v>
      </c>
      <c r="J3675" s="673"/>
      <c r="K3675" s="674"/>
      <c r="R3675" s="544" t="s">
        <v>4152</v>
      </c>
      <c r="S3675" s="544" t="s">
        <v>5267</v>
      </c>
      <c r="T3675" s="544"/>
      <c r="U3675" s="347" t="s">
        <v>5265</v>
      </c>
    </row>
    <row r="3676" spans="1:21" x14ac:dyDescent="0.25">
      <c r="A3676" t="s">
        <v>3317</v>
      </c>
      <c r="B3676" s="50" t="s">
        <v>2830</v>
      </c>
      <c r="C3676" s="51"/>
      <c r="D3676" s="326">
        <v>610000004206</v>
      </c>
      <c r="E3676" s="327" t="s">
        <v>5268</v>
      </c>
      <c r="F3676" s="327" t="s">
        <v>5264</v>
      </c>
      <c r="G3676" s="381" t="s">
        <v>2840</v>
      </c>
      <c r="H3676" s="381" t="s">
        <v>4154</v>
      </c>
      <c r="I3676" s="649">
        <v>365</v>
      </c>
      <c r="J3676" s="673"/>
      <c r="K3676" s="674"/>
      <c r="R3676" s="544" t="s">
        <v>4149</v>
      </c>
      <c r="S3676" s="544" t="s">
        <v>4155</v>
      </c>
      <c r="T3676" s="544"/>
      <c r="U3676" s="347" t="s">
        <v>5265</v>
      </c>
    </row>
    <row r="3677" spans="1:21" x14ac:dyDescent="0.25">
      <c r="A3677" t="s">
        <v>3317</v>
      </c>
      <c r="B3677" s="50" t="s">
        <v>2830</v>
      </c>
      <c r="C3677" s="51"/>
      <c r="D3677" s="326">
        <v>610000004206</v>
      </c>
      <c r="E3677" s="327" t="s">
        <v>5269</v>
      </c>
      <c r="F3677" s="327" t="s">
        <v>5264</v>
      </c>
      <c r="G3677" s="381" t="s">
        <v>2840</v>
      </c>
      <c r="H3677" s="381" t="s">
        <v>4156</v>
      </c>
      <c r="I3677" s="649">
        <v>365</v>
      </c>
      <c r="J3677" s="673"/>
      <c r="K3677" s="674"/>
      <c r="R3677" s="544"/>
      <c r="S3677" s="544"/>
      <c r="T3677" s="544"/>
      <c r="U3677" s="347" t="s">
        <v>5265</v>
      </c>
    </row>
    <row r="3678" spans="1:21" x14ac:dyDescent="0.25">
      <c r="A3678" t="s">
        <v>3317</v>
      </c>
      <c r="B3678" s="50" t="s">
        <v>2830</v>
      </c>
      <c r="C3678" s="51"/>
      <c r="D3678" s="326">
        <v>610000004206</v>
      </c>
      <c r="E3678" s="327" t="s">
        <v>5270</v>
      </c>
      <c r="F3678" s="327" t="s">
        <v>5264</v>
      </c>
      <c r="G3678" s="381" t="s">
        <v>2837</v>
      </c>
      <c r="H3678" s="381" t="s">
        <v>4158</v>
      </c>
      <c r="I3678" s="649">
        <v>365</v>
      </c>
      <c r="J3678" s="673"/>
      <c r="K3678" s="674"/>
      <c r="R3678" s="544"/>
      <c r="S3678" s="544"/>
      <c r="T3678" s="544"/>
      <c r="U3678" s="347" t="s">
        <v>5265</v>
      </c>
    </row>
    <row r="3679" spans="1:21" ht="15.75" thickBot="1" x14ac:dyDescent="0.3">
      <c r="A3679" t="s">
        <v>3317</v>
      </c>
      <c r="B3679" s="50" t="s">
        <v>2830</v>
      </c>
      <c r="C3679" s="214"/>
      <c r="D3679" s="366">
        <v>610000004206</v>
      </c>
      <c r="E3679" s="367" t="s">
        <v>5271</v>
      </c>
      <c r="F3679" s="367" t="s">
        <v>5264</v>
      </c>
      <c r="G3679" s="662" t="s">
        <v>389</v>
      </c>
      <c r="H3679" s="662" t="s">
        <v>4161</v>
      </c>
      <c r="I3679" s="552">
        <v>365</v>
      </c>
      <c r="J3679" s="673"/>
      <c r="K3679" s="674"/>
      <c r="R3679" s="544" t="s">
        <v>4062</v>
      </c>
      <c r="S3679" s="544" t="s">
        <v>4155</v>
      </c>
      <c r="T3679" s="544"/>
      <c r="U3679" s="467" t="s">
        <v>5265</v>
      </c>
    </row>
    <row r="3680" spans="1:21" x14ac:dyDescent="0.25">
      <c r="A3680" t="s">
        <v>3317</v>
      </c>
      <c r="B3680" s="50" t="s">
        <v>2910</v>
      </c>
      <c r="C3680" s="51"/>
      <c r="D3680" s="340">
        <v>610000004207</v>
      </c>
      <c r="E3680" s="341" t="s">
        <v>5272</v>
      </c>
      <c r="F3680" s="341" t="s">
        <v>5273</v>
      </c>
      <c r="G3680" s="380" t="s">
        <v>2917</v>
      </c>
      <c r="H3680" s="380" t="s">
        <v>5274</v>
      </c>
      <c r="I3680" s="654">
        <v>15</v>
      </c>
      <c r="J3680" s="673"/>
      <c r="K3680" s="674"/>
      <c r="R3680" s="544"/>
      <c r="S3680" s="544"/>
      <c r="T3680" s="544"/>
      <c r="U3680" s="344" t="s">
        <v>5275</v>
      </c>
    </row>
    <row r="3681" spans="1:21" x14ac:dyDescent="0.25">
      <c r="A3681" t="s">
        <v>3317</v>
      </c>
      <c r="B3681" s="50" t="s">
        <v>2910</v>
      </c>
      <c r="C3681" s="51"/>
      <c r="D3681" s="326">
        <v>610000004207</v>
      </c>
      <c r="E3681" s="327" t="s">
        <v>5276</v>
      </c>
      <c r="F3681" s="327" t="s">
        <v>5273</v>
      </c>
      <c r="G3681" s="381" t="s">
        <v>2937</v>
      </c>
      <c r="H3681" s="381" t="s">
        <v>5277</v>
      </c>
      <c r="I3681" s="649">
        <v>15</v>
      </c>
      <c r="J3681" s="673"/>
      <c r="K3681" s="674"/>
      <c r="R3681" s="544"/>
      <c r="S3681" s="544"/>
      <c r="T3681" s="544"/>
      <c r="U3681" s="347" t="s">
        <v>5275</v>
      </c>
    </row>
    <row r="3682" spans="1:21" x14ac:dyDescent="0.25">
      <c r="A3682" t="s">
        <v>3317</v>
      </c>
      <c r="B3682" s="50" t="s">
        <v>2910</v>
      </c>
      <c r="C3682" s="51"/>
      <c r="D3682" s="337">
        <v>610000004207</v>
      </c>
      <c r="E3682" s="338" t="s">
        <v>5278</v>
      </c>
      <c r="F3682" s="338" t="s">
        <v>5273</v>
      </c>
      <c r="G3682" s="339" t="s">
        <v>2919</v>
      </c>
      <c r="H3682" s="339" t="s">
        <v>5279</v>
      </c>
      <c r="I3682" s="338">
        <v>15</v>
      </c>
      <c r="J3682" s="680"/>
      <c r="K3682" s="674"/>
      <c r="R3682" s="544"/>
      <c r="S3682" s="544"/>
      <c r="T3682" s="544"/>
      <c r="U3682" s="338" t="s">
        <v>5275</v>
      </c>
    </row>
    <row r="3683" spans="1:21" x14ac:dyDescent="0.25">
      <c r="A3683" t="s">
        <v>3317</v>
      </c>
      <c r="B3683" s="50" t="s">
        <v>2910</v>
      </c>
      <c r="C3683" s="51"/>
      <c r="D3683" s="340">
        <v>610000004208</v>
      </c>
      <c r="E3683" s="341" t="s">
        <v>5280</v>
      </c>
      <c r="F3683" s="341" t="s">
        <v>5281</v>
      </c>
      <c r="G3683" s="380" t="s">
        <v>2922</v>
      </c>
      <c r="H3683" s="380" t="s">
        <v>4163</v>
      </c>
      <c r="I3683" s="654">
        <v>15</v>
      </c>
      <c r="J3683" s="673"/>
      <c r="K3683" s="674"/>
      <c r="R3683" s="544" t="s">
        <v>3750</v>
      </c>
      <c r="S3683" s="544"/>
      <c r="T3683" s="544"/>
      <c r="U3683" s="344" t="s">
        <v>5282</v>
      </c>
    </row>
    <row r="3684" spans="1:21" x14ac:dyDescent="0.25">
      <c r="A3684" t="s">
        <v>3317</v>
      </c>
      <c r="B3684" s="50" t="s">
        <v>2910</v>
      </c>
      <c r="C3684" s="51"/>
      <c r="D3684" s="326">
        <v>610000004208</v>
      </c>
      <c r="E3684" s="327" t="s">
        <v>5283</v>
      </c>
      <c r="F3684" s="327" t="s">
        <v>5281</v>
      </c>
      <c r="G3684" s="381" t="s">
        <v>2922</v>
      </c>
      <c r="H3684" s="381" t="s">
        <v>4164</v>
      </c>
      <c r="I3684" s="649">
        <v>15</v>
      </c>
      <c r="J3684" s="673"/>
      <c r="K3684" s="674"/>
      <c r="R3684" s="544" t="s">
        <v>3750</v>
      </c>
      <c r="S3684" s="544"/>
      <c r="T3684" s="544"/>
      <c r="U3684" s="347" t="s">
        <v>5282</v>
      </c>
    </row>
    <row r="3685" spans="1:21" x14ac:dyDescent="0.25">
      <c r="A3685" t="s">
        <v>3317</v>
      </c>
      <c r="B3685" s="50" t="s">
        <v>2910</v>
      </c>
      <c r="C3685" s="51"/>
      <c r="D3685" s="326">
        <v>610000004208</v>
      </c>
      <c r="E3685" s="327" t="s">
        <v>5284</v>
      </c>
      <c r="F3685" s="327" t="s">
        <v>5281</v>
      </c>
      <c r="G3685" s="381" t="s">
        <v>2927</v>
      </c>
      <c r="H3685" s="381" t="s">
        <v>4165</v>
      </c>
      <c r="I3685" s="649">
        <v>15</v>
      </c>
      <c r="J3685" s="673"/>
      <c r="K3685" s="674"/>
      <c r="R3685" s="544" t="s">
        <v>3750</v>
      </c>
      <c r="S3685" s="544"/>
      <c r="T3685" s="544"/>
      <c r="U3685" s="347" t="s">
        <v>5282</v>
      </c>
    </row>
    <row r="3686" spans="1:21" x14ac:dyDescent="0.25">
      <c r="A3686" t="s">
        <v>3317</v>
      </c>
      <c r="B3686" s="50" t="s">
        <v>2910</v>
      </c>
      <c r="C3686" s="51"/>
      <c r="D3686" s="326">
        <v>610000004208</v>
      </c>
      <c r="E3686" s="327" t="s">
        <v>5285</v>
      </c>
      <c r="F3686" s="327" t="s">
        <v>5281</v>
      </c>
      <c r="G3686" s="381" t="s">
        <v>2911</v>
      </c>
      <c r="H3686" s="381" t="s">
        <v>5286</v>
      </c>
      <c r="I3686" s="649">
        <v>15</v>
      </c>
      <c r="J3686" s="673"/>
      <c r="K3686" s="674"/>
      <c r="R3686" s="544" t="s">
        <v>3750</v>
      </c>
      <c r="S3686" s="544"/>
      <c r="T3686" s="544"/>
      <c r="U3686" s="347" t="s">
        <v>5282</v>
      </c>
    </row>
    <row r="3687" spans="1:21" x14ac:dyDescent="0.25">
      <c r="A3687" t="s">
        <v>3317</v>
      </c>
      <c r="B3687" s="50" t="s">
        <v>2910</v>
      </c>
      <c r="C3687" s="51"/>
      <c r="D3687" s="337">
        <v>610000004208</v>
      </c>
      <c r="E3687" s="338" t="s">
        <v>5287</v>
      </c>
      <c r="F3687" s="338" t="s">
        <v>5281</v>
      </c>
      <c r="G3687" s="651" t="s">
        <v>2929</v>
      </c>
      <c r="H3687" s="651" t="s">
        <v>5288</v>
      </c>
      <c r="I3687" s="652">
        <v>15</v>
      </c>
      <c r="J3687" s="673"/>
      <c r="K3687" s="674"/>
      <c r="R3687" s="544" t="s">
        <v>3750</v>
      </c>
      <c r="S3687" s="544"/>
      <c r="T3687" s="544"/>
      <c r="U3687" s="350" t="s">
        <v>5282</v>
      </c>
    </row>
    <row r="3688" spans="1:21" x14ac:dyDescent="0.25">
      <c r="A3688" t="s">
        <v>3317</v>
      </c>
      <c r="B3688" s="50" t="s">
        <v>2910</v>
      </c>
      <c r="C3688" s="51"/>
      <c r="D3688" s="340">
        <v>610000004209</v>
      </c>
      <c r="E3688" s="341" t="s">
        <v>5289</v>
      </c>
      <c r="F3688" s="341" t="s">
        <v>5290</v>
      </c>
      <c r="G3688" s="380" t="s">
        <v>2922</v>
      </c>
      <c r="H3688" s="380" t="s">
        <v>4179</v>
      </c>
      <c r="I3688" s="654">
        <v>30</v>
      </c>
      <c r="J3688" s="673"/>
      <c r="K3688" s="674"/>
      <c r="R3688" s="544"/>
      <c r="S3688" s="544"/>
      <c r="T3688" s="544"/>
      <c r="U3688" s="344" t="s">
        <v>5291</v>
      </c>
    </row>
    <row r="3689" spans="1:21" x14ac:dyDescent="0.25">
      <c r="A3689" t="s">
        <v>3317</v>
      </c>
      <c r="B3689" s="50" t="s">
        <v>2910</v>
      </c>
      <c r="C3689" s="51"/>
      <c r="D3689" s="326">
        <v>610000004209</v>
      </c>
      <c r="E3689" s="327" t="s">
        <v>5292</v>
      </c>
      <c r="F3689" s="327" t="s">
        <v>5290</v>
      </c>
      <c r="G3689" s="381" t="s">
        <v>2934</v>
      </c>
      <c r="H3689" s="381" t="s">
        <v>4175</v>
      </c>
      <c r="I3689" s="649">
        <v>30</v>
      </c>
      <c r="J3689" s="673"/>
      <c r="K3689" s="674"/>
      <c r="R3689" s="544"/>
      <c r="S3689" s="544"/>
      <c r="T3689" s="544"/>
      <c r="U3689" s="347" t="s">
        <v>5291</v>
      </c>
    </row>
    <row r="3690" spans="1:21" x14ac:dyDescent="0.25">
      <c r="A3690" t="s">
        <v>3317</v>
      </c>
      <c r="B3690" s="50" t="s">
        <v>2910</v>
      </c>
      <c r="C3690" s="51"/>
      <c r="D3690" s="337">
        <v>610000004209</v>
      </c>
      <c r="E3690" s="338" t="s">
        <v>5293</v>
      </c>
      <c r="F3690" s="338" t="s">
        <v>5290</v>
      </c>
      <c r="G3690" s="651" t="s">
        <v>2929</v>
      </c>
      <c r="H3690" s="651" t="s">
        <v>5294</v>
      </c>
      <c r="I3690" s="652">
        <v>30</v>
      </c>
      <c r="J3690" s="673"/>
      <c r="K3690" s="674"/>
      <c r="R3690" s="544"/>
      <c r="S3690" s="544"/>
      <c r="T3690" s="544"/>
      <c r="U3690" s="350" t="s">
        <v>5291</v>
      </c>
    </row>
    <row r="3691" spans="1:21" x14ac:dyDescent="0.25">
      <c r="A3691" t="s">
        <v>3317</v>
      </c>
      <c r="B3691" s="50" t="s">
        <v>2910</v>
      </c>
      <c r="C3691" s="51"/>
      <c r="D3691" s="448">
        <v>610000004210</v>
      </c>
      <c r="E3691" s="383" t="s">
        <v>5295</v>
      </c>
      <c r="F3691" s="383" t="s">
        <v>5296</v>
      </c>
      <c r="G3691" s="663" t="s">
        <v>2929</v>
      </c>
      <c r="H3691" s="663" t="s">
        <v>5297</v>
      </c>
      <c r="I3691" s="664">
        <v>30</v>
      </c>
      <c r="J3691" s="673"/>
      <c r="K3691" s="674"/>
      <c r="R3691" s="544"/>
      <c r="S3691" s="544"/>
      <c r="T3691" s="544"/>
      <c r="U3691" s="434" t="s">
        <v>5291</v>
      </c>
    </row>
    <row r="3692" spans="1:21" x14ac:dyDescent="0.25">
      <c r="A3692" t="s">
        <v>3317</v>
      </c>
      <c r="B3692" s="50" t="s">
        <v>2910</v>
      </c>
      <c r="C3692" s="51"/>
      <c r="D3692" s="352">
        <v>610000004211</v>
      </c>
      <c r="E3692" s="353" t="s">
        <v>5298</v>
      </c>
      <c r="F3692" s="353" t="s">
        <v>5299</v>
      </c>
      <c r="G3692" s="61" t="s">
        <v>2922</v>
      </c>
      <c r="H3692" s="61" t="s">
        <v>5300</v>
      </c>
      <c r="I3692" s="681">
        <v>90</v>
      </c>
      <c r="J3692" s="682"/>
      <c r="K3692" s="674"/>
      <c r="R3692" s="544" t="s">
        <v>5301</v>
      </c>
      <c r="S3692" s="544"/>
      <c r="T3692" s="544"/>
      <c r="U3692" s="353" t="s">
        <v>5302</v>
      </c>
    </row>
    <row r="3693" spans="1:21" x14ac:dyDescent="0.25">
      <c r="A3693" t="s">
        <v>3317</v>
      </c>
      <c r="B3693" s="50" t="s">
        <v>2910</v>
      </c>
      <c r="C3693" s="51"/>
      <c r="D3693" s="326">
        <v>610000004212</v>
      </c>
      <c r="E3693" s="327" t="s">
        <v>5303</v>
      </c>
      <c r="F3693" s="327" t="s">
        <v>5304</v>
      </c>
      <c r="G3693" s="381" t="s">
        <v>2929</v>
      </c>
      <c r="H3693" s="381" t="s">
        <v>5305</v>
      </c>
      <c r="I3693" s="649">
        <v>180</v>
      </c>
      <c r="J3693" s="673"/>
      <c r="K3693" s="674"/>
      <c r="R3693" s="544" t="s">
        <v>3254</v>
      </c>
      <c r="S3693" s="544" t="s">
        <v>3995</v>
      </c>
      <c r="T3693" s="544"/>
      <c r="U3693" s="347" t="s">
        <v>5306</v>
      </c>
    </row>
    <row r="3694" spans="1:21" x14ac:dyDescent="0.25">
      <c r="A3694" t="s">
        <v>3317</v>
      </c>
      <c r="B3694" s="50" t="s">
        <v>2910</v>
      </c>
      <c r="C3694" s="51"/>
      <c r="D3694" s="326">
        <v>610000004212</v>
      </c>
      <c r="E3694" s="327" t="s">
        <v>5307</v>
      </c>
      <c r="F3694" s="327" t="s">
        <v>5304</v>
      </c>
      <c r="G3694" s="381" t="s">
        <v>2911</v>
      </c>
      <c r="H3694" s="381" t="s">
        <v>4201</v>
      </c>
      <c r="I3694" s="649">
        <v>180</v>
      </c>
      <c r="J3694" s="673"/>
      <c r="K3694" s="674"/>
      <c r="R3694" s="544" t="s">
        <v>3251</v>
      </c>
      <c r="S3694" s="544" t="s">
        <v>5308</v>
      </c>
      <c r="T3694" s="544"/>
      <c r="U3694" s="347" t="s">
        <v>5306</v>
      </c>
    </row>
    <row r="3695" spans="1:21" x14ac:dyDescent="0.25">
      <c r="A3695" t="s">
        <v>3317</v>
      </c>
      <c r="B3695" s="50" t="s">
        <v>2910</v>
      </c>
      <c r="C3695" s="51"/>
      <c r="D3695" s="337">
        <v>610000004212</v>
      </c>
      <c r="E3695" s="338" t="s">
        <v>5309</v>
      </c>
      <c r="F3695" s="338" t="s">
        <v>5304</v>
      </c>
      <c r="G3695" s="651" t="s">
        <v>2922</v>
      </c>
      <c r="H3695" s="651" t="s">
        <v>5310</v>
      </c>
      <c r="I3695" s="652">
        <v>180</v>
      </c>
      <c r="J3695" s="673"/>
      <c r="K3695" s="674"/>
      <c r="R3695" s="544" t="s">
        <v>5311</v>
      </c>
      <c r="S3695" s="544" t="s">
        <v>5312</v>
      </c>
      <c r="T3695" s="544"/>
      <c r="U3695" s="350" t="s">
        <v>5306</v>
      </c>
    </row>
    <row r="3696" spans="1:21" ht="15.75" thickBot="1" x14ac:dyDescent="0.3">
      <c r="A3696" t="s">
        <v>3317</v>
      </c>
      <c r="B3696" s="50" t="s">
        <v>2910</v>
      </c>
      <c r="C3696" s="214"/>
      <c r="D3696" s="363">
        <v>610000004213</v>
      </c>
      <c r="E3696" s="467" t="s">
        <v>5313</v>
      </c>
      <c r="F3696" s="364" t="s">
        <v>5314</v>
      </c>
      <c r="G3696" s="365" t="s">
        <v>2919</v>
      </c>
      <c r="H3696" s="359" t="s">
        <v>5315</v>
      </c>
      <c r="I3696" s="364">
        <v>180</v>
      </c>
      <c r="J3696" s="676"/>
      <c r="K3696" s="674"/>
      <c r="R3696" s="544" t="s">
        <v>5316</v>
      </c>
      <c r="S3696" s="544"/>
      <c r="T3696" s="544"/>
      <c r="U3696" s="364" t="s">
        <v>5317</v>
      </c>
    </row>
    <row r="3697" spans="1:19" x14ac:dyDescent="0.25">
      <c r="A3697" t="s">
        <v>3317</v>
      </c>
      <c r="B3697" s="464" t="s">
        <v>2997</v>
      </c>
      <c r="C3697" s="465"/>
      <c r="D3697" s="417">
        <v>610000004435</v>
      </c>
      <c r="E3697" s="417"/>
      <c r="F3697" s="421" t="s">
        <v>5319</v>
      </c>
      <c r="G3697" s="420" t="s">
        <v>15</v>
      </c>
      <c r="H3697" s="420" t="s">
        <v>3447</v>
      </c>
      <c r="I3697" s="421">
        <v>15</v>
      </c>
      <c r="J3697" s="674"/>
      <c r="K3697" s="544"/>
      <c r="L3697" s="544"/>
      <c r="M3697" s="544"/>
      <c r="N3697" s="544"/>
      <c r="O3697" s="544"/>
      <c r="P3697" s="544"/>
      <c r="R3697" s="544"/>
      <c r="S3697" s="544"/>
    </row>
    <row r="3698" spans="1:19" x14ac:dyDescent="0.25">
      <c r="A3698" t="s">
        <v>3317</v>
      </c>
      <c r="B3698" s="464" t="s">
        <v>2997</v>
      </c>
      <c r="C3698" s="51"/>
      <c r="D3698" s="346">
        <v>610000004435</v>
      </c>
      <c r="E3698" s="346"/>
      <c r="F3698" s="347" t="s">
        <v>5319</v>
      </c>
      <c r="G3698" s="348" t="s">
        <v>15</v>
      </c>
      <c r="H3698" s="348" t="s">
        <v>3448</v>
      </c>
      <c r="I3698" s="347">
        <v>15</v>
      </c>
      <c r="J3698" s="674"/>
      <c r="K3698" s="544"/>
      <c r="L3698" s="544"/>
      <c r="M3698" s="544"/>
      <c r="N3698" s="544"/>
      <c r="O3698" s="544"/>
      <c r="P3698" s="544"/>
      <c r="R3698" s="544"/>
      <c r="S3698" s="544"/>
    </row>
    <row r="3699" spans="1:19" x14ac:dyDescent="0.25">
      <c r="A3699" t="s">
        <v>3317</v>
      </c>
      <c r="B3699" s="464" t="s">
        <v>2997</v>
      </c>
      <c r="C3699" s="51"/>
      <c r="D3699" s="346">
        <v>610000004435</v>
      </c>
      <c r="E3699" s="346"/>
      <c r="F3699" s="347" t="s">
        <v>5319</v>
      </c>
      <c r="G3699" s="348" t="s">
        <v>15</v>
      </c>
      <c r="H3699" s="348" t="s">
        <v>3449</v>
      </c>
      <c r="I3699" s="347">
        <v>15</v>
      </c>
      <c r="J3699" s="674"/>
      <c r="K3699" s="544"/>
      <c r="L3699" s="544"/>
      <c r="M3699" s="544"/>
      <c r="N3699" s="544"/>
      <c r="O3699" s="544"/>
      <c r="P3699" s="544"/>
      <c r="R3699" s="544"/>
      <c r="S3699" s="544"/>
    </row>
    <row r="3700" spans="1:19" x14ac:dyDescent="0.25">
      <c r="A3700" t="s">
        <v>3317</v>
      </c>
      <c r="B3700" s="464" t="s">
        <v>2997</v>
      </c>
      <c r="C3700" s="51"/>
      <c r="D3700" s="346">
        <v>610000004435</v>
      </c>
      <c r="E3700" s="346"/>
      <c r="F3700" s="347" t="s">
        <v>5319</v>
      </c>
      <c r="G3700" s="348" t="s">
        <v>17</v>
      </c>
      <c r="H3700" s="348" t="s">
        <v>3450</v>
      </c>
      <c r="I3700" s="347">
        <v>15</v>
      </c>
      <c r="J3700" s="674"/>
      <c r="K3700" s="544"/>
      <c r="L3700" s="544"/>
      <c r="M3700" s="544"/>
      <c r="N3700" s="544"/>
      <c r="O3700" s="544"/>
      <c r="P3700" s="544"/>
      <c r="R3700" s="544"/>
      <c r="S3700" s="544"/>
    </row>
    <row r="3701" spans="1:19" x14ac:dyDescent="0.25">
      <c r="A3701" t="s">
        <v>3317</v>
      </c>
      <c r="B3701" s="464" t="s">
        <v>2997</v>
      </c>
      <c r="C3701" s="51"/>
      <c r="D3701" s="346">
        <v>610000004435</v>
      </c>
      <c r="E3701" s="346"/>
      <c r="F3701" s="347" t="s">
        <v>5319</v>
      </c>
      <c r="G3701" s="348" t="s">
        <v>17</v>
      </c>
      <c r="H3701" s="348" t="s">
        <v>3469</v>
      </c>
      <c r="I3701" s="347">
        <v>15</v>
      </c>
      <c r="J3701" s="674"/>
      <c r="K3701" s="544"/>
      <c r="L3701" s="544"/>
      <c r="M3701" s="544"/>
      <c r="N3701" s="544"/>
      <c r="O3701" s="544"/>
      <c r="P3701" s="544"/>
      <c r="R3701" s="544"/>
      <c r="S3701" s="544"/>
    </row>
    <row r="3702" spans="1:19" x14ac:dyDescent="0.25">
      <c r="A3702" t="s">
        <v>3317</v>
      </c>
      <c r="B3702" s="464" t="s">
        <v>2997</v>
      </c>
      <c r="C3702" s="51"/>
      <c r="D3702" s="346">
        <v>610000004435</v>
      </c>
      <c r="E3702" s="346"/>
      <c r="F3702" s="347" t="s">
        <v>5319</v>
      </c>
      <c r="G3702" s="348" t="s">
        <v>17</v>
      </c>
      <c r="H3702" s="348" t="s">
        <v>3452</v>
      </c>
      <c r="I3702" s="347">
        <v>15</v>
      </c>
      <c r="J3702" s="674"/>
      <c r="K3702" s="544"/>
      <c r="L3702" s="544"/>
      <c r="M3702" s="544"/>
      <c r="N3702" s="544"/>
      <c r="O3702" s="544"/>
      <c r="P3702" s="544"/>
      <c r="R3702" s="544"/>
      <c r="S3702" s="544"/>
    </row>
    <row r="3703" spans="1:19" x14ac:dyDescent="0.25">
      <c r="A3703" t="s">
        <v>3317</v>
      </c>
      <c r="B3703" s="464" t="s">
        <v>2997</v>
      </c>
      <c r="C3703" s="51"/>
      <c r="D3703" s="346">
        <v>610000004435</v>
      </c>
      <c r="E3703" s="346"/>
      <c r="F3703" s="347" t="s">
        <v>5319</v>
      </c>
      <c r="G3703" s="348" t="s">
        <v>3001</v>
      </c>
      <c r="H3703" s="348" t="s">
        <v>3454</v>
      </c>
      <c r="I3703" s="347">
        <v>15</v>
      </c>
      <c r="J3703" s="674"/>
      <c r="K3703" s="544"/>
      <c r="L3703" s="544"/>
      <c r="M3703" s="544"/>
      <c r="N3703" s="544"/>
      <c r="O3703" s="544"/>
      <c r="P3703" s="544"/>
      <c r="R3703" s="544"/>
      <c r="S3703" s="544"/>
    </row>
    <row r="3704" spans="1:19" x14ac:dyDescent="0.25">
      <c r="A3704" t="s">
        <v>3317</v>
      </c>
      <c r="B3704" s="464" t="s">
        <v>2997</v>
      </c>
      <c r="C3704" s="51"/>
      <c r="D3704" s="346">
        <v>610000004435</v>
      </c>
      <c r="E3704" s="346"/>
      <c r="F3704" s="347" t="s">
        <v>5319</v>
      </c>
      <c r="G3704" s="348" t="s">
        <v>25</v>
      </c>
      <c r="H3704" s="348" t="s">
        <v>3456</v>
      </c>
      <c r="I3704" s="347">
        <v>15</v>
      </c>
      <c r="J3704" s="674"/>
      <c r="K3704" s="544"/>
      <c r="L3704" s="544"/>
      <c r="M3704" s="544"/>
      <c r="N3704" s="544"/>
      <c r="O3704" s="544"/>
      <c r="P3704" s="544"/>
      <c r="R3704" s="544"/>
      <c r="S3704" s="544"/>
    </row>
    <row r="3705" spans="1:19" x14ac:dyDescent="0.25">
      <c r="A3705" t="s">
        <v>3317</v>
      </c>
      <c r="B3705" s="464" t="s">
        <v>2997</v>
      </c>
      <c r="C3705" s="51"/>
      <c r="D3705" s="349">
        <v>610000004435</v>
      </c>
      <c r="E3705" s="349"/>
      <c r="F3705" s="350" t="s">
        <v>5319</v>
      </c>
      <c r="G3705" s="351" t="s">
        <v>27</v>
      </c>
      <c r="H3705" s="351" t="s">
        <v>3457</v>
      </c>
      <c r="I3705" s="350">
        <v>15</v>
      </c>
      <c r="J3705" s="674"/>
      <c r="K3705" s="544"/>
      <c r="L3705" s="544"/>
      <c r="M3705" s="544"/>
      <c r="N3705" s="544"/>
      <c r="O3705" s="544"/>
      <c r="P3705" s="544"/>
      <c r="R3705" s="544"/>
      <c r="S3705" s="544"/>
    </row>
    <row r="3706" spans="1:19" x14ac:dyDescent="0.25">
      <c r="A3706" t="s">
        <v>3317</v>
      </c>
      <c r="B3706" s="464" t="s">
        <v>2997</v>
      </c>
      <c r="C3706" s="51"/>
      <c r="D3706" s="343">
        <v>610000004436</v>
      </c>
      <c r="E3706" s="343"/>
      <c r="F3706" s="344" t="s">
        <v>5320</v>
      </c>
      <c r="G3706" s="345" t="s">
        <v>17</v>
      </c>
      <c r="H3706" s="345" t="s">
        <v>3460</v>
      </c>
      <c r="I3706" s="344">
        <v>15</v>
      </c>
      <c r="J3706" s="674"/>
      <c r="K3706" s="544"/>
      <c r="L3706" s="544"/>
      <c r="M3706" s="544"/>
      <c r="N3706" s="544"/>
      <c r="O3706" s="544"/>
      <c r="P3706" s="544"/>
      <c r="R3706" s="683" t="s">
        <v>3159</v>
      </c>
      <c r="S3706" s="544"/>
    </row>
    <row r="3707" spans="1:19" x14ac:dyDescent="0.25">
      <c r="A3707" t="s">
        <v>3317</v>
      </c>
      <c r="B3707" s="464" t="s">
        <v>2997</v>
      </c>
      <c r="C3707" s="51"/>
      <c r="D3707" s="346">
        <v>610000004436</v>
      </c>
      <c r="E3707" s="346"/>
      <c r="F3707" s="347" t="s">
        <v>5320</v>
      </c>
      <c r="G3707" s="348" t="s">
        <v>27</v>
      </c>
      <c r="H3707" s="348" t="s">
        <v>3461</v>
      </c>
      <c r="I3707" s="347">
        <v>15</v>
      </c>
      <c r="J3707" s="674"/>
      <c r="K3707" s="544"/>
      <c r="L3707" s="544"/>
      <c r="M3707" s="544"/>
      <c r="N3707" s="544"/>
      <c r="O3707" s="544"/>
      <c r="P3707" s="544"/>
      <c r="R3707" s="683" t="s">
        <v>3159</v>
      </c>
      <c r="S3707" s="544"/>
    </row>
    <row r="3708" spans="1:19" x14ac:dyDescent="0.25">
      <c r="A3708" t="s">
        <v>3317</v>
      </c>
      <c r="B3708" s="464" t="s">
        <v>2997</v>
      </c>
      <c r="C3708" s="51"/>
      <c r="D3708" s="349">
        <v>610000004436</v>
      </c>
      <c r="E3708" s="349"/>
      <c r="F3708" s="350" t="s">
        <v>5320</v>
      </c>
      <c r="G3708" s="351" t="s">
        <v>29</v>
      </c>
      <c r="H3708" s="351" t="s">
        <v>3462</v>
      </c>
      <c r="I3708" s="350">
        <v>15</v>
      </c>
      <c r="J3708" s="674"/>
      <c r="K3708" s="544"/>
      <c r="L3708" s="544"/>
      <c r="M3708" s="544"/>
      <c r="N3708" s="544"/>
      <c r="O3708" s="544"/>
      <c r="P3708" s="544"/>
      <c r="R3708" s="683" t="s">
        <v>3159</v>
      </c>
      <c r="S3708" s="544"/>
    </row>
    <row r="3709" spans="1:19" x14ac:dyDescent="0.25">
      <c r="A3709" t="s">
        <v>3317</v>
      </c>
      <c r="B3709" s="464" t="s">
        <v>2997</v>
      </c>
      <c r="C3709" s="51"/>
      <c r="D3709" s="343">
        <v>610000004437</v>
      </c>
      <c r="E3709" s="343"/>
      <c r="F3709" s="344" t="s">
        <v>5321</v>
      </c>
      <c r="G3709" s="345" t="s">
        <v>15</v>
      </c>
      <c r="H3709" s="345" t="s">
        <v>3464</v>
      </c>
      <c r="I3709" s="344">
        <v>30</v>
      </c>
      <c r="J3709" s="674"/>
      <c r="K3709" s="544"/>
      <c r="L3709" s="544"/>
      <c r="M3709" s="544"/>
      <c r="N3709" s="544"/>
      <c r="O3709" s="544"/>
      <c r="P3709" s="544"/>
      <c r="R3709" s="544"/>
      <c r="S3709" s="544"/>
    </row>
    <row r="3710" spans="1:19" x14ac:dyDescent="0.25">
      <c r="A3710" t="s">
        <v>3317</v>
      </c>
      <c r="B3710" s="464" t="s">
        <v>2997</v>
      </c>
      <c r="C3710" s="51"/>
      <c r="D3710" s="346">
        <v>610000004437</v>
      </c>
      <c r="E3710" s="346"/>
      <c r="F3710" s="347" t="s">
        <v>5321</v>
      </c>
      <c r="G3710" s="348" t="s">
        <v>15</v>
      </c>
      <c r="H3710" s="348" t="s">
        <v>3465</v>
      </c>
      <c r="I3710" s="347">
        <v>30</v>
      </c>
      <c r="J3710" s="674"/>
      <c r="K3710" s="544"/>
      <c r="L3710" s="544"/>
      <c r="M3710" s="544"/>
      <c r="N3710" s="544"/>
      <c r="O3710" s="544"/>
      <c r="P3710" s="544"/>
      <c r="R3710" s="544"/>
      <c r="S3710" s="544"/>
    </row>
    <row r="3711" spans="1:19" x14ac:dyDescent="0.25">
      <c r="A3711" t="s">
        <v>3317</v>
      </c>
      <c r="B3711" s="464" t="s">
        <v>2997</v>
      </c>
      <c r="C3711" s="51"/>
      <c r="D3711" s="346">
        <v>610000004437</v>
      </c>
      <c r="E3711" s="346"/>
      <c r="F3711" s="347" t="s">
        <v>5321</v>
      </c>
      <c r="G3711" s="348" t="s">
        <v>23</v>
      </c>
      <c r="H3711" s="348" t="s">
        <v>5322</v>
      </c>
      <c r="I3711" s="347">
        <v>30</v>
      </c>
      <c r="J3711" s="674"/>
      <c r="K3711" s="544"/>
      <c r="L3711" s="544"/>
      <c r="M3711" s="544"/>
      <c r="N3711" s="544"/>
      <c r="O3711" s="544"/>
      <c r="P3711" s="544"/>
      <c r="R3711" s="544"/>
      <c r="S3711" s="544"/>
    </row>
    <row r="3712" spans="1:19" x14ac:dyDescent="0.25">
      <c r="A3712" t="s">
        <v>3317</v>
      </c>
      <c r="B3712" s="464" t="s">
        <v>2997</v>
      </c>
      <c r="C3712" s="51"/>
      <c r="D3712" s="349">
        <v>610000004437</v>
      </c>
      <c r="E3712" s="349"/>
      <c r="F3712" s="350" t="s">
        <v>5321</v>
      </c>
      <c r="G3712" s="351" t="s">
        <v>3003</v>
      </c>
      <c r="H3712" s="351" t="s">
        <v>3467</v>
      </c>
      <c r="I3712" s="350">
        <v>30</v>
      </c>
      <c r="J3712" s="674"/>
      <c r="K3712" s="544"/>
      <c r="L3712" s="544"/>
      <c r="M3712" s="544"/>
      <c r="N3712" s="544"/>
      <c r="O3712" s="544"/>
      <c r="P3712" s="544"/>
      <c r="R3712" s="544"/>
      <c r="S3712" s="544"/>
    </row>
    <row r="3713" spans="1:19" x14ac:dyDescent="0.25">
      <c r="A3713" t="s">
        <v>3317</v>
      </c>
      <c r="B3713" s="464" t="s">
        <v>2997</v>
      </c>
      <c r="C3713" s="51"/>
      <c r="D3713" s="349">
        <v>610000004438</v>
      </c>
      <c r="E3713" s="423"/>
      <c r="F3713" s="434" t="s">
        <v>5323</v>
      </c>
      <c r="G3713" s="433" t="s">
        <v>25</v>
      </c>
      <c r="H3713" s="433" t="s">
        <v>5324</v>
      </c>
      <c r="I3713" s="434">
        <v>30</v>
      </c>
      <c r="J3713" s="674"/>
      <c r="K3713" s="544"/>
      <c r="L3713" s="544"/>
      <c r="M3713" s="544"/>
      <c r="N3713" s="544"/>
      <c r="O3713" s="544"/>
      <c r="P3713" s="544"/>
      <c r="R3713" s="544"/>
      <c r="S3713" s="544"/>
    </row>
    <row r="3714" spans="1:19" x14ac:dyDescent="0.25">
      <c r="A3714" t="s">
        <v>3317</v>
      </c>
      <c r="B3714" s="464" t="s">
        <v>2997</v>
      </c>
      <c r="C3714" s="51"/>
      <c r="D3714" s="352">
        <v>610000004439</v>
      </c>
      <c r="E3714" s="352"/>
      <c r="F3714" s="353" t="s">
        <v>5325</v>
      </c>
      <c r="G3714" s="61" t="s">
        <v>23</v>
      </c>
      <c r="H3714" s="61" t="s">
        <v>5326</v>
      </c>
      <c r="I3714" s="353">
        <v>30</v>
      </c>
      <c r="J3714" s="674"/>
      <c r="K3714" s="544"/>
      <c r="L3714" s="544"/>
      <c r="M3714" s="544"/>
      <c r="N3714" s="544"/>
      <c r="O3714" s="544"/>
      <c r="P3714" s="544"/>
      <c r="R3714" s="683" t="s">
        <v>3159</v>
      </c>
      <c r="S3714" s="544"/>
    </row>
    <row r="3715" spans="1:19" x14ac:dyDescent="0.25">
      <c r="A3715" t="s">
        <v>3317</v>
      </c>
      <c r="B3715" s="464" t="s">
        <v>2997</v>
      </c>
      <c r="C3715" s="51"/>
      <c r="D3715" s="423">
        <v>610000004440</v>
      </c>
      <c r="E3715" s="423"/>
      <c r="F3715" s="434" t="s">
        <v>5327</v>
      </c>
      <c r="G3715" s="433" t="s">
        <v>3004</v>
      </c>
      <c r="H3715" s="433" t="s">
        <v>3468</v>
      </c>
      <c r="I3715" s="434">
        <v>60</v>
      </c>
      <c r="J3715" s="674"/>
      <c r="K3715" s="544"/>
      <c r="L3715" s="544"/>
      <c r="M3715" s="544"/>
      <c r="N3715" s="544"/>
      <c r="O3715" s="544"/>
      <c r="P3715" s="544"/>
      <c r="R3715" s="544"/>
      <c r="S3715" s="544"/>
    </row>
    <row r="3716" spans="1:19" x14ac:dyDescent="0.25">
      <c r="A3716" t="s">
        <v>3317</v>
      </c>
      <c r="B3716" s="464" t="s">
        <v>2997</v>
      </c>
      <c r="C3716" s="51"/>
      <c r="D3716" s="343">
        <v>610000004441</v>
      </c>
      <c r="E3716" s="343"/>
      <c r="F3716" s="344" t="s">
        <v>5328</v>
      </c>
      <c r="G3716" s="345" t="s">
        <v>27</v>
      </c>
      <c r="H3716" s="345" t="s">
        <v>3471</v>
      </c>
      <c r="I3716" s="344">
        <v>180</v>
      </c>
      <c r="J3716" s="674">
        <v>1</v>
      </c>
      <c r="K3716" s="544"/>
      <c r="L3716" s="544"/>
      <c r="M3716" s="544"/>
      <c r="N3716" s="544"/>
      <c r="O3716" s="544"/>
      <c r="P3716" s="544"/>
      <c r="R3716" s="544" t="s">
        <v>3251</v>
      </c>
      <c r="S3716" s="544" t="s">
        <v>3472</v>
      </c>
    </row>
    <row r="3717" spans="1:19" x14ac:dyDescent="0.25">
      <c r="A3717" t="s">
        <v>3317</v>
      </c>
      <c r="B3717" s="464" t="s">
        <v>2997</v>
      </c>
      <c r="C3717" s="51"/>
      <c r="D3717" s="346">
        <v>610000004441</v>
      </c>
      <c r="E3717" s="346"/>
      <c r="F3717" s="347" t="s">
        <v>5328</v>
      </c>
      <c r="G3717" s="348" t="s">
        <v>17</v>
      </c>
      <c r="H3717" s="348" t="s">
        <v>3473</v>
      </c>
      <c r="I3717" s="347">
        <v>180</v>
      </c>
      <c r="J3717" s="674"/>
      <c r="K3717" s="544"/>
      <c r="L3717" s="544"/>
      <c r="M3717" s="544"/>
      <c r="N3717" s="544"/>
      <c r="O3717" s="544"/>
      <c r="P3717" s="544"/>
      <c r="R3717" s="544" t="s">
        <v>3251</v>
      </c>
      <c r="S3717" s="544" t="s">
        <v>3474</v>
      </c>
    </row>
    <row r="3718" spans="1:19" x14ac:dyDescent="0.25">
      <c r="A3718" t="s">
        <v>3317</v>
      </c>
      <c r="B3718" s="464" t="s">
        <v>2997</v>
      </c>
      <c r="C3718" s="51"/>
      <c r="D3718" s="349">
        <v>610000004441</v>
      </c>
      <c r="E3718" s="349"/>
      <c r="F3718" s="350" t="s">
        <v>5328</v>
      </c>
      <c r="G3718" s="351" t="s">
        <v>3003</v>
      </c>
      <c r="H3718" s="351" t="s">
        <v>3476</v>
      </c>
      <c r="I3718" s="350">
        <v>180</v>
      </c>
      <c r="J3718" s="674"/>
      <c r="K3718" s="544"/>
      <c r="L3718" s="544"/>
      <c r="M3718" s="544"/>
      <c r="N3718" s="544"/>
      <c r="O3718" s="544"/>
      <c r="P3718" s="544"/>
      <c r="R3718" s="544" t="s">
        <v>5329</v>
      </c>
      <c r="S3718" s="544" t="s">
        <v>3478</v>
      </c>
    </row>
    <row r="3719" spans="1:19" ht="15.75" thickBot="1" x14ac:dyDescent="0.3">
      <c r="A3719" t="s">
        <v>3317</v>
      </c>
      <c r="B3719" s="464" t="s">
        <v>2997</v>
      </c>
      <c r="C3719" s="214"/>
      <c r="D3719" s="357">
        <v>610000004442</v>
      </c>
      <c r="E3719" s="357"/>
      <c r="F3719" s="358" t="s">
        <v>5330</v>
      </c>
      <c r="G3719" s="359" t="s">
        <v>3004</v>
      </c>
      <c r="H3719" s="359" t="s">
        <v>3479</v>
      </c>
      <c r="I3719" s="358">
        <v>365</v>
      </c>
      <c r="J3719" s="674">
        <v>1</v>
      </c>
      <c r="K3719" s="544"/>
      <c r="L3719" s="544"/>
      <c r="M3719" s="544"/>
      <c r="N3719" s="544"/>
      <c r="O3719" s="544"/>
      <c r="P3719" s="544"/>
      <c r="R3719" s="544" t="s">
        <v>5329</v>
      </c>
      <c r="S3719" s="544" t="s">
        <v>3480</v>
      </c>
    </row>
    <row r="3720" spans="1:19" x14ac:dyDescent="0.25">
      <c r="A3720" t="s">
        <v>3317</v>
      </c>
      <c r="B3720" s="50" t="s">
        <v>3015</v>
      </c>
      <c r="C3720" s="51"/>
      <c r="D3720" s="349">
        <v>610000004443</v>
      </c>
      <c r="E3720" s="349"/>
      <c r="F3720" s="350" t="s">
        <v>5331</v>
      </c>
      <c r="G3720" s="351" t="s">
        <v>562</v>
      </c>
      <c r="H3720" s="351" t="s">
        <v>3148</v>
      </c>
      <c r="I3720" s="350">
        <v>7</v>
      </c>
      <c r="J3720" s="674">
        <v>1</v>
      </c>
      <c r="K3720" s="544"/>
      <c r="L3720" s="544"/>
      <c r="M3720" s="544"/>
      <c r="N3720" s="544"/>
      <c r="O3720" s="544"/>
      <c r="P3720" s="544"/>
      <c r="R3720" s="544"/>
      <c r="S3720" s="544"/>
    </row>
    <row r="3721" spans="1:19" x14ac:dyDescent="0.25">
      <c r="A3721" t="s">
        <v>3317</v>
      </c>
      <c r="B3721" s="50" t="s">
        <v>3015</v>
      </c>
      <c r="C3721" s="51"/>
      <c r="D3721" s="343">
        <v>610000004444</v>
      </c>
      <c r="E3721" s="343"/>
      <c r="F3721" s="346" t="s">
        <v>5332</v>
      </c>
      <c r="G3721" s="345" t="s">
        <v>48</v>
      </c>
      <c r="H3721" s="345" t="s">
        <v>3482</v>
      </c>
      <c r="I3721" s="344">
        <v>15</v>
      </c>
      <c r="J3721" s="674"/>
      <c r="K3721" s="544"/>
      <c r="L3721" s="544"/>
      <c r="M3721" s="544"/>
      <c r="N3721" s="544"/>
      <c r="O3721" s="544"/>
      <c r="P3721" s="544"/>
      <c r="R3721" s="544"/>
      <c r="S3721" s="544"/>
    </row>
    <row r="3722" spans="1:19" x14ac:dyDescent="0.25">
      <c r="A3722" t="s">
        <v>3317</v>
      </c>
      <c r="B3722" s="50" t="s">
        <v>3015</v>
      </c>
      <c r="C3722" s="51"/>
      <c r="D3722" s="684">
        <v>610000004444</v>
      </c>
      <c r="E3722" s="684"/>
      <c r="F3722" s="347" t="s">
        <v>5332</v>
      </c>
      <c r="G3722" s="348" t="s">
        <v>51</v>
      </c>
      <c r="H3722" s="348" t="s">
        <v>3483</v>
      </c>
      <c r="I3722" s="347">
        <v>15</v>
      </c>
      <c r="J3722" s="674"/>
      <c r="K3722" s="544"/>
      <c r="L3722" s="544"/>
      <c r="M3722" s="544"/>
      <c r="N3722" s="544"/>
      <c r="O3722" s="544"/>
      <c r="P3722" s="544"/>
      <c r="R3722" s="544"/>
      <c r="S3722" s="544"/>
    </row>
    <row r="3723" spans="1:19" x14ac:dyDescent="0.25">
      <c r="A3723" t="s">
        <v>3317</v>
      </c>
      <c r="B3723" s="50" t="s">
        <v>3015</v>
      </c>
      <c r="C3723" s="51"/>
      <c r="D3723" s="346">
        <v>610000004444</v>
      </c>
      <c r="E3723" s="346"/>
      <c r="F3723" s="347" t="s">
        <v>5332</v>
      </c>
      <c r="G3723" s="348" t="s">
        <v>53</v>
      </c>
      <c r="H3723" s="348" t="s">
        <v>3484</v>
      </c>
      <c r="I3723" s="347">
        <v>15</v>
      </c>
      <c r="J3723" s="674"/>
      <c r="K3723" s="544"/>
      <c r="L3723" s="544"/>
      <c r="M3723" s="544"/>
      <c r="N3723" s="544"/>
      <c r="O3723" s="544"/>
      <c r="P3723" s="544"/>
      <c r="R3723" s="544"/>
      <c r="S3723" s="544"/>
    </row>
    <row r="3724" spans="1:19" x14ac:dyDescent="0.25">
      <c r="A3724" t="s">
        <v>3317</v>
      </c>
      <c r="B3724" s="50" t="s">
        <v>3015</v>
      </c>
      <c r="C3724" s="51"/>
      <c r="D3724" s="346">
        <v>610000004444</v>
      </c>
      <c r="E3724" s="346"/>
      <c r="F3724" s="347" t="s">
        <v>5332</v>
      </c>
      <c r="G3724" s="348" t="s">
        <v>51</v>
      </c>
      <c r="H3724" s="348" t="s">
        <v>3485</v>
      </c>
      <c r="I3724" s="347">
        <v>15</v>
      </c>
      <c r="J3724" s="674"/>
      <c r="K3724" s="544"/>
      <c r="L3724" s="544"/>
      <c r="M3724" s="544"/>
      <c r="N3724" s="544"/>
      <c r="O3724" s="544"/>
      <c r="P3724" s="544"/>
      <c r="R3724" s="544"/>
      <c r="S3724" s="544"/>
    </row>
    <row r="3725" spans="1:19" x14ac:dyDescent="0.25">
      <c r="A3725" t="s">
        <v>3317</v>
      </c>
      <c r="B3725" s="50" t="s">
        <v>3015</v>
      </c>
      <c r="C3725" s="51"/>
      <c r="D3725" s="346">
        <v>610000004444</v>
      </c>
      <c r="E3725" s="346"/>
      <c r="F3725" s="347" t="s">
        <v>5332</v>
      </c>
      <c r="G3725" s="348" t="s">
        <v>53</v>
      </c>
      <c r="H3725" s="348" t="s">
        <v>3487</v>
      </c>
      <c r="I3725" s="347">
        <v>15</v>
      </c>
      <c r="J3725" s="674"/>
      <c r="K3725" s="544"/>
      <c r="L3725" s="544"/>
      <c r="M3725" s="544"/>
      <c r="N3725" s="544"/>
      <c r="O3725" s="544"/>
      <c r="P3725" s="544"/>
      <c r="R3725" s="544"/>
      <c r="S3725" s="544"/>
    </row>
    <row r="3726" spans="1:19" x14ac:dyDescent="0.25">
      <c r="A3726" t="s">
        <v>3317</v>
      </c>
      <c r="B3726" s="50" t="s">
        <v>3015</v>
      </c>
      <c r="C3726" s="51"/>
      <c r="D3726" s="346">
        <v>610000004444</v>
      </c>
      <c r="E3726" s="346"/>
      <c r="F3726" s="347" t="s">
        <v>5332</v>
      </c>
      <c r="G3726" s="348" t="s">
        <v>51</v>
      </c>
      <c r="H3726" s="348" t="s">
        <v>3488</v>
      </c>
      <c r="I3726" s="347">
        <v>15</v>
      </c>
      <c r="J3726" s="674"/>
      <c r="K3726" s="544"/>
      <c r="L3726" s="544"/>
      <c r="M3726" s="544"/>
      <c r="N3726" s="544"/>
      <c r="O3726" s="544"/>
      <c r="P3726" s="544"/>
      <c r="R3726" s="544"/>
      <c r="S3726" s="544"/>
    </row>
    <row r="3727" spans="1:19" x14ac:dyDescent="0.25">
      <c r="A3727" t="s">
        <v>3317</v>
      </c>
      <c r="B3727" s="50" t="s">
        <v>3015</v>
      </c>
      <c r="C3727" s="51"/>
      <c r="D3727" s="346">
        <v>610000004444</v>
      </c>
      <c r="E3727" s="346"/>
      <c r="F3727" s="347" t="s">
        <v>5332</v>
      </c>
      <c r="G3727" s="348" t="s">
        <v>53</v>
      </c>
      <c r="H3727" s="348" t="s">
        <v>3489</v>
      </c>
      <c r="I3727" s="347">
        <v>15</v>
      </c>
      <c r="J3727" s="674"/>
      <c r="K3727" s="544"/>
      <c r="L3727" s="544"/>
      <c r="M3727" s="544"/>
      <c r="N3727" s="544"/>
      <c r="O3727" s="544"/>
      <c r="P3727" s="544"/>
      <c r="R3727" s="544"/>
      <c r="S3727" s="544"/>
    </row>
    <row r="3728" spans="1:19" x14ac:dyDescent="0.25">
      <c r="A3728" t="s">
        <v>3317</v>
      </c>
      <c r="B3728" s="50" t="s">
        <v>3015</v>
      </c>
      <c r="C3728" s="51"/>
      <c r="D3728" s="349">
        <v>610000004444</v>
      </c>
      <c r="E3728" s="349"/>
      <c r="F3728" s="350" t="s">
        <v>5332</v>
      </c>
      <c r="G3728" s="351" t="s">
        <v>3486</v>
      </c>
      <c r="H3728" s="351" t="s">
        <v>5333</v>
      </c>
      <c r="I3728" s="350">
        <v>15</v>
      </c>
      <c r="J3728" s="674"/>
      <c r="K3728" s="544"/>
      <c r="L3728" s="544"/>
      <c r="M3728" s="544"/>
      <c r="N3728" s="544"/>
      <c r="O3728" s="544"/>
      <c r="P3728" s="544"/>
      <c r="R3728" s="544"/>
      <c r="S3728" s="544"/>
    </row>
    <row r="3729" spans="1:19" x14ac:dyDescent="0.25">
      <c r="A3729" t="s">
        <v>3317</v>
      </c>
      <c r="B3729" s="50" t="s">
        <v>3015</v>
      </c>
      <c r="C3729" s="51"/>
      <c r="D3729" s="423">
        <v>610000004445</v>
      </c>
      <c r="E3729" s="423"/>
      <c r="F3729" s="434" t="s">
        <v>5334</v>
      </c>
      <c r="G3729" s="433" t="s">
        <v>562</v>
      </c>
      <c r="H3729" s="433" t="s">
        <v>3628</v>
      </c>
      <c r="I3729" s="434">
        <v>15</v>
      </c>
      <c r="J3729" s="674">
        <v>1</v>
      </c>
      <c r="K3729" s="544"/>
      <c r="L3729" s="544"/>
      <c r="M3729" s="544"/>
      <c r="N3729" s="544"/>
      <c r="O3729" s="544"/>
      <c r="P3729" s="544"/>
      <c r="R3729" s="544"/>
      <c r="S3729" s="544"/>
    </row>
    <row r="3730" spans="1:19" x14ac:dyDescent="0.25">
      <c r="A3730" t="s">
        <v>3317</v>
      </c>
      <c r="B3730" s="50" t="s">
        <v>3015</v>
      </c>
      <c r="C3730" s="51"/>
      <c r="D3730" s="354">
        <v>610000004446</v>
      </c>
      <c r="E3730" s="354"/>
      <c r="F3730" s="355" t="s">
        <v>5335</v>
      </c>
      <c r="G3730" s="356" t="s">
        <v>48</v>
      </c>
      <c r="H3730" s="356" t="s">
        <v>3498</v>
      </c>
      <c r="I3730" s="355">
        <v>30</v>
      </c>
      <c r="J3730" s="674">
        <v>1</v>
      </c>
      <c r="K3730" s="544"/>
      <c r="L3730" s="544"/>
      <c r="M3730" s="544"/>
      <c r="N3730" s="544"/>
      <c r="O3730" s="544"/>
      <c r="P3730" s="544"/>
      <c r="R3730" s="544"/>
      <c r="S3730" s="544"/>
    </row>
    <row r="3731" spans="1:19" x14ac:dyDescent="0.25">
      <c r="A3731" t="s">
        <v>3317</v>
      </c>
      <c r="B3731" s="50" t="s">
        <v>3015</v>
      </c>
      <c r="C3731" s="51"/>
      <c r="D3731" s="352">
        <v>610000004447</v>
      </c>
      <c r="E3731" s="352"/>
      <c r="F3731" s="353" t="s">
        <v>5336</v>
      </c>
      <c r="G3731" s="61" t="s">
        <v>562</v>
      </c>
      <c r="H3731" s="61" t="s">
        <v>5337</v>
      </c>
      <c r="I3731" s="353">
        <v>90</v>
      </c>
      <c r="J3731" s="674">
        <v>1</v>
      </c>
      <c r="K3731" s="544"/>
      <c r="L3731" s="544"/>
      <c r="M3731" s="544"/>
      <c r="N3731" s="544"/>
      <c r="O3731" s="544"/>
      <c r="P3731" s="544"/>
      <c r="R3731" s="544" t="s">
        <v>3185</v>
      </c>
      <c r="S3731" s="544" t="s">
        <v>3342</v>
      </c>
    </row>
    <row r="3732" spans="1:19" x14ac:dyDescent="0.25">
      <c r="A3732" t="s">
        <v>3317</v>
      </c>
      <c r="B3732" s="50" t="s">
        <v>3015</v>
      </c>
      <c r="C3732" s="51"/>
      <c r="D3732" s="343">
        <v>610000004448</v>
      </c>
      <c r="E3732" s="343"/>
      <c r="F3732" s="344" t="s">
        <v>5338</v>
      </c>
      <c r="G3732" s="345" t="s">
        <v>51</v>
      </c>
      <c r="H3732" s="345" t="s">
        <v>3500</v>
      </c>
      <c r="I3732" s="344">
        <v>180</v>
      </c>
      <c r="J3732" s="674">
        <v>1</v>
      </c>
      <c r="K3732" s="544"/>
      <c r="L3732" s="544"/>
      <c r="M3732" s="544"/>
      <c r="N3732" s="544"/>
      <c r="O3732" s="544"/>
      <c r="P3732" s="544"/>
      <c r="R3732" s="544" t="s">
        <v>3501</v>
      </c>
      <c r="S3732" s="544" t="s">
        <v>3502</v>
      </c>
    </row>
    <row r="3733" spans="1:19" x14ac:dyDescent="0.25">
      <c r="A3733" t="s">
        <v>3317</v>
      </c>
      <c r="B3733" s="50" t="s">
        <v>3015</v>
      </c>
      <c r="C3733" s="51"/>
      <c r="D3733" s="349">
        <v>610000004448</v>
      </c>
      <c r="E3733" s="349"/>
      <c r="F3733" s="350" t="s">
        <v>5338</v>
      </c>
      <c r="G3733" s="351" t="s">
        <v>53</v>
      </c>
      <c r="H3733" s="351" t="s">
        <v>3503</v>
      </c>
      <c r="I3733" s="350">
        <v>180</v>
      </c>
      <c r="J3733" s="674"/>
      <c r="K3733" s="544"/>
      <c r="L3733" s="544"/>
      <c r="M3733" s="544"/>
      <c r="N3733" s="544"/>
      <c r="O3733" s="544"/>
      <c r="P3733" s="544"/>
      <c r="R3733" s="544" t="s">
        <v>3501</v>
      </c>
      <c r="S3733" s="544" t="s">
        <v>3502</v>
      </c>
    </row>
    <row r="3734" spans="1:19" x14ac:dyDescent="0.25">
      <c r="A3734" t="s">
        <v>3317</v>
      </c>
      <c r="B3734" s="50" t="s">
        <v>3015</v>
      </c>
      <c r="C3734" s="51"/>
      <c r="D3734" s="352">
        <v>344487</v>
      </c>
      <c r="E3734" s="352"/>
      <c r="F3734" s="353" t="s">
        <v>5339</v>
      </c>
      <c r="G3734" s="61" t="s">
        <v>562</v>
      </c>
      <c r="H3734" s="61" t="s">
        <v>3188</v>
      </c>
      <c r="I3734" s="353">
        <v>180</v>
      </c>
      <c r="J3734" s="674">
        <v>1</v>
      </c>
      <c r="K3734" s="544"/>
      <c r="L3734" s="544"/>
      <c r="M3734" s="544"/>
      <c r="N3734" s="544"/>
      <c r="O3734" s="544"/>
      <c r="P3734" s="544"/>
      <c r="R3734" s="544"/>
      <c r="S3734" s="544"/>
    </row>
    <row r="3735" spans="1:19" x14ac:dyDescent="0.25">
      <c r="A3735" t="s">
        <v>3317</v>
      </c>
      <c r="B3735" s="50" t="s">
        <v>3015</v>
      </c>
      <c r="C3735" s="51"/>
      <c r="D3735" s="352">
        <v>342107</v>
      </c>
      <c r="E3735" s="352"/>
      <c r="F3735" s="353" t="s">
        <v>5340</v>
      </c>
      <c r="G3735" s="61" t="s">
        <v>562</v>
      </c>
      <c r="H3735" s="61" t="s">
        <v>3190</v>
      </c>
      <c r="I3735" s="353">
        <v>180</v>
      </c>
      <c r="J3735" s="674"/>
      <c r="K3735" s="544"/>
      <c r="L3735" s="544"/>
      <c r="M3735" s="544"/>
      <c r="N3735" s="544"/>
      <c r="O3735" s="544"/>
      <c r="P3735" s="544"/>
      <c r="R3735" s="544"/>
      <c r="S3735" s="544"/>
    </row>
    <row r="3736" spans="1:19" x14ac:dyDescent="0.25">
      <c r="A3736" t="s">
        <v>3317</v>
      </c>
      <c r="B3736" s="50" t="s">
        <v>3015</v>
      </c>
      <c r="C3736" s="51"/>
      <c r="D3736" s="343">
        <v>610000004450</v>
      </c>
      <c r="E3736" s="343"/>
      <c r="F3736" s="344" t="s">
        <v>5341</v>
      </c>
      <c r="G3736" s="345" t="s">
        <v>3020</v>
      </c>
      <c r="H3736" s="345" t="s">
        <v>3505</v>
      </c>
      <c r="I3736" s="344">
        <v>365</v>
      </c>
      <c r="J3736" s="674">
        <v>1</v>
      </c>
      <c r="K3736" s="544"/>
      <c r="L3736" s="544"/>
      <c r="M3736" s="544"/>
      <c r="N3736" s="544"/>
      <c r="O3736" s="544"/>
      <c r="P3736" s="544"/>
      <c r="R3736" s="544" t="s">
        <v>3251</v>
      </c>
      <c r="S3736" s="544" t="s">
        <v>3984</v>
      </c>
    </row>
    <row r="3737" spans="1:19" x14ac:dyDescent="0.25">
      <c r="A3737" t="s">
        <v>3317</v>
      </c>
      <c r="B3737" s="50" t="s">
        <v>3015</v>
      </c>
      <c r="C3737" s="51"/>
      <c r="D3737" s="346">
        <v>610000004450</v>
      </c>
      <c r="E3737" s="346"/>
      <c r="F3737" s="347" t="s">
        <v>5341</v>
      </c>
      <c r="G3737" s="348" t="s">
        <v>3021</v>
      </c>
      <c r="H3737" s="348" t="s">
        <v>3506</v>
      </c>
      <c r="I3737" s="347">
        <v>365</v>
      </c>
      <c r="J3737" s="674"/>
      <c r="K3737" s="544"/>
      <c r="L3737" s="544"/>
      <c r="M3737" s="544"/>
      <c r="N3737" s="544"/>
      <c r="O3737" s="544"/>
      <c r="P3737" s="544"/>
      <c r="R3737" s="544" t="s">
        <v>3251</v>
      </c>
      <c r="S3737" s="544" t="s">
        <v>3984</v>
      </c>
    </row>
    <row r="3738" spans="1:19" x14ac:dyDescent="0.25">
      <c r="A3738" t="s">
        <v>3317</v>
      </c>
      <c r="B3738" s="50" t="s">
        <v>3015</v>
      </c>
      <c r="C3738" s="51"/>
      <c r="D3738" s="346">
        <v>610000004450</v>
      </c>
      <c r="E3738" s="346"/>
      <c r="F3738" s="347" t="s">
        <v>5341</v>
      </c>
      <c r="G3738" s="348" t="s">
        <v>3022</v>
      </c>
      <c r="H3738" s="348" t="s">
        <v>3507</v>
      </c>
      <c r="I3738" s="347">
        <v>365</v>
      </c>
      <c r="J3738" s="674"/>
      <c r="K3738" s="544"/>
      <c r="L3738" s="544"/>
      <c r="M3738" s="544"/>
      <c r="N3738" s="544"/>
      <c r="O3738" s="544"/>
      <c r="P3738" s="544"/>
      <c r="R3738" s="544" t="s">
        <v>3251</v>
      </c>
      <c r="S3738" s="544" t="s">
        <v>3984</v>
      </c>
    </row>
    <row r="3739" spans="1:19" x14ac:dyDescent="0.25">
      <c r="A3739" t="s">
        <v>3317</v>
      </c>
      <c r="B3739" s="50" t="s">
        <v>3015</v>
      </c>
      <c r="C3739" s="51"/>
      <c r="D3739" s="346">
        <v>610000004450</v>
      </c>
      <c r="E3739" s="346"/>
      <c r="F3739" s="347" t="s">
        <v>5341</v>
      </c>
      <c r="G3739" s="348" t="s">
        <v>3023</v>
      </c>
      <c r="H3739" s="348" t="s">
        <v>3508</v>
      </c>
      <c r="I3739" s="347">
        <v>365</v>
      </c>
      <c r="J3739" s="674"/>
      <c r="K3739" s="544"/>
      <c r="L3739" s="544"/>
      <c r="M3739" s="544"/>
      <c r="N3739" s="544"/>
      <c r="O3739" s="544"/>
      <c r="P3739" s="544"/>
      <c r="R3739" s="544" t="s">
        <v>3251</v>
      </c>
      <c r="S3739" s="544" t="s">
        <v>3984</v>
      </c>
    </row>
    <row r="3740" spans="1:19" x14ac:dyDescent="0.25">
      <c r="A3740" t="s">
        <v>3317</v>
      </c>
      <c r="B3740" s="50" t="s">
        <v>3015</v>
      </c>
      <c r="C3740" s="51"/>
      <c r="D3740" s="346">
        <v>610000004450</v>
      </c>
      <c r="E3740" s="346"/>
      <c r="F3740" s="347" t="s">
        <v>5341</v>
      </c>
      <c r="G3740" s="348" t="s">
        <v>3025</v>
      </c>
      <c r="H3740" s="348" t="s">
        <v>3509</v>
      </c>
      <c r="I3740" s="347">
        <v>365</v>
      </c>
      <c r="J3740" s="674"/>
      <c r="K3740" s="544"/>
      <c r="L3740" s="544"/>
      <c r="M3740" s="544"/>
      <c r="N3740" s="544"/>
      <c r="O3740" s="544"/>
      <c r="P3740" s="544"/>
      <c r="R3740" s="544" t="s">
        <v>3251</v>
      </c>
      <c r="S3740" s="544" t="s">
        <v>3984</v>
      </c>
    </row>
    <row r="3741" spans="1:19" ht="15.75" thickBot="1" x14ac:dyDescent="0.3">
      <c r="A3741" t="s">
        <v>3317</v>
      </c>
      <c r="B3741" s="50" t="s">
        <v>3015</v>
      </c>
      <c r="C3741" s="214"/>
      <c r="D3741" s="466">
        <v>610000004450</v>
      </c>
      <c r="E3741" s="466"/>
      <c r="F3741" s="467" t="s">
        <v>5341</v>
      </c>
      <c r="G3741" s="468" t="s">
        <v>3027</v>
      </c>
      <c r="H3741" s="468" t="s">
        <v>3510</v>
      </c>
      <c r="I3741" s="467">
        <v>365</v>
      </c>
      <c r="J3741" s="674"/>
      <c r="K3741" s="544"/>
      <c r="L3741" s="544"/>
      <c r="M3741" s="544"/>
      <c r="N3741" s="544"/>
      <c r="O3741" s="544"/>
      <c r="P3741" s="544"/>
      <c r="R3741" s="544" t="s">
        <v>3251</v>
      </c>
      <c r="S3741" s="544" t="s">
        <v>3984</v>
      </c>
    </row>
    <row r="3742" spans="1:19" x14ac:dyDescent="0.25">
      <c r="A3742" t="s">
        <v>3317</v>
      </c>
      <c r="B3742" s="50" t="s">
        <v>3050</v>
      </c>
      <c r="C3742" s="51"/>
      <c r="D3742" s="428">
        <v>610000004451</v>
      </c>
      <c r="E3742" s="428"/>
      <c r="F3742" s="430" t="s">
        <v>5342</v>
      </c>
      <c r="G3742" s="429" t="s">
        <v>61</v>
      </c>
      <c r="H3742" s="429" t="s">
        <v>3515</v>
      </c>
      <c r="I3742" s="430">
        <v>15</v>
      </c>
      <c r="J3742" s="674">
        <v>1</v>
      </c>
      <c r="K3742" s="544"/>
      <c r="L3742" s="544"/>
      <c r="M3742" s="544"/>
      <c r="N3742" s="544"/>
      <c r="O3742" s="544"/>
      <c r="P3742" s="544"/>
      <c r="R3742" s="544"/>
      <c r="S3742" s="544"/>
    </row>
    <row r="3743" spans="1:19" x14ac:dyDescent="0.25">
      <c r="A3743" t="s">
        <v>3317</v>
      </c>
      <c r="B3743" s="50" t="s">
        <v>3050</v>
      </c>
      <c r="C3743" s="51"/>
      <c r="D3743" s="343">
        <v>610000004452</v>
      </c>
      <c r="E3743" s="343"/>
      <c r="F3743" s="344" t="s">
        <v>5343</v>
      </c>
      <c r="G3743" s="345" t="s">
        <v>68</v>
      </c>
      <c r="H3743" s="345" t="s">
        <v>3517</v>
      </c>
      <c r="I3743" s="344">
        <v>15</v>
      </c>
      <c r="J3743" s="674"/>
      <c r="K3743" s="544"/>
      <c r="L3743" s="544"/>
      <c r="M3743" s="544"/>
      <c r="N3743" s="544"/>
      <c r="O3743" s="544"/>
      <c r="P3743" s="544"/>
      <c r="R3743" s="544"/>
      <c r="S3743" s="544"/>
    </row>
    <row r="3744" spans="1:19" x14ac:dyDescent="0.25">
      <c r="A3744" t="s">
        <v>3317</v>
      </c>
      <c r="B3744" s="50" t="s">
        <v>3050</v>
      </c>
      <c r="C3744" s="51"/>
      <c r="D3744" s="349">
        <v>610000004452</v>
      </c>
      <c r="E3744" s="349"/>
      <c r="F3744" s="350" t="s">
        <v>5343</v>
      </c>
      <c r="G3744" s="351" t="s">
        <v>63</v>
      </c>
      <c r="H3744" s="351" t="s">
        <v>3518</v>
      </c>
      <c r="I3744" s="350">
        <v>15</v>
      </c>
      <c r="J3744" s="674"/>
      <c r="K3744" s="544"/>
      <c r="L3744" s="544"/>
      <c r="M3744" s="544"/>
      <c r="N3744" s="544"/>
      <c r="O3744" s="544"/>
      <c r="P3744" s="544"/>
      <c r="R3744" s="544" t="s">
        <v>3519</v>
      </c>
      <c r="S3744" s="544"/>
    </row>
    <row r="3745" spans="1:19" x14ac:dyDescent="0.25">
      <c r="A3745" t="s">
        <v>3317</v>
      </c>
      <c r="B3745" s="50" t="s">
        <v>3050</v>
      </c>
      <c r="C3745" s="51"/>
      <c r="D3745" s="352">
        <v>610000004453</v>
      </c>
      <c r="E3745" s="352"/>
      <c r="F3745" s="353" t="s">
        <v>5344</v>
      </c>
      <c r="G3745" s="61" t="s">
        <v>68</v>
      </c>
      <c r="H3745" s="61" t="s">
        <v>5345</v>
      </c>
      <c r="I3745" s="353">
        <v>15</v>
      </c>
      <c r="J3745" s="674"/>
      <c r="K3745" s="544"/>
      <c r="L3745" s="544"/>
      <c r="M3745" s="544"/>
      <c r="N3745" s="544"/>
      <c r="O3745" s="544"/>
      <c r="P3745" s="544"/>
      <c r="R3745" s="544" t="s">
        <v>3281</v>
      </c>
      <c r="S3745" s="544"/>
    </row>
    <row r="3746" spans="1:19" x14ac:dyDescent="0.25">
      <c r="A3746" t="s">
        <v>3317</v>
      </c>
      <c r="B3746" s="50" t="s">
        <v>3050</v>
      </c>
      <c r="C3746" s="51"/>
      <c r="D3746" s="423">
        <v>610000004454</v>
      </c>
      <c r="E3746" s="423"/>
      <c r="F3746" s="434" t="s">
        <v>5346</v>
      </c>
      <c r="G3746" s="433" t="s">
        <v>57</v>
      </c>
      <c r="H3746" s="433" t="s">
        <v>5347</v>
      </c>
      <c r="I3746" s="434">
        <v>30</v>
      </c>
      <c r="J3746" s="674"/>
      <c r="K3746" s="544"/>
      <c r="L3746" s="544"/>
      <c r="M3746" s="544"/>
      <c r="N3746" s="544"/>
      <c r="O3746" s="544"/>
      <c r="P3746" s="544"/>
      <c r="R3746" s="544" t="s">
        <v>3522</v>
      </c>
      <c r="S3746" s="544" t="s">
        <v>3523</v>
      </c>
    </row>
    <row r="3747" spans="1:19" x14ac:dyDescent="0.25">
      <c r="A3747" t="s">
        <v>3317</v>
      </c>
      <c r="B3747" s="50" t="s">
        <v>3050</v>
      </c>
      <c r="C3747" s="51"/>
      <c r="D3747" s="423">
        <v>610000004455</v>
      </c>
      <c r="E3747" s="423"/>
      <c r="F3747" s="434" t="s">
        <v>5348</v>
      </c>
      <c r="G3747" s="433" t="s">
        <v>57</v>
      </c>
      <c r="H3747" s="433" t="s">
        <v>3525</v>
      </c>
      <c r="I3747" s="434">
        <v>30</v>
      </c>
      <c r="J3747" s="674"/>
      <c r="K3747" s="544"/>
      <c r="L3747" s="544"/>
      <c r="M3747" s="544"/>
      <c r="N3747" s="544"/>
      <c r="O3747" s="544"/>
      <c r="P3747" s="544"/>
      <c r="R3747" s="544"/>
      <c r="S3747" s="544"/>
    </row>
    <row r="3748" spans="1:19" x14ac:dyDescent="0.25">
      <c r="A3748" t="s">
        <v>3317</v>
      </c>
      <c r="B3748" s="50" t="s">
        <v>3050</v>
      </c>
      <c r="C3748" s="51"/>
      <c r="D3748" s="349">
        <v>610000004456</v>
      </c>
      <c r="E3748" s="349"/>
      <c r="F3748" s="350" t="s">
        <v>5349</v>
      </c>
      <c r="G3748" s="351" t="s">
        <v>57</v>
      </c>
      <c r="H3748" s="433" t="s">
        <v>3527</v>
      </c>
      <c r="I3748" s="434">
        <v>30</v>
      </c>
      <c r="J3748" s="674"/>
      <c r="K3748" s="544"/>
      <c r="L3748" s="544"/>
      <c r="M3748" s="544"/>
      <c r="N3748" s="544"/>
      <c r="O3748" s="544"/>
      <c r="P3748" s="544"/>
      <c r="R3748" s="544" t="s">
        <v>5350</v>
      </c>
      <c r="S3748" s="544"/>
    </row>
    <row r="3749" spans="1:19" x14ac:dyDescent="0.25">
      <c r="A3749" t="s">
        <v>3317</v>
      </c>
      <c r="B3749" s="50" t="s">
        <v>3050</v>
      </c>
      <c r="C3749" s="51"/>
      <c r="D3749" s="423">
        <v>610000004457</v>
      </c>
      <c r="E3749" s="423"/>
      <c r="F3749" s="434" t="s">
        <v>5351</v>
      </c>
      <c r="G3749" s="433" t="s">
        <v>63</v>
      </c>
      <c r="H3749" s="433" t="s">
        <v>3529</v>
      </c>
      <c r="I3749" s="434">
        <v>180</v>
      </c>
      <c r="J3749" s="674">
        <v>1</v>
      </c>
      <c r="K3749" s="544"/>
      <c r="L3749" s="544"/>
      <c r="M3749" s="544"/>
      <c r="N3749" s="544"/>
      <c r="O3749" s="544"/>
      <c r="P3749" s="544"/>
      <c r="R3749" s="544" t="s">
        <v>3530</v>
      </c>
      <c r="S3749" s="544" t="s">
        <v>3531</v>
      </c>
    </row>
    <row r="3750" spans="1:19" x14ac:dyDescent="0.25">
      <c r="A3750" t="s">
        <v>3317</v>
      </c>
      <c r="B3750" s="50" t="s">
        <v>3050</v>
      </c>
      <c r="C3750" s="51"/>
      <c r="D3750" s="352">
        <v>343322</v>
      </c>
      <c r="E3750" s="352"/>
      <c r="F3750" s="353" t="s">
        <v>5352</v>
      </c>
      <c r="G3750" s="61" t="s">
        <v>57</v>
      </c>
      <c r="H3750" s="61" t="s">
        <v>5353</v>
      </c>
      <c r="I3750" s="353">
        <v>180</v>
      </c>
      <c r="J3750" s="674">
        <v>1</v>
      </c>
      <c r="K3750" s="544"/>
      <c r="L3750" s="544"/>
      <c r="M3750" s="544"/>
      <c r="N3750" s="544"/>
      <c r="O3750" s="544"/>
      <c r="P3750" s="544"/>
      <c r="R3750" s="544" t="s">
        <v>3522</v>
      </c>
      <c r="S3750" s="544" t="s">
        <v>3523</v>
      </c>
    </row>
    <row r="3751" spans="1:19" x14ac:dyDescent="0.25">
      <c r="A3751" t="s">
        <v>3317</v>
      </c>
      <c r="B3751" s="50" t="s">
        <v>3050</v>
      </c>
      <c r="C3751" s="51"/>
      <c r="D3751" s="352">
        <v>610000004458</v>
      </c>
      <c r="E3751" s="352"/>
      <c r="F3751" s="353" t="s">
        <v>5354</v>
      </c>
      <c r="G3751" s="61" t="s">
        <v>57</v>
      </c>
      <c r="H3751" s="61" t="s">
        <v>5355</v>
      </c>
      <c r="I3751" s="353">
        <v>365</v>
      </c>
      <c r="J3751" s="674">
        <v>1</v>
      </c>
      <c r="K3751" s="544"/>
      <c r="L3751" s="544"/>
      <c r="M3751" s="544"/>
      <c r="N3751" s="544"/>
      <c r="O3751" s="544"/>
      <c r="P3751" s="544"/>
      <c r="R3751" s="544"/>
      <c r="S3751" s="544"/>
    </row>
    <row r="3752" spans="1:19" x14ac:dyDescent="0.25">
      <c r="A3752" t="s">
        <v>3317</v>
      </c>
      <c r="B3752" s="50" t="s">
        <v>3050</v>
      </c>
      <c r="C3752" s="51"/>
      <c r="D3752" s="417">
        <v>352897</v>
      </c>
      <c r="E3752" s="417"/>
      <c r="F3752" s="421" t="s">
        <v>5356</v>
      </c>
      <c r="G3752" s="420" t="s">
        <v>57</v>
      </c>
      <c r="H3752" s="420" t="s">
        <v>5357</v>
      </c>
      <c r="I3752" s="421">
        <v>365</v>
      </c>
      <c r="J3752" s="674">
        <v>1</v>
      </c>
      <c r="K3752" s="544"/>
      <c r="L3752" s="544"/>
      <c r="M3752" s="544"/>
      <c r="N3752" s="544"/>
      <c r="O3752" s="544"/>
      <c r="P3752" s="544"/>
      <c r="R3752" s="544" t="s">
        <v>5358</v>
      </c>
      <c r="S3752" s="544"/>
    </row>
    <row r="3753" spans="1:19" ht="15.75" thickBot="1" x14ac:dyDescent="0.3">
      <c r="A3753" t="s">
        <v>3317</v>
      </c>
      <c r="B3753" s="50" t="s">
        <v>3050</v>
      </c>
      <c r="C3753" s="214"/>
      <c r="D3753" s="466">
        <v>352897</v>
      </c>
      <c r="E3753" s="466"/>
      <c r="F3753" s="467" t="s">
        <v>5356</v>
      </c>
      <c r="G3753" s="468" t="s">
        <v>57</v>
      </c>
      <c r="H3753" s="468" t="s">
        <v>5359</v>
      </c>
      <c r="I3753" s="467">
        <v>365</v>
      </c>
      <c r="J3753" s="685"/>
      <c r="K3753" s="544"/>
      <c r="L3753" s="544"/>
      <c r="M3753" s="544"/>
      <c r="N3753" s="544"/>
      <c r="O3753" s="544"/>
      <c r="P3753" s="544"/>
      <c r="R3753" s="544" t="s">
        <v>5360</v>
      </c>
      <c r="S3753" s="544" t="s">
        <v>5361</v>
      </c>
    </row>
    <row r="3754" spans="1:19" x14ac:dyDescent="0.25">
      <c r="A3754" t="s">
        <v>3317</v>
      </c>
      <c r="B3754" s="50" t="s">
        <v>3063</v>
      </c>
      <c r="C3754" s="51"/>
      <c r="D3754" s="343">
        <v>610000004459</v>
      </c>
      <c r="E3754" s="343"/>
      <c r="F3754" s="344" t="s">
        <v>5362</v>
      </c>
      <c r="G3754" s="345" t="s">
        <v>135</v>
      </c>
      <c r="H3754" s="345" t="s">
        <v>3533</v>
      </c>
      <c r="I3754" s="344">
        <v>15</v>
      </c>
      <c r="J3754" s="674"/>
      <c r="K3754" s="544"/>
      <c r="L3754" s="544"/>
      <c r="M3754" s="544"/>
      <c r="N3754" s="544"/>
      <c r="O3754" s="544"/>
      <c r="P3754" s="544"/>
      <c r="R3754" s="544"/>
      <c r="S3754" s="544"/>
    </row>
    <row r="3755" spans="1:19" x14ac:dyDescent="0.25">
      <c r="A3755" t="s">
        <v>3317</v>
      </c>
      <c r="B3755" s="50" t="s">
        <v>3063</v>
      </c>
      <c r="C3755" s="51"/>
      <c r="D3755" s="346">
        <v>610000004459</v>
      </c>
      <c r="E3755" s="346"/>
      <c r="F3755" s="347" t="s">
        <v>5362</v>
      </c>
      <c r="G3755" s="348" t="s">
        <v>3066</v>
      </c>
      <c r="H3755" s="348" t="s">
        <v>3542</v>
      </c>
      <c r="I3755" s="347">
        <v>15</v>
      </c>
      <c r="J3755" s="674"/>
      <c r="K3755" s="544"/>
      <c r="L3755" s="544"/>
      <c r="M3755" s="544"/>
      <c r="N3755" s="544"/>
      <c r="O3755" s="544"/>
      <c r="P3755" s="544"/>
      <c r="R3755" s="544"/>
      <c r="S3755" s="544"/>
    </row>
    <row r="3756" spans="1:19" x14ac:dyDescent="0.25">
      <c r="A3756" t="s">
        <v>3317</v>
      </c>
      <c r="B3756" s="50" t="s">
        <v>3063</v>
      </c>
      <c r="C3756" s="51"/>
      <c r="D3756" s="346">
        <v>610000004459</v>
      </c>
      <c r="E3756" s="346"/>
      <c r="F3756" s="347" t="s">
        <v>5362</v>
      </c>
      <c r="G3756" s="348" t="s">
        <v>2619</v>
      </c>
      <c r="H3756" s="348" t="s">
        <v>5363</v>
      </c>
      <c r="I3756" s="347">
        <v>15</v>
      </c>
      <c r="J3756" s="674"/>
      <c r="K3756" s="544"/>
      <c r="L3756" s="544"/>
      <c r="M3756" s="544"/>
      <c r="N3756" s="544"/>
      <c r="O3756" s="544"/>
      <c r="P3756" s="544"/>
      <c r="R3756" s="544"/>
      <c r="S3756" s="544"/>
    </row>
    <row r="3757" spans="1:19" x14ac:dyDescent="0.25">
      <c r="A3757" t="s">
        <v>3317</v>
      </c>
      <c r="B3757" s="50" t="s">
        <v>3063</v>
      </c>
      <c r="C3757" s="51"/>
      <c r="D3757" s="346">
        <v>610000004459</v>
      </c>
      <c r="E3757" s="346"/>
      <c r="F3757" s="347" t="s">
        <v>5362</v>
      </c>
      <c r="G3757" s="348" t="s">
        <v>5364</v>
      </c>
      <c r="H3757" s="348" t="s">
        <v>5365</v>
      </c>
      <c r="I3757" s="347">
        <v>15</v>
      </c>
      <c r="J3757" s="674"/>
      <c r="K3757" s="544"/>
      <c r="L3757" s="544"/>
      <c r="M3757" s="544"/>
      <c r="N3757" s="544"/>
      <c r="O3757" s="544"/>
      <c r="P3757" s="544"/>
      <c r="R3757" s="544"/>
      <c r="S3757" s="544"/>
    </row>
    <row r="3758" spans="1:19" x14ac:dyDescent="0.25">
      <c r="A3758" t="s">
        <v>3317</v>
      </c>
      <c r="B3758" s="50" t="s">
        <v>3063</v>
      </c>
      <c r="C3758" s="51"/>
      <c r="D3758" s="349">
        <v>610000004459</v>
      </c>
      <c r="E3758" s="349"/>
      <c r="F3758" s="350" t="s">
        <v>5362</v>
      </c>
      <c r="G3758" s="351" t="s">
        <v>3535</v>
      </c>
      <c r="H3758" s="351" t="s">
        <v>3536</v>
      </c>
      <c r="I3758" s="350">
        <v>15</v>
      </c>
      <c r="J3758" s="674"/>
      <c r="K3758" s="544"/>
      <c r="L3758" s="544"/>
      <c r="M3758" s="544"/>
      <c r="N3758" s="544"/>
      <c r="O3758" s="544"/>
      <c r="P3758" s="544"/>
      <c r="R3758" s="544"/>
      <c r="S3758" s="544"/>
    </row>
    <row r="3759" spans="1:19" x14ac:dyDescent="0.25">
      <c r="A3759" t="s">
        <v>3317</v>
      </c>
      <c r="B3759" s="50" t="s">
        <v>3063</v>
      </c>
      <c r="C3759" s="51"/>
      <c r="D3759" s="349">
        <v>610000004460</v>
      </c>
      <c r="E3759" s="349"/>
      <c r="F3759" s="350" t="s">
        <v>5366</v>
      </c>
      <c r="G3759" s="351" t="s">
        <v>5367</v>
      </c>
      <c r="H3759" s="351" t="s">
        <v>5368</v>
      </c>
      <c r="I3759" s="350">
        <v>15</v>
      </c>
      <c r="J3759" s="674"/>
      <c r="K3759" s="544"/>
      <c r="L3759" s="544"/>
      <c r="M3759" s="544"/>
      <c r="N3759" s="544"/>
      <c r="O3759" s="544"/>
      <c r="P3759" s="544"/>
      <c r="R3759" s="544" t="s">
        <v>3159</v>
      </c>
      <c r="S3759" s="544"/>
    </row>
    <row r="3760" spans="1:19" x14ac:dyDescent="0.25">
      <c r="A3760" t="s">
        <v>3317</v>
      </c>
      <c r="B3760" s="50" t="s">
        <v>3063</v>
      </c>
      <c r="C3760" s="51"/>
      <c r="D3760" s="343">
        <v>610000004461</v>
      </c>
      <c r="E3760" s="343"/>
      <c r="F3760" s="344" t="s">
        <v>5369</v>
      </c>
      <c r="G3760" s="345" t="s">
        <v>3535</v>
      </c>
      <c r="H3760" s="345" t="s">
        <v>3566</v>
      </c>
      <c r="I3760" s="344">
        <v>30</v>
      </c>
      <c r="J3760" s="674"/>
      <c r="K3760" s="544"/>
      <c r="L3760" s="544"/>
      <c r="M3760" s="544"/>
      <c r="N3760" s="544"/>
      <c r="O3760" s="544"/>
      <c r="P3760" s="544"/>
      <c r="R3760" s="544"/>
      <c r="S3760" s="544"/>
    </row>
    <row r="3761" spans="1:19" x14ac:dyDescent="0.25">
      <c r="A3761" t="s">
        <v>3317</v>
      </c>
      <c r="B3761" s="50" t="s">
        <v>3063</v>
      </c>
      <c r="C3761" s="51"/>
      <c r="D3761" s="346">
        <v>610000004461</v>
      </c>
      <c r="E3761" s="346"/>
      <c r="F3761" s="347" t="s">
        <v>5369</v>
      </c>
      <c r="G3761" s="348" t="s">
        <v>3558</v>
      </c>
      <c r="H3761" s="348" t="s">
        <v>5370</v>
      </c>
      <c r="I3761" s="347">
        <v>30</v>
      </c>
      <c r="J3761" s="674"/>
      <c r="K3761" s="544"/>
      <c r="L3761" s="544"/>
      <c r="M3761" s="544"/>
      <c r="N3761" s="544"/>
      <c r="O3761" s="544"/>
      <c r="P3761" s="544"/>
      <c r="R3761" s="544"/>
      <c r="S3761" s="544"/>
    </row>
    <row r="3762" spans="1:19" x14ac:dyDescent="0.25">
      <c r="A3762" t="s">
        <v>3317</v>
      </c>
      <c r="B3762" s="50" t="s">
        <v>3063</v>
      </c>
      <c r="C3762" s="51"/>
      <c r="D3762" s="346">
        <v>610000004461</v>
      </c>
      <c r="E3762" s="346"/>
      <c r="F3762" s="347" t="s">
        <v>5369</v>
      </c>
      <c r="G3762" s="348" t="s">
        <v>3558</v>
      </c>
      <c r="H3762" s="348" t="s">
        <v>3559</v>
      </c>
      <c r="I3762" s="347">
        <v>30</v>
      </c>
      <c r="J3762" s="674"/>
      <c r="K3762" s="544"/>
      <c r="L3762" s="544"/>
      <c r="M3762" s="544"/>
      <c r="N3762" s="544"/>
      <c r="O3762" s="544"/>
      <c r="P3762" s="544"/>
      <c r="R3762" s="544"/>
      <c r="S3762" s="544"/>
    </row>
    <row r="3763" spans="1:19" x14ac:dyDescent="0.25">
      <c r="A3763" t="s">
        <v>3317</v>
      </c>
      <c r="B3763" s="50" t="s">
        <v>3063</v>
      </c>
      <c r="C3763" s="51"/>
      <c r="D3763" s="346">
        <v>610000004461</v>
      </c>
      <c r="E3763" s="346"/>
      <c r="F3763" s="347" t="s">
        <v>5369</v>
      </c>
      <c r="G3763" s="348" t="s">
        <v>3558</v>
      </c>
      <c r="H3763" s="348" t="s">
        <v>3560</v>
      </c>
      <c r="I3763" s="347">
        <v>30</v>
      </c>
      <c r="J3763" s="674"/>
      <c r="K3763" s="544"/>
      <c r="L3763" s="544"/>
      <c r="M3763" s="544"/>
      <c r="N3763" s="544"/>
      <c r="O3763" s="544"/>
      <c r="P3763" s="544"/>
      <c r="R3763" s="544"/>
      <c r="S3763" s="544"/>
    </row>
    <row r="3764" spans="1:19" x14ac:dyDescent="0.25">
      <c r="A3764" t="s">
        <v>3317</v>
      </c>
      <c r="B3764" s="50" t="s">
        <v>3063</v>
      </c>
      <c r="C3764" s="51"/>
      <c r="D3764" s="346">
        <v>610000004461</v>
      </c>
      <c r="E3764" s="346"/>
      <c r="F3764" s="347" t="s">
        <v>5369</v>
      </c>
      <c r="G3764" s="348" t="s">
        <v>3558</v>
      </c>
      <c r="H3764" s="348" t="s">
        <v>3561</v>
      </c>
      <c r="I3764" s="347">
        <v>30</v>
      </c>
      <c r="J3764" s="674"/>
      <c r="K3764" s="544"/>
      <c r="L3764" s="544"/>
      <c r="M3764" s="544"/>
      <c r="N3764" s="544"/>
      <c r="O3764" s="544"/>
      <c r="P3764" s="544"/>
      <c r="R3764" s="544"/>
      <c r="S3764" s="544"/>
    </row>
    <row r="3765" spans="1:19" x14ac:dyDescent="0.25">
      <c r="A3765" t="s">
        <v>3317</v>
      </c>
      <c r="B3765" s="50" t="s">
        <v>3063</v>
      </c>
      <c r="C3765" s="51"/>
      <c r="D3765" s="346">
        <v>610000004461</v>
      </c>
      <c r="E3765" s="346"/>
      <c r="F3765" s="347" t="s">
        <v>5369</v>
      </c>
      <c r="G3765" s="348" t="s">
        <v>3558</v>
      </c>
      <c r="H3765" s="348" t="s">
        <v>3562</v>
      </c>
      <c r="I3765" s="347">
        <v>30</v>
      </c>
      <c r="J3765" s="674"/>
      <c r="K3765" s="544"/>
      <c r="L3765" s="544"/>
      <c r="M3765" s="544"/>
      <c r="N3765" s="544"/>
      <c r="O3765" s="544"/>
      <c r="P3765" s="544"/>
      <c r="R3765" s="544"/>
      <c r="S3765" s="544"/>
    </row>
    <row r="3766" spans="1:19" x14ac:dyDescent="0.25">
      <c r="A3766" t="s">
        <v>3317</v>
      </c>
      <c r="B3766" s="50" t="s">
        <v>3063</v>
      </c>
      <c r="C3766" s="51"/>
      <c r="D3766" s="346">
        <v>610000004461</v>
      </c>
      <c r="E3766" s="346"/>
      <c r="F3766" s="347" t="s">
        <v>5369</v>
      </c>
      <c r="G3766" s="348" t="s">
        <v>5367</v>
      </c>
      <c r="H3766" s="348" t="s">
        <v>5371</v>
      </c>
      <c r="I3766" s="347">
        <v>30</v>
      </c>
      <c r="J3766" s="674"/>
      <c r="K3766" s="544"/>
      <c r="L3766" s="544"/>
      <c r="M3766" s="544"/>
      <c r="N3766" s="544"/>
      <c r="O3766" s="544"/>
      <c r="P3766" s="544"/>
      <c r="R3766" s="544"/>
      <c r="S3766" s="544"/>
    </row>
    <row r="3767" spans="1:19" x14ac:dyDescent="0.25">
      <c r="A3767" t="s">
        <v>3317</v>
      </c>
      <c r="B3767" s="50" t="s">
        <v>3063</v>
      </c>
      <c r="C3767" s="51"/>
      <c r="D3767" s="346">
        <v>610000004461</v>
      </c>
      <c r="E3767" s="346"/>
      <c r="F3767" s="347" t="s">
        <v>5369</v>
      </c>
      <c r="G3767" s="348" t="s">
        <v>139</v>
      </c>
      <c r="H3767" s="348" t="s">
        <v>5372</v>
      </c>
      <c r="I3767" s="347">
        <v>30</v>
      </c>
      <c r="J3767" s="674"/>
      <c r="K3767" s="544"/>
      <c r="L3767" s="544"/>
      <c r="M3767" s="544"/>
      <c r="N3767" s="544"/>
      <c r="O3767" s="544"/>
      <c r="P3767" s="544"/>
      <c r="R3767" s="544"/>
      <c r="S3767" s="544"/>
    </row>
    <row r="3768" spans="1:19" x14ac:dyDescent="0.25">
      <c r="A3768" t="s">
        <v>3317</v>
      </c>
      <c r="B3768" s="50" t="s">
        <v>3063</v>
      </c>
      <c r="C3768" s="51"/>
      <c r="D3768" s="349">
        <v>610000004461</v>
      </c>
      <c r="E3768" s="349"/>
      <c r="F3768" s="350" t="s">
        <v>5369</v>
      </c>
      <c r="G3768" s="351" t="s">
        <v>260</v>
      </c>
      <c r="H3768" s="351" t="s">
        <v>5373</v>
      </c>
      <c r="I3768" s="350">
        <v>30</v>
      </c>
      <c r="J3768" s="674"/>
      <c r="K3768" s="544"/>
      <c r="L3768" s="544"/>
      <c r="M3768" s="544"/>
      <c r="N3768" s="544"/>
      <c r="O3768" s="544"/>
      <c r="P3768" s="544"/>
      <c r="R3768" s="544"/>
      <c r="S3768" s="544"/>
    </row>
    <row r="3769" spans="1:19" x14ac:dyDescent="0.25">
      <c r="A3769" t="s">
        <v>3317</v>
      </c>
      <c r="B3769" s="50" t="s">
        <v>3063</v>
      </c>
      <c r="C3769" s="51"/>
      <c r="D3769" s="346">
        <v>610000004462</v>
      </c>
      <c r="E3769" s="346"/>
      <c r="F3769" s="347" t="s">
        <v>5374</v>
      </c>
      <c r="G3769" s="348" t="s">
        <v>3558</v>
      </c>
      <c r="H3769" s="348" t="s">
        <v>3563</v>
      </c>
      <c r="I3769" s="347">
        <v>30</v>
      </c>
      <c r="J3769" s="674"/>
      <c r="K3769" s="544"/>
      <c r="L3769" s="544"/>
      <c r="M3769" s="544"/>
      <c r="N3769" s="544"/>
      <c r="O3769" s="544"/>
      <c r="P3769" s="544"/>
      <c r="R3769" s="544" t="s">
        <v>3330</v>
      </c>
      <c r="S3769" s="544"/>
    </row>
    <row r="3770" spans="1:19" x14ac:dyDescent="0.25">
      <c r="A3770" t="s">
        <v>3317</v>
      </c>
      <c r="B3770" s="50" t="s">
        <v>3063</v>
      </c>
      <c r="C3770" s="51"/>
      <c r="D3770" s="343">
        <v>610000004462</v>
      </c>
      <c r="E3770" s="343"/>
      <c r="F3770" s="344" t="s">
        <v>5374</v>
      </c>
      <c r="G3770" s="345" t="s">
        <v>139</v>
      </c>
      <c r="H3770" s="345" t="s">
        <v>5375</v>
      </c>
      <c r="I3770" s="344">
        <v>30</v>
      </c>
      <c r="J3770" s="674"/>
      <c r="K3770" s="544"/>
      <c r="L3770" s="544"/>
      <c r="M3770" s="544"/>
      <c r="N3770" s="544"/>
      <c r="O3770" s="544"/>
      <c r="P3770" s="544"/>
      <c r="R3770" s="683" t="s">
        <v>3159</v>
      </c>
      <c r="S3770" s="544"/>
    </row>
    <row r="3771" spans="1:19" x14ac:dyDescent="0.25">
      <c r="A3771" t="s">
        <v>3317</v>
      </c>
      <c r="B3771" s="50" t="s">
        <v>3063</v>
      </c>
      <c r="C3771" s="51"/>
      <c r="D3771" s="349">
        <v>610000004462</v>
      </c>
      <c r="E3771" s="349"/>
      <c r="F3771" s="350" t="s">
        <v>5374</v>
      </c>
      <c r="G3771" s="351" t="s">
        <v>260</v>
      </c>
      <c r="H3771" s="351" t="s">
        <v>5376</v>
      </c>
      <c r="I3771" s="350">
        <v>30</v>
      </c>
      <c r="J3771" s="674"/>
      <c r="K3771" s="544"/>
      <c r="L3771" s="544"/>
      <c r="M3771" s="544"/>
      <c r="N3771" s="544"/>
      <c r="O3771" s="544"/>
      <c r="P3771" s="544"/>
      <c r="R3771" s="683" t="s">
        <v>3159</v>
      </c>
      <c r="S3771" s="544"/>
    </row>
    <row r="3772" spans="1:19" x14ac:dyDescent="0.25">
      <c r="A3772" t="s">
        <v>3317</v>
      </c>
      <c r="B3772" s="50" t="s">
        <v>3063</v>
      </c>
      <c r="C3772" s="51"/>
      <c r="D3772" s="352">
        <v>610000004463</v>
      </c>
      <c r="E3772" s="352"/>
      <c r="F3772" s="353" t="s">
        <v>5377</v>
      </c>
      <c r="G3772" s="61" t="s">
        <v>128</v>
      </c>
      <c r="H3772" s="61" t="s">
        <v>5371</v>
      </c>
      <c r="I3772" s="353">
        <v>60</v>
      </c>
      <c r="J3772" s="674"/>
      <c r="K3772" s="544"/>
      <c r="L3772" s="544"/>
      <c r="M3772" s="544"/>
      <c r="N3772" s="544"/>
      <c r="O3772" s="544"/>
      <c r="P3772" s="544"/>
      <c r="R3772" s="544"/>
      <c r="S3772" s="544"/>
    </row>
    <row r="3773" spans="1:19" x14ac:dyDescent="0.25">
      <c r="A3773" t="s">
        <v>3317</v>
      </c>
      <c r="B3773" s="50" t="s">
        <v>3063</v>
      </c>
      <c r="C3773" s="51"/>
      <c r="D3773" s="417">
        <v>610000004464</v>
      </c>
      <c r="E3773" s="417"/>
      <c r="F3773" s="421" t="s">
        <v>5378</v>
      </c>
      <c r="G3773" s="420" t="s">
        <v>143</v>
      </c>
      <c r="H3773" s="420" t="s">
        <v>3568</v>
      </c>
      <c r="I3773" s="421">
        <v>60</v>
      </c>
      <c r="J3773" s="674"/>
      <c r="K3773" s="544"/>
      <c r="L3773" s="544"/>
      <c r="M3773" s="544"/>
      <c r="N3773" s="544"/>
      <c r="O3773" s="544"/>
      <c r="P3773" s="544"/>
      <c r="R3773" s="683" t="s">
        <v>3159</v>
      </c>
      <c r="S3773" s="544"/>
    </row>
    <row r="3774" spans="1:19" x14ac:dyDescent="0.25">
      <c r="A3774" t="s">
        <v>3317</v>
      </c>
      <c r="B3774" s="50" t="s">
        <v>3063</v>
      </c>
      <c r="C3774" s="51"/>
      <c r="D3774" s="346">
        <v>610000004464</v>
      </c>
      <c r="E3774" s="346"/>
      <c r="F3774" s="347" t="s">
        <v>5378</v>
      </c>
      <c r="G3774" s="348" t="s">
        <v>143</v>
      </c>
      <c r="H3774" s="348" t="s">
        <v>3569</v>
      </c>
      <c r="I3774" s="347">
        <v>60</v>
      </c>
      <c r="J3774" s="674"/>
      <c r="K3774" s="544"/>
      <c r="L3774" s="544"/>
      <c r="M3774" s="544"/>
      <c r="N3774" s="544"/>
      <c r="O3774" s="544"/>
      <c r="P3774" s="544"/>
      <c r="R3774" s="683" t="s">
        <v>3159</v>
      </c>
      <c r="S3774" s="544"/>
    </row>
    <row r="3775" spans="1:19" x14ac:dyDescent="0.25">
      <c r="A3775" t="s">
        <v>3317</v>
      </c>
      <c r="B3775" s="50" t="s">
        <v>3063</v>
      </c>
      <c r="C3775" s="51"/>
      <c r="D3775" s="346">
        <v>610000004464</v>
      </c>
      <c r="E3775" s="346"/>
      <c r="F3775" s="347" t="s">
        <v>5378</v>
      </c>
      <c r="G3775" s="348" t="s">
        <v>143</v>
      </c>
      <c r="H3775" s="348" t="s">
        <v>3570</v>
      </c>
      <c r="I3775" s="347">
        <v>60</v>
      </c>
      <c r="J3775" s="674"/>
      <c r="K3775" s="544"/>
      <c r="L3775" s="544"/>
      <c r="M3775" s="544"/>
      <c r="N3775" s="544"/>
      <c r="O3775" s="544"/>
      <c r="P3775" s="544"/>
      <c r="R3775" s="544" t="s">
        <v>5379</v>
      </c>
      <c r="S3775" s="544"/>
    </row>
    <row r="3776" spans="1:19" x14ac:dyDescent="0.25">
      <c r="A3776" t="s">
        <v>3317</v>
      </c>
      <c r="B3776" s="50" t="s">
        <v>3063</v>
      </c>
      <c r="C3776" s="51"/>
      <c r="D3776" s="349">
        <v>610000004464</v>
      </c>
      <c r="E3776" s="349"/>
      <c r="F3776" s="350" t="s">
        <v>5378</v>
      </c>
      <c r="G3776" s="351" t="s">
        <v>128</v>
      </c>
      <c r="H3776" s="351" t="s">
        <v>5380</v>
      </c>
      <c r="I3776" s="350">
        <v>60</v>
      </c>
      <c r="J3776" s="674"/>
      <c r="K3776" s="544"/>
      <c r="L3776" s="544"/>
      <c r="M3776" s="544"/>
      <c r="N3776" s="544"/>
      <c r="O3776" s="544"/>
      <c r="P3776" s="544"/>
      <c r="R3776" s="683" t="s">
        <v>3159</v>
      </c>
      <c r="S3776" s="544"/>
    </row>
    <row r="3777" spans="1:19" x14ac:dyDescent="0.25">
      <c r="A3777" t="s">
        <v>3317</v>
      </c>
      <c r="B3777" s="50" t="s">
        <v>3063</v>
      </c>
      <c r="C3777" s="51"/>
      <c r="D3777" s="423">
        <v>610000004465</v>
      </c>
      <c r="E3777" s="423"/>
      <c r="F3777" s="434" t="s">
        <v>5381</v>
      </c>
      <c r="G3777" s="433" t="s">
        <v>143</v>
      </c>
      <c r="H3777" s="433" t="s">
        <v>3588</v>
      </c>
      <c r="I3777" s="434">
        <v>90</v>
      </c>
      <c r="J3777" s="674">
        <v>1</v>
      </c>
      <c r="K3777" s="544"/>
      <c r="L3777" s="544"/>
      <c r="M3777" s="544"/>
      <c r="N3777" s="544"/>
      <c r="O3777" s="544"/>
      <c r="P3777" s="544"/>
      <c r="R3777" s="544" t="s">
        <v>5382</v>
      </c>
      <c r="S3777" s="544"/>
    </row>
    <row r="3778" spans="1:19" x14ac:dyDescent="0.25">
      <c r="A3778" t="s">
        <v>3317</v>
      </c>
      <c r="B3778" s="50" t="s">
        <v>3063</v>
      </c>
      <c r="C3778" s="51"/>
      <c r="D3778" s="343">
        <v>610000004466</v>
      </c>
      <c r="E3778" s="343"/>
      <c r="F3778" s="344" t="s">
        <v>5383</v>
      </c>
      <c r="G3778" s="345" t="s">
        <v>3558</v>
      </c>
      <c r="H3778" s="345" t="s">
        <v>5384</v>
      </c>
      <c r="I3778" s="344">
        <v>180</v>
      </c>
      <c r="J3778" s="674">
        <v>1</v>
      </c>
      <c r="K3778" s="544"/>
      <c r="L3778" s="544"/>
      <c r="M3778" s="544"/>
      <c r="N3778" s="544"/>
      <c r="O3778" s="544"/>
      <c r="P3778" s="544"/>
      <c r="R3778" s="544" t="s">
        <v>3251</v>
      </c>
      <c r="S3778" s="544"/>
    </row>
    <row r="3779" spans="1:19" x14ac:dyDescent="0.25">
      <c r="A3779" t="s">
        <v>3317</v>
      </c>
      <c r="B3779" s="50" t="s">
        <v>3063</v>
      </c>
      <c r="C3779" s="51"/>
      <c r="D3779" s="346">
        <v>610000004466</v>
      </c>
      <c r="E3779" s="346"/>
      <c r="F3779" s="347" t="s">
        <v>5383</v>
      </c>
      <c r="G3779" s="348" t="s">
        <v>3558</v>
      </c>
      <c r="H3779" s="348" t="s">
        <v>3577</v>
      </c>
      <c r="I3779" s="347">
        <v>180</v>
      </c>
      <c r="J3779" s="674"/>
      <c r="K3779" s="544"/>
      <c r="L3779" s="544"/>
      <c r="M3779" s="544"/>
      <c r="N3779" s="544"/>
      <c r="O3779" s="544"/>
      <c r="P3779" s="544"/>
      <c r="R3779" s="544" t="s">
        <v>3251</v>
      </c>
      <c r="S3779" s="544"/>
    </row>
    <row r="3780" spans="1:19" x14ac:dyDescent="0.25">
      <c r="A3780" t="s">
        <v>3317</v>
      </c>
      <c r="B3780" s="50" t="s">
        <v>3063</v>
      </c>
      <c r="C3780" s="51"/>
      <c r="D3780" s="346">
        <v>610000004466</v>
      </c>
      <c r="E3780" s="346"/>
      <c r="F3780" s="347" t="s">
        <v>5383</v>
      </c>
      <c r="G3780" s="348" t="s">
        <v>139</v>
      </c>
      <c r="H3780" s="348" t="s">
        <v>5385</v>
      </c>
      <c r="I3780" s="347">
        <v>180</v>
      </c>
      <c r="J3780" s="674"/>
      <c r="K3780" s="544"/>
      <c r="L3780" s="544"/>
      <c r="M3780" s="544"/>
      <c r="N3780" s="544"/>
      <c r="O3780" s="544"/>
      <c r="P3780" s="544"/>
      <c r="R3780" s="544" t="s">
        <v>3582</v>
      </c>
      <c r="S3780" s="544"/>
    </row>
    <row r="3781" spans="1:19" x14ac:dyDescent="0.25">
      <c r="A3781" t="s">
        <v>3317</v>
      </c>
      <c r="B3781" s="50" t="s">
        <v>3063</v>
      </c>
      <c r="C3781" s="51"/>
      <c r="D3781" s="349">
        <v>610000004466</v>
      </c>
      <c r="E3781" s="349"/>
      <c r="F3781" s="350" t="s">
        <v>5383</v>
      </c>
      <c r="G3781" s="351" t="s">
        <v>260</v>
      </c>
      <c r="H3781" s="351" t="s">
        <v>5386</v>
      </c>
      <c r="I3781" s="350">
        <v>180</v>
      </c>
      <c r="J3781" s="674"/>
      <c r="K3781" s="544"/>
      <c r="L3781" s="544"/>
      <c r="M3781" s="544"/>
      <c r="N3781" s="544"/>
      <c r="O3781" s="544"/>
      <c r="P3781" s="544"/>
      <c r="R3781" s="544" t="s">
        <v>3254</v>
      </c>
      <c r="S3781" s="544"/>
    </row>
    <row r="3782" spans="1:19" ht="15.75" thickBot="1" x14ac:dyDescent="0.3">
      <c r="A3782" t="s">
        <v>3317</v>
      </c>
      <c r="B3782" s="50" t="s">
        <v>3063</v>
      </c>
      <c r="C3782" s="214"/>
      <c r="D3782" s="357">
        <v>610000004467</v>
      </c>
      <c r="E3782" s="357"/>
      <c r="F3782" s="358" t="s">
        <v>5387</v>
      </c>
      <c r="G3782" s="359" t="s">
        <v>143</v>
      </c>
      <c r="H3782" s="359" t="s">
        <v>3586</v>
      </c>
      <c r="I3782" s="358">
        <v>365</v>
      </c>
      <c r="J3782" s="674">
        <v>1</v>
      </c>
      <c r="K3782" s="544"/>
      <c r="L3782" s="544"/>
      <c r="M3782" s="544"/>
      <c r="N3782" s="544"/>
      <c r="O3782" s="544"/>
      <c r="P3782" s="544"/>
      <c r="R3782" s="544" t="s">
        <v>3254</v>
      </c>
      <c r="S3782" s="544" t="s">
        <v>5308</v>
      </c>
    </row>
    <row r="3783" spans="1:19" x14ac:dyDescent="0.25">
      <c r="A3783" t="s">
        <v>3317</v>
      </c>
      <c r="B3783" s="50" t="s">
        <v>3085</v>
      </c>
      <c r="C3783" s="51"/>
      <c r="D3783" s="343">
        <v>610000004468</v>
      </c>
      <c r="E3783" s="343"/>
      <c r="F3783" s="344" t="s">
        <v>5388</v>
      </c>
      <c r="G3783" s="345" t="s">
        <v>5389</v>
      </c>
      <c r="H3783" s="345" t="s">
        <v>5390</v>
      </c>
      <c r="I3783" s="344">
        <v>15</v>
      </c>
      <c r="J3783" s="674"/>
      <c r="K3783" s="544"/>
      <c r="L3783" s="544"/>
      <c r="M3783" s="544"/>
      <c r="N3783" s="544"/>
      <c r="O3783" s="544"/>
      <c r="P3783" s="544"/>
      <c r="R3783" s="544" t="s">
        <v>3281</v>
      </c>
      <c r="S3783" s="544"/>
    </row>
    <row r="3784" spans="1:19" x14ac:dyDescent="0.25">
      <c r="A3784" t="s">
        <v>3317</v>
      </c>
      <c r="B3784" s="50" t="s">
        <v>3085</v>
      </c>
      <c r="C3784" s="51"/>
      <c r="D3784" s="346">
        <v>610000004468</v>
      </c>
      <c r="E3784" s="346"/>
      <c r="F3784" s="347" t="s">
        <v>5388</v>
      </c>
      <c r="G3784" s="348" t="s">
        <v>5391</v>
      </c>
      <c r="H3784" s="348" t="s">
        <v>5392</v>
      </c>
      <c r="I3784" s="347">
        <v>15</v>
      </c>
      <c r="J3784" s="674"/>
      <c r="K3784" s="544"/>
      <c r="L3784" s="544"/>
      <c r="M3784" s="544"/>
      <c r="N3784" s="544"/>
      <c r="O3784" s="544"/>
      <c r="P3784" s="544"/>
      <c r="R3784" s="544" t="s">
        <v>3281</v>
      </c>
      <c r="S3784" s="544"/>
    </row>
    <row r="3785" spans="1:19" x14ac:dyDescent="0.25">
      <c r="A3785" t="s">
        <v>3317</v>
      </c>
      <c r="B3785" s="50" t="s">
        <v>3085</v>
      </c>
      <c r="C3785" s="51"/>
      <c r="D3785" s="346">
        <v>610000004468</v>
      </c>
      <c r="E3785" s="346"/>
      <c r="F3785" s="347" t="s">
        <v>5388</v>
      </c>
      <c r="G3785" s="348" t="s">
        <v>5393</v>
      </c>
      <c r="H3785" s="348" t="s">
        <v>5394</v>
      </c>
      <c r="I3785" s="347">
        <v>15</v>
      </c>
      <c r="J3785" s="674"/>
      <c r="K3785" s="544"/>
      <c r="L3785" s="544"/>
      <c r="M3785" s="544"/>
      <c r="N3785" s="544"/>
      <c r="O3785" s="544"/>
      <c r="P3785" s="544"/>
      <c r="R3785" s="544" t="s">
        <v>3281</v>
      </c>
      <c r="S3785" s="544"/>
    </row>
    <row r="3786" spans="1:19" x14ac:dyDescent="0.25">
      <c r="A3786" t="s">
        <v>3317</v>
      </c>
      <c r="B3786" s="50" t="s">
        <v>3085</v>
      </c>
      <c r="C3786" s="51"/>
      <c r="D3786" s="349">
        <v>610000004468</v>
      </c>
      <c r="E3786" s="349"/>
      <c r="F3786" s="350" t="s">
        <v>5388</v>
      </c>
      <c r="G3786" s="351" t="s">
        <v>5395</v>
      </c>
      <c r="H3786" s="351" t="s">
        <v>5396</v>
      </c>
      <c r="I3786" s="350">
        <v>15</v>
      </c>
      <c r="J3786" s="674"/>
      <c r="K3786" s="544"/>
      <c r="L3786" s="544"/>
      <c r="M3786" s="544"/>
      <c r="N3786" s="544"/>
      <c r="O3786" s="544"/>
      <c r="P3786" s="544"/>
      <c r="R3786" s="544" t="s">
        <v>3281</v>
      </c>
      <c r="S3786" s="544"/>
    </row>
    <row r="3787" spans="1:19" x14ac:dyDescent="0.25">
      <c r="A3787" t="s">
        <v>3317</v>
      </c>
      <c r="B3787" s="50" t="s">
        <v>3085</v>
      </c>
      <c r="C3787" s="51"/>
      <c r="D3787" s="352">
        <v>610000004469</v>
      </c>
      <c r="E3787" s="352"/>
      <c r="F3787" s="353" t="s">
        <v>5397</v>
      </c>
      <c r="G3787" s="61" t="s">
        <v>5389</v>
      </c>
      <c r="H3787" s="61" t="s">
        <v>5398</v>
      </c>
      <c r="I3787" s="353">
        <v>30</v>
      </c>
      <c r="J3787" s="674"/>
      <c r="K3787" s="544"/>
      <c r="L3787" s="544"/>
      <c r="M3787" s="544"/>
      <c r="N3787" s="544"/>
      <c r="O3787" s="544"/>
      <c r="P3787" s="544"/>
      <c r="R3787" s="544"/>
      <c r="S3787" s="544"/>
    </row>
    <row r="3788" spans="1:19" ht="15.75" thickBot="1" x14ac:dyDescent="0.3">
      <c r="A3788" t="s">
        <v>3317</v>
      </c>
      <c r="B3788" s="50" t="s">
        <v>3085</v>
      </c>
      <c r="C3788" s="214"/>
      <c r="D3788" s="363">
        <v>610000004470</v>
      </c>
      <c r="E3788" s="363"/>
      <c r="F3788" s="364" t="s">
        <v>5399</v>
      </c>
      <c r="G3788" s="365" t="s">
        <v>5389</v>
      </c>
      <c r="H3788" s="365" t="s">
        <v>5400</v>
      </c>
      <c r="I3788" s="364">
        <v>30</v>
      </c>
      <c r="J3788" s="674"/>
      <c r="K3788" s="544"/>
      <c r="L3788" s="544"/>
      <c r="M3788" s="544"/>
      <c r="N3788" s="544"/>
      <c r="O3788" s="544"/>
      <c r="P3788" s="544"/>
      <c r="R3788" s="544" t="s">
        <v>3330</v>
      </c>
      <c r="S3788" s="544"/>
    </row>
    <row r="3789" spans="1:19" x14ac:dyDescent="0.25">
      <c r="A3789" t="s">
        <v>3317</v>
      </c>
      <c r="B3789" s="50" t="s">
        <v>3111</v>
      </c>
      <c r="C3789" s="51"/>
      <c r="D3789" s="343">
        <v>610000004471</v>
      </c>
      <c r="E3789" s="343"/>
      <c r="F3789" s="344" t="s">
        <v>5401</v>
      </c>
      <c r="G3789" s="345" t="s">
        <v>5402</v>
      </c>
      <c r="H3789" s="345" t="s">
        <v>5403</v>
      </c>
      <c r="I3789" s="344">
        <v>30</v>
      </c>
      <c r="J3789" s="674"/>
      <c r="K3789" s="544"/>
      <c r="L3789" s="544"/>
      <c r="M3789" s="544"/>
      <c r="N3789" s="544"/>
      <c r="O3789" s="544"/>
      <c r="P3789" s="544"/>
      <c r="R3789" s="544"/>
      <c r="S3789" s="544"/>
    </row>
    <row r="3790" spans="1:19" x14ac:dyDescent="0.25">
      <c r="A3790" t="s">
        <v>3317</v>
      </c>
      <c r="B3790" s="50" t="s">
        <v>3111</v>
      </c>
      <c r="C3790" s="51"/>
      <c r="D3790" s="346">
        <v>610000004471</v>
      </c>
      <c r="E3790" s="346"/>
      <c r="F3790" s="347" t="s">
        <v>5401</v>
      </c>
      <c r="G3790" s="348" t="s">
        <v>5402</v>
      </c>
      <c r="H3790" s="348" t="s">
        <v>5404</v>
      </c>
      <c r="I3790" s="347">
        <v>30</v>
      </c>
      <c r="J3790" s="674"/>
      <c r="K3790" s="544"/>
      <c r="L3790" s="544"/>
      <c r="M3790" s="544"/>
      <c r="N3790" s="544"/>
      <c r="O3790" s="544"/>
      <c r="P3790" s="544"/>
      <c r="R3790" s="544"/>
      <c r="S3790" s="544"/>
    </row>
    <row r="3791" spans="1:19" x14ac:dyDescent="0.25">
      <c r="A3791" t="s">
        <v>3317</v>
      </c>
      <c r="B3791" s="50" t="s">
        <v>3111</v>
      </c>
      <c r="C3791" s="51"/>
      <c r="D3791" s="346">
        <v>610000004471</v>
      </c>
      <c r="E3791" s="346"/>
      <c r="F3791" s="347" t="s">
        <v>5401</v>
      </c>
      <c r="G3791" s="348" t="s">
        <v>3293</v>
      </c>
      <c r="H3791" s="348" t="s">
        <v>3294</v>
      </c>
      <c r="I3791" s="347">
        <v>30</v>
      </c>
      <c r="J3791" s="674"/>
      <c r="K3791" s="544"/>
      <c r="L3791" s="544"/>
      <c r="M3791" s="544"/>
      <c r="N3791" s="544"/>
      <c r="O3791" s="544"/>
      <c r="P3791" s="544"/>
      <c r="R3791" s="544"/>
      <c r="S3791" s="544"/>
    </row>
    <row r="3792" spans="1:19" x14ac:dyDescent="0.25">
      <c r="A3792" t="s">
        <v>3317</v>
      </c>
      <c r="B3792" s="50" t="s">
        <v>3111</v>
      </c>
      <c r="C3792" s="51"/>
      <c r="D3792" s="346">
        <v>610000004471</v>
      </c>
      <c r="E3792" s="346"/>
      <c r="F3792" s="347" t="s">
        <v>5401</v>
      </c>
      <c r="G3792" s="348" t="s">
        <v>3295</v>
      </c>
      <c r="H3792" s="348" t="s">
        <v>3296</v>
      </c>
      <c r="I3792" s="347">
        <v>30</v>
      </c>
      <c r="J3792" s="674"/>
      <c r="K3792" s="544"/>
      <c r="L3792" s="544"/>
      <c r="M3792" s="544"/>
      <c r="N3792" s="544"/>
      <c r="O3792" s="544"/>
      <c r="P3792" s="544"/>
      <c r="R3792" s="544"/>
      <c r="S3792" s="544"/>
    </row>
    <row r="3793" spans="1:19" x14ac:dyDescent="0.25">
      <c r="A3793" t="s">
        <v>3317</v>
      </c>
      <c r="B3793" s="50" t="s">
        <v>3111</v>
      </c>
      <c r="C3793" s="51"/>
      <c r="D3793" s="346">
        <v>610000004471</v>
      </c>
      <c r="E3793" s="346"/>
      <c r="F3793" s="347" t="s">
        <v>5401</v>
      </c>
      <c r="G3793" s="348" t="s">
        <v>3297</v>
      </c>
      <c r="H3793" s="348" t="s">
        <v>3298</v>
      </c>
      <c r="I3793" s="347">
        <v>30</v>
      </c>
      <c r="J3793" s="674"/>
      <c r="K3793" s="544"/>
      <c r="L3793" s="544"/>
      <c r="M3793" s="544"/>
      <c r="N3793" s="544"/>
      <c r="O3793" s="544"/>
      <c r="P3793" s="544"/>
      <c r="R3793" s="544"/>
      <c r="S3793" s="544"/>
    </row>
    <row r="3794" spans="1:19" x14ac:dyDescent="0.25">
      <c r="A3794" t="s">
        <v>3317</v>
      </c>
      <c r="B3794" s="50" t="s">
        <v>3111</v>
      </c>
      <c r="C3794" s="51"/>
      <c r="D3794" s="346">
        <v>610000004471</v>
      </c>
      <c r="E3794" s="346"/>
      <c r="F3794" s="347" t="s">
        <v>5401</v>
      </c>
      <c r="G3794" s="348" t="s">
        <v>5405</v>
      </c>
      <c r="H3794" s="348" t="s">
        <v>5406</v>
      </c>
      <c r="I3794" s="347">
        <v>30</v>
      </c>
      <c r="J3794" s="674"/>
      <c r="K3794" s="544"/>
      <c r="L3794" s="544"/>
      <c r="M3794" s="544"/>
      <c r="N3794" s="544"/>
      <c r="O3794" s="544"/>
      <c r="P3794" s="544"/>
      <c r="R3794" s="544"/>
      <c r="S3794" s="544"/>
    </row>
    <row r="3795" spans="1:19" x14ac:dyDescent="0.25">
      <c r="A3795" t="s">
        <v>3317</v>
      </c>
      <c r="B3795" s="50" t="s">
        <v>3111</v>
      </c>
      <c r="C3795" s="51"/>
      <c r="D3795" s="346">
        <v>610000004471</v>
      </c>
      <c r="E3795" s="346"/>
      <c r="F3795" s="347" t="s">
        <v>5401</v>
      </c>
      <c r="G3795" s="348" t="s">
        <v>5405</v>
      </c>
      <c r="H3795" s="348" t="s">
        <v>5407</v>
      </c>
      <c r="I3795" s="347">
        <v>30</v>
      </c>
      <c r="J3795" s="674"/>
      <c r="K3795" s="544"/>
      <c r="L3795" s="544"/>
      <c r="M3795" s="544"/>
      <c r="N3795" s="544"/>
      <c r="O3795" s="544"/>
      <c r="P3795" s="544"/>
      <c r="R3795" s="544"/>
      <c r="S3795" s="544"/>
    </row>
    <row r="3796" spans="1:19" x14ac:dyDescent="0.25">
      <c r="A3796" t="s">
        <v>3317</v>
      </c>
      <c r="B3796" s="50" t="s">
        <v>3111</v>
      </c>
      <c r="C3796" s="51"/>
      <c r="D3796" s="346">
        <v>610000004471</v>
      </c>
      <c r="E3796" s="346"/>
      <c r="F3796" s="347" t="s">
        <v>5401</v>
      </c>
      <c r="G3796" s="348" t="s">
        <v>5405</v>
      </c>
      <c r="H3796" s="348" t="s">
        <v>5408</v>
      </c>
      <c r="I3796" s="347">
        <v>30</v>
      </c>
      <c r="J3796" s="674"/>
      <c r="K3796" s="544"/>
      <c r="L3796" s="544"/>
      <c r="M3796" s="544"/>
      <c r="N3796" s="544"/>
      <c r="O3796" s="544"/>
      <c r="P3796" s="544"/>
      <c r="R3796" s="544"/>
      <c r="S3796" s="544"/>
    </row>
    <row r="3797" spans="1:19" x14ac:dyDescent="0.25">
      <c r="A3797" t="s">
        <v>3317</v>
      </c>
      <c r="B3797" s="50" t="s">
        <v>3111</v>
      </c>
      <c r="C3797" s="51"/>
      <c r="D3797" s="346">
        <v>610000004471</v>
      </c>
      <c r="E3797" s="346"/>
      <c r="F3797" s="347" t="s">
        <v>5401</v>
      </c>
      <c r="G3797" s="348" t="s">
        <v>3115</v>
      </c>
      <c r="H3797" s="348" t="s">
        <v>3298</v>
      </c>
      <c r="I3797" s="347">
        <v>30</v>
      </c>
      <c r="J3797" s="674"/>
      <c r="K3797" s="544"/>
      <c r="L3797" s="544"/>
      <c r="M3797" s="544"/>
      <c r="N3797" s="544"/>
      <c r="O3797" s="544"/>
      <c r="P3797" s="544"/>
      <c r="R3797" s="544"/>
      <c r="S3797" s="544"/>
    </row>
    <row r="3798" spans="1:19" x14ac:dyDescent="0.25">
      <c r="A3798" t="s">
        <v>3317</v>
      </c>
      <c r="B3798" s="50" t="s">
        <v>3111</v>
      </c>
      <c r="C3798" s="51"/>
      <c r="D3798" s="349">
        <v>610000004471</v>
      </c>
      <c r="E3798" s="349"/>
      <c r="F3798" s="350" t="s">
        <v>5401</v>
      </c>
      <c r="G3798" s="351" t="s">
        <v>3117</v>
      </c>
      <c r="H3798" s="351" t="s">
        <v>3298</v>
      </c>
      <c r="I3798" s="350">
        <v>30</v>
      </c>
      <c r="J3798" s="674"/>
      <c r="K3798" s="544"/>
      <c r="L3798" s="544"/>
      <c r="M3798" s="544"/>
      <c r="N3798" s="544"/>
      <c r="O3798" s="544"/>
      <c r="P3798" s="544"/>
      <c r="R3798" s="544"/>
      <c r="S3798" s="544"/>
    </row>
    <row r="3799" spans="1:19" x14ac:dyDescent="0.25">
      <c r="A3799" t="s">
        <v>3317</v>
      </c>
      <c r="B3799" s="50" t="s">
        <v>3111</v>
      </c>
      <c r="C3799" s="51"/>
      <c r="D3799" s="352">
        <v>610000004472</v>
      </c>
      <c r="E3799" s="352"/>
      <c r="F3799" s="353" t="s">
        <v>5409</v>
      </c>
      <c r="G3799" s="61" t="s">
        <v>5405</v>
      </c>
      <c r="H3799" s="61" t="s">
        <v>5410</v>
      </c>
      <c r="I3799" s="353">
        <v>30</v>
      </c>
      <c r="J3799" s="674"/>
      <c r="K3799" s="544"/>
      <c r="L3799" s="544"/>
      <c r="M3799" s="544"/>
      <c r="N3799" s="544"/>
      <c r="O3799" s="544"/>
      <c r="P3799" s="544"/>
      <c r="R3799" s="683" t="s">
        <v>3159</v>
      </c>
      <c r="S3799" s="544"/>
    </row>
    <row r="3800" spans="1:19" x14ac:dyDescent="0.25">
      <c r="A3800" t="s">
        <v>3317</v>
      </c>
      <c r="B3800" s="50" t="s">
        <v>3111</v>
      </c>
      <c r="C3800" s="51"/>
      <c r="D3800" s="343">
        <v>610000004473</v>
      </c>
      <c r="E3800" s="343"/>
      <c r="F3800" s="344" t="s">
        <v>5411</v>
      </c>
      <c r="G3800" s="345" t="s">
        <v>5402</v>
      </c>
      <c r="H3800" s="345" t="s">
        <v>3303</v>
      </c>
      <c r="I3800" s="344">
        <v>180</v>
      </c>
      <c r="J3800" s="674">
        <v>1</v>
      </c>
      <c r="K3800" s="544"/>
      <c r="L3800" s="544"/>
      <c r="M3800" s="544"/>
      <c r="N3800" s="544"/>
      <c r="O3800" s="544"/>
      <c r="P3800" s="544"/>
      <c r="R3800" s="544" t="s">
        <v>3642</v>
      </c>
      <c r="S3800" s="544"/>
    </row>
    <row r="3801" spans="1:19" x14ac:dyDescent="0.25">
      <c r="A3801" t="s">
        <v>3317</v>
      </c>
      <c r="B3801" s="50" t="s">
        <v>3111</v>
      </c>
      <c r="C3801" s="51"/>
      <c r="D3801" s="346">
        <v>610000004473</v>
      </c>
      <c r="E3801" s="346"/>
      <c r="F3801" s="347" t="s">
        <v>5411</v>
      </c>
      <c r="G3801" s="348" t="s">
        <v>3293</v>
      </c>
      <c r="H3801" s="348" t="s">
        <v>3301</v>
      </c>
      <c r="I3801" s="347">
        <v>180</v>
      </c>
      <c r="J3801" s="674"/>
      <c r="K3801" s="544"/>
      <c r="L3801" s="544"/>
      <c r="M3801" s="544"/>
      <c r="N3801" s="544"/>
      <c r="O3801" s="544"/>
      <c r="P3801" s="544"/>
      <c r="R3801" s="544" t="s">
        <v>3642</v>
      </c>
      <c r="S3801" s="544" t="s">
        <v>5308</v>
      </c>
    </row>
    <row r="3802" spans="1:19" x14ac:dyDescent="0.25">
      <c r="A3802" t="s">
        <v>3317</v>
      </c>
      <c r="B3802" s="50" t="s">
        <v>3111</v>
      </c>
      <c r="C3802" s="51"/>
      <c r="D3802" s="346">
        <v>610000004473</v>
      </c>
      <c r="E3802" s="346"/>
      <c r="F3802" s="347" t="s">
        <v>5411</v>
      </c>
      <c r="G3802" s="348" t="s">
        <v>3295</v>
      </c>
      <c r="H3802" s="348" t="s">
        <v>3302</v>
      </c>
      <c r="I3802" s="347">
        <v>180</v>
      </c>
      <c r="J3802" s="674"/>
      <c r="K3802" s="544"/>
      <c r="L3802" s="544"/>
      <c r="M3802" s="544"/>
      <c r="N3802" s="544"/>
      <c r="O3802" s="544"/>
      <c r="P3802" s="544"/>
      <c r="R3802" s="544" t="s">
        <v>3642</v>
      </c>
      <c r="S3802" s="544" t="s">
        <v>5308</v>
      </c>
    </row>
    <row r="3803" spans="1:19" ht="15.75" thickBot="1" x14ac:dyDescent="0.3">
      <c r="A3803" t="s">
        <v>3317</v>
      </c>
      <c r="B3803" s="50" t="s">
        <v>3111</v>
      </c>
      <c r="C3803" s="214"/>
      <c r="D3803" s="466">
        <v>610000004473</v>
      </c>
      <c r="E3803" s="466"/>
      <c r="F3803" s="467" t="s">
        <v>5411</v>
      </c>
      <c r="G3803" s="468" t="s">
        <v>5405</v>
      </c>
      <c r="H3803" s="468" t="s">
        <v>5412</v>
      </c>
      <c r="I3803" s="467">
        <v>180</v>
      </c>
      <c r="J3803" s="674"/>
      <c r="K3803" s="544"/>
      <c r="L3803" s="544"/>
      <c r="M3803" s="544"/>
      <c r="N3803" s="544"/>
      <c r="O3803" s="544"/>
      <c r="P3803" s="544"/>
      <c r="R3803" s="544" t="s">
        <v>3582</v>
      </c>
      <c r="S3803" s="544"/>
    </row>
    <row r="3804" spans="1:19" x14ac:dyDescent="0.25">
      <c r="A3804" t="s">
        <v>3317</v>
      </c>
      <c r="B3804" s="50" t="s">
        <v>3131</v>
      </c>
      <c r="C3804" s="51"/>
      <c r="D3804" s="343">
        <v>610000004474</v>
      </c>
      <c r="E3804" s="343"/>
      <c r="F3804" s="344" t="s">
        <v>5413</v>
      </c>
      <c r="G3804" s="345" t="s">
        <v>326</v>
      </c>
      <c r="H3804" s="345" t="s">
        <v>5414</v>
      </c>
      <c r="I3804" s="344">
        <v>30</v>
      </c>
      <c r="J3804" s="674"/>
      <c r="K3804" s="544"/>
      <c r="L3804" s="544"/>
      <c r="M3804" s="544"/>
      <c r="N3804" s="544"/>
      <c r="O3804" s="544"/>
      <c r="P3804" s="544"/>
      <c r="R3804" s="544"/>
      <c r="S3804" s="544"/>
    </row>
    <row r="3805" spans="1:19" x14ac:dyDescent="0.25">
      <c r="A3805" t="s">
        <v>3317</v>
      </c>
      <c r="B3805" s="50" t="s">
        <v>3131</v>
      </c>
      <c r="C3805" s="51"/>
      <c r="D3805" s="346">
        <v>610000004474</v>
      </c>
      <c r="E3805" s="346"/>
      <c r="F3805" s="347" t="s">
        <v>5413</v>
      </c>
      <c r="G3805" s="348" t="s">
        <v>326</v>
      </c>
      <c r="H3805" s="348" t="s">
        <v>5415</v>
      </c>
      <c r="I3805" s="347">
        <v>30</v>
      </c>
      <c r="J3805" s="674"/>
      <c r="K3805" s="544"/>
      <c r="L3805" s="544"/>
      <c r="M3805" s="544"/>
      <c r="N3805" s="544"/>
      <c r="O3805" s="544"/>
      <c r="P3805" s="544"/>
      <c r="R3805" s="544"/>
      <c r="S3805" s="544"/>
    </row>
    <row r="3806" spans="1:19" x14ac:dyDescent="0.25">
      <c r="A3806" t="s">
        <v>3317</v>
      </c>
      <c r="B3806" s="50" t="s">
        <v>3131</v>
      </c>
      <c r="C3806" s="51"/>
      <c r="D3806" s="346">
        <v>610000004474</v>
      </c>
      <c r="E3806" s="346"/>
      <c r="F3806" s="347" t="s">
        <v>5413</v>
      </c>
      <c r="G3806" s="348" t="s">
        <v>326</v>
      </c>
      <c r="H3806" s="348" t="s">
        <v>5416</v>
      </c>
      <c r="I3806" s="347">
        <v>30</v>
      </c>
      <c r="J3806" s="674"/>
      <c r="K3806" s="544"/>
      <c r="L3806" s="544"/>
      <c r="M3806" s="544"/>
      <c r="N3806" s="544"/>
      <c r="O3806" s="544"/>
      <c r="P3806" s="544"/>
      <c r="R3806" s="544"/>
      <c r="S3806" s="544"/>
    </row>
    <row r="3807" spans="1:19" x14ac:dyDescent="0.25">
      <c r="A3807" t="s">
        <v>3317</v>
      </c>
      <c r="B3807" s="50" t="s">
        <v>3131</v>
      </c>
      <c r="C3807" s="51"/>
      <c r="D3807" s="346">
        <v>610000004474</v>
      </c>
      <c r="E3807" s="346"/>
      <c r="F3807" s="347" t="s">
        <v>5413</v>
      </c>
      <c r="G3807" s="348" t="s">
        <v>3137</v>
      </c>
      <c r="H3807" s="348" t="s">
        <v>5417</v>
      </c>
      <c r="I3807" s="347">
        <v>30</v>
      </c>
      <c r="J3807" s="674"/>
      <c r="K3807" s="544"/>
      <c r="L3807" s="544"/>
      <c r="M3807" s="544"/>
      <c r="N3807" s="544"/>
      <c r="O3807" s="544"/>
      <c r="P3807" s="544"/>
      <c r="R3807" s="544"/>
      <c r="S3807" s="544"/>
    </row>
    <row r="3808" spans="1:19" x14ac:dyDescent="0.25">
      <c r="A3808" t="s">
        <v>3317</v>
      </c>
      <c r="B3808" s="50" t="s">
        <v>3131</v>
      </c>
      <c r="C3808" s="51"/>
      <c r="D3808" s="349">
        <v>610000004474</v>
      </c>
      <c r="E3808" s="349"/>
      <c r="F3808" s="350" t="s">
        <v>5413</v>
      </c>
      <c r="G3808" s="351" t="s">
        <v>3137</v>
      </c>
      <c r="H3808" s="351" t="s">
        <v>5415</v>
      </c>
      <c r="I3808" s="350">
        <v>30</v>
      </c>
      <c r="J3808" s="674"/>
      <c r="K3808" s="544"/>
      <c r="L3808" s="544"/>
      <c r="M3808" s="544"/>
      <c r="N3808" s="544"/>
      <c r="O3808" s="544"/>
      <c r="P3808" s="544"/>
      <c r="R3808" s="544"/>
      <c r="S3808" s="544"/>
    </row>
    <row r="3809" spans="1:19" x14ac:dyDescent="0.25">
      <c r="A3809" t="s">
        <v>3317</v>
      </c>
      <c r="B3809" s="50" t="s">
        <v>3131</v>
      </c>
      <c r="C3809" s="51"/>
      <c r="D3809" s="343">
        <v>610000004475</v>
      </c>
      <c r="E3809" s="343"/>
      <c r="F3809" s="344" t="s">
        <v>5418</v>
      </c>
      <c r="G3809" s="345" t="s">
        <v>326</v>
      </c>
      <c r="H3809" s="345" t="s">
        <v>5419</v>
      </c>
      <c r="I3809" s="344">
        <v>30</v>
      </c>
      <c r="J3809" s="674"/>
      <c r="K3809" s="544"/>
      <c r="L3809" s="544"/>
      <c r="M3809" s="544"/>
      <c r="N3809" s="544"/>
      <c r="O3809" s="544"/>
      <c r="P3809" s="544"/>
      <c r="R3809" s="683" t="s">
        <v>3159</v>
      </c>
      <c r="S3809" s="544"/>
    </row>
    <row r="3810" spans="1:19" x14ac:dyDescent="0.25">
      <c r="A3810" t="s">
        <v>3317</v>
      </c>
      <c r="B3810" s="50" t="s">
        <v>3131</v>
      </c>
      <c r="C3810" s="51"/>
      <c r="D3810" s="346">
        <v>610000004475</v>
      </c>
      <c r="E3810" s="346"/>
      <c r="F3810" s="347" t="s">
        <v>5418</v>
      </c>
      <c r="G3810" s="348" t="s">
        <v>326</v>
      </c>
      <c r="H3810" s="348" t="s">
        <v>5420</v>
      </c>
      <c r="I3810" s="347">
        <v>30</v>
      </c>
      <c r="J3810" s="674"/>
      <c r="K3810" s="544"/>
      <c r="L3810" s="544"/>
      <c r="M3810" s="544"/>
      <c r="N3810" s="544"/>
      <c r="O3810" s="544"/>
      <c r="P3810" s="544"/>
      <c r="R3810" s="683" t="s">
        <v>3159</v>
      </c>
      <c r="S3810" s="544"/>
    </row>
    <row r="3811" spans="1:19" x14ac:dyDescent="0.25">
      <c r="A3811" t="s">
        <v>3317</v>
      </c>
      <c r="B3811" s="50" t="s">
        <v>3131</v>
      </c>
      <c r="C3811" s="51"/>
      <c r="D3811" s="349">
        <v>610000004475</v>
      </c>
      <c r="E3811" s="349"/>
      <c r="F3811" s="350" t="s">
        <v>5418</v>
      </c>
      <c r="G3811" s="351" t="s">
        <v>3137</v>
      </c>
      <c r="H3811" s="351" t="s">
        <v>5421</v>
      </c>
      <c r="I3811" s="350">
        <v>30</v>
      </c>
      <c r="J3811" s="674"/>
      <c r="K3811" s="544"/>
      <c r="L3811" s="544"/>
      <c r="M3811" s="544"/>
      <c r="N3811" s="544"/>
      <c r="O3811" s="544"/>
      <c r="P3811" s="544"/>
      <c r="R3811" s="683" t="s">
        <v>3159</v>
      </c>
      <c r="S3811" s="544"/>
    </row>
    <row r="3812" spans="1:19" x14ac:dyDescent="0.25">
      <c r="A3812" t="s">
        <v>3317</v>
      </c>
      <c r="B3812" s="50" t="s">
        <v>3131</v>
      </c>
      <c r="C3812" s="51"/>
      <c r="D3812" s="343">
        <v>610000004476</v>
      </c>
      <c r="E3812" s="343"/>
      <c r="F3812" s="344" t="s">
        <v>5422</v>
      </c>
      <c r="G3812" s="345" t="s">
        <v>326</v>
      </c>
      <c r="H3812" s="345" t="s">
        <v>5423</v>
      </c>
      <c r="I3812" s="344">
        <v>180</v>
      </c>
      <c r="J3812" s="674">
        <v>1</v>
      </c>
      <c r="K3812" s="544"/>
      <c r="L3812" s="544"/>
      <c r="M3812" s="544"/>
      <c r="N3812" s="544"/>
      <c r="O3812" s="544"/>
      <c r="P3812" s="544"/>
      <c r="R3812" s="544" t="s">
        <v>3582</v>
      </c>
      <c r="S3812" s="544"/>
    </row>
    <row r="3813" spans="1:19" x14ac:dyDescent="0.25">
      <c r="A3813" t="s">
        <v>3317</v>
      </c>
      <c r="B3813" s="50" t="s">
        <v>3131</v>
      </c>
      <c r="C3813" s="382"/>
      <c r="D3813" s="349">
        <v>610000004476</v>
      </c>
      <c r="E3813" s="349"/>
      <c r="F3813" s="350" t="s">
        <v>5422</v>
      </c>
      <c r="G3813" s="351" t="s">
        <v>3137</v>
      </c>
      <c r="H3813" s="351" t="s">
        <v>5424</v>
      </c>
      <c r="I3813" s="350">
        <v>180</v>
      </c>
      <c r="J3813" s="674"/>
      <c r="K3813" s="544"/>
      <c r="L3813" s="544"/>
      <c r="M3813" s="544"/>
      <c r="N3813" s="544"/>
      <c r="O3813" s="544"/>
      <c r="P3813" s="544"/>
      <c r="R3813" s="544" t="s">
        <v>3582</v>
      </c>
      <c r="S3813" s="544"/>
    </row>
    <row r="3814" spans="1:19" x14ac:dyDescent="0.25">
      <c r="A3814" t="s">
        <v>3317</v>
      </c>
      <c r="B3814" s="464" t="s">
        <v>14</v>
      </c>
      <c r="C3814" s="465"/>
      <c r="D3814" s="417">
        <v>610000004610</v>
      </c>
      <c r="E3814" s="417"/>
      <c r="F3814" s="421" t="s">
        <v>3446</v>
      </c>
      <c r="G3814" s="420" t="s">
        <v>15</v>
      </c>
      <c r="H3814" s="420" t="s">
        <v>3447</v>
      </c>
      <c r="I3814" s="421">
        <v>15</v>
      </c>
    </row>
    <row r="3815" spans="1:19" x14ac:dyDescent="0.25">
      <c r="A3815" t="s">
        <v>3317</v>
      </c>
      <c r="B3815" s="464" t="s">
        <v>14</v>
      </c>
      <c r="C3815" s="51"/>
      <c r="D3815" s="346">
        <v>610000004610</v>
      </c>
      <c r="E3815" s="346"/>
      <c r="F3815" s="347" t="s">
        <v>3446</v>
      </c>
      <c r="G3815" s="348" t="s">
        <v>15</v>
      </c>
      <c r="H3815" s="348" t="s">
        <v>3448</v>
      </c>
      <c r="I3815" s="347">
        <v>15</v>
      </c>
    </row>
    <row r="3816" spans="1:19" x14ac:dyDescent="0.25">
      <c r="A3816" t="s">
        <v>3317</v>
      </c>
      <c r="B3816" s="464" t="s">
        <v>14</v>
      </c>
      <c r="C3816" s="51"/>
      <c r="D3816" s="346">
        <v>610000004610</v>
      </c>
      <c r="E3816" s="346"/>
      <c r="F3816" s="347" t="s">
        <v>3446</v>
      </c>
      <c r="G3816" s="348" t="s">
        <v>15</v>
      </c>
      <c r="H3816" s="348" t="s">
        <v>3449</v>
      </c>
      <c r="I3816" s="347">
        <v>15</v>
      </c>
    </row>
    <row r="3817" spans="1:19" x14ac:dyDescent="0.25">
      <c r="A3817" t="s">
        <v>3317</v>
      </c>
      <c r="B3817" s="464" t="s">
        <v>14</v>
      </c>
      <c r="C3817" s="51"/>
      <c r="D3817" s="346">
        <v>610000004610</v>
      </c>
      <c r="E3817" s="346"/>
      <c r="F3817" s="347" t="s">
        <v>3446</v>
      </c>
      <c r="G3817" s="348" t="s">
        <v>17</v>
      </c>
      <c r="H3817" s="348" t="s">
        <v>3450</v>
      </c>
      <c r="I3817" s="347">
        <v>15</v>
      </c>
    </row>
    <row r="3818" spans="1:19" x14ac:dyDescent="0.25">
      <c r="A3818" t="s">
        <v>3317</v>
      </c>
      <c r="B3818" s="464" t="s">
        <v>14</v>
      </c>
      <c r="C3818" s="51"/>
      <c r="D3818" s="346">
        <v>610000004610</v>
      </c>
      <c r="E3818" s="346"/>
      <c r="F3818" s="347" t="s">
        <v>3446</v>
      </c>
      <c r="G3818" s="348" t="s">
        <v>17</v>
      </c>
      <c r="H3818" s="348" t="s">
        <v>3469</v>
      </c>
      <c r="I3818" s="347">
        <v>15</v>
      </c>
    </row>
    <row r="3819" spans="1:19" x14ac:dyDescent="0.25">
      <c r="A3819" t="s">
        <v>3317</v>
      </c>
      <c r="B3819" s="464" t="s">
        <v>14</v>
      </c>
      <c r="C3819" s="51"/>
      <c r="D3819" s="346">
        <v>610000004610</v>
      </c>
      <c r="E3819" s="346"/>
      <c r="F3819" s="347" t="s">
        <v>3446</v>
      </c>
      <c r="G3819" s="348" t="s">
        <v>17</v>
      </c>
      <c r="H3819" s="348" t="s">
        <v>3452</v>
      </c>
      <c r="I3819" s="347">
        <v>15</v>
      </c>
    </row>
    <row r="3820" spans="1:19" x14ac:dyDescent="0.25">
      <c r="A3820" t="s">
        <v>3317</v>
      </c>
      <c r="B3820" s="464" t="s">
        <v>14</v>
      </c>
      <c r="C3820" s="51"/>
      <c r="D3820" s="346">
        <v>610000004610</v>
      </c>
      <c r="E3820" s="346"/>
      <c r="F3820" s="347" t="s">
        <v>3446</v>
      </c>
      <c r="G3820" s="328" t="s">
        <v>3001</v>
      </c>
      <c r="H3820" s="348" t="s">
        <v>3454</v>
      </c>
      <c r="I3820" s="347">
        <v>15</v>
      </c>
    </row>
    <row r="3821" spans="1:19" x14ac:dyDescent="0.25">
      <c r="A3821" t="s">
        <v>3317</v>
      </c>
      <c r="B3821" s="464" t="s">
        <v>14</v>
      </c>
      <c r="C3821" s="51"/>
      <c r="D3821" s="346">
        <v>610000004610</v>
      </c>
      <c r="E3821" s="346"/>
      <c r="F3821" s="347" t="s">
        <v>3446</v>
      </c>
      <c r="G3821" s="328" t="s">
        <v>25</v>
      </c>
      <c r="H3821" s="348" t="s">
        <v>3455</v>
      </c>
      <c r="I3821" s="347">
        <v>15</v>
      </c>
    </row>
    <row r="3822" spans="1:19" x14ac:dyDescent="0.25">
      <c r="A3822" t="s">
        <v>3317</v>
      </c>
      <c r="B3822" s="464" t="s">
        <v>14</v>
      </c>
      <c r="C3822" s="51"/>
      <c r="D3822" s="346">
        <v>610000004610</v>
      </c>
      <c r="E3822" s="346"/>
      <c r="F3822" s="347" t="s">
        <v>3446</v>
      </c>
      <c r="G3822" s="328" t="s">
        <v>25</v>
      </c>
      <c r="H3822" s="348" t="s">
        <v>3456</v>
      </c>
      <c r="I3822" s="347">
        <v>15</v>
      </c>
    </row>
    <row r="3823" spans="1:19" x14ac:dyDescent="0.25">
      <c r="A3823" t="s">
        <v>3317</v>
      </c>
      <c r="B3823" s="464" t="s">
        <v>14</v>
      </c>
      <c r="C3823" s="51"/>
      <c r="D3823" s="346">
        <v>610000004610</v>
      </c>
      <c r="E3823" s="346"/>
      <c r="F3823" s="347" t="s">
        <v>3446</v>
      </c>
      <c r="G3823" s="328" t="s">
        <v>27</v>
      </c>
      <c r="H3823" s="348" t="s">
        <v>3457</v>
      </c>
      <c r="I3823" s="347">
        <v>15</v>
      </c>
    </row>
    <row r="3824" spans="1:19" x14ac:dyDescent="0.25">
      <c r="A3824" t="s">
        <v>3317</v>
      </c>
      <c r="B3824" s="464" t="s">
        <v>14</v>
      </c>
      <c r="C3824" s="51"/>
      <c r="D3824" s="349">
        <v>610000004610</v>
      </c>
      <c r="E3824" s="349"/>
      <c r="F3824" s="350" t="s">
        <v>3446</v>
      </c>
      <c r="G3824" s="339" t="s">
        <v>3451</v>
      </c>
      <c r="H3824" s="351" t="s">
        <v>3458</v>
      </c>
      <c r="I3824" s="350">
        <v>15</v>
      </c>
    </row>
    <row r="3825" spans="1:9" x14ac:dyDescent="0.25">
      <c r="A3825" t="s">
        <v>3317</v>
      </c>
      <c r="B3825" s="464" t="s">
        <v>14</v>
      </c>
      <c r="C3825" s="51"/>
      <c r="D3825" s="343">
        <v>610000004611</v>
      </c>
      <c r="E3825" s="343"/>
      <c r="F3825" s="344" t="s">
        <v>3459</v>
      </c>
      <c r="G3825" s="345" t="s">
        <v>17</v>
      </c>
      <c r="H3825" s="345" t="s">
        <v>3460</v>
      </c>
      <c r="I3825" s="344">
        <v>15</v>
      </c>
    </row>
    <row r="3826" spans="1:9" x14ac:dyDescent="0.25">
      <c r="A3826" t="s">
        <v>3317</v>
      </c>
      <c r="B3826" s="464" t="s">
        <v>14</v>
      </c>
      <c r="C3826" s="51"/>
      <c r="D3826" s="346">
        <v>610000004611</v>
      </c>
      <c r="E3826" s="346"/>
      <c r="F3826" s="347" t="s">
        <v>3459</v>
      </c>
      <c r="G3826" s="348" t="s">
        <v>27</v>
      </c>
      <c r="H3826" s="348" t="s">
        <v>3461</v>
      </c>
      <c r="I3826" s="347">
        <v>15</v>
      </c>
    </row>
    <row r="3827" spans="1:9" x14ac:dyDescent="0.25">
      <c r="A3827" t="s">
        <v>3317</v>
      </c>
      <c r="B3827" s="464" t="s">
        <v>14</v>
      </c>
      <c r="C3827" s="51"/>
      <c r="D3827" s="349">
        <v>610000004611</v>
      </c>
      <c r="E3827" s="349"/>
      <c r="F3827" s="350" t="s">
        <v>3459</v>
      </c>
      <c r="G3827" s="351" t="s">
        <v>29</v>
      </c>
      <c r="H3827" s="351" t="s">
        <v>3462</v>
      </c>
      <c r="I3827" s="350">
        <v>15</v>
      </c>
    </row>
    <row r="3828" spans="1:9" x14ac:dyDescent="0.25">
      <c r="A3828" t="s">
        <v>3317</v>
      </c>
      <c r="B3828" s="464" t="s">
        <v>14</v>
      </c>
      <c r="C3828" s="51"/>
      <c r="D3828" s="417">
        <v>610000004612</v>
      </c>
      <c r="E3828" s="417"/>
      <c r="F3828" s="421" t="s">
        <v>3463</v>
      </c>
      <c r="G3828" s="420" t="s">
        <v>15</v>
      </c>
      <c r="H3828" s="420" t="s">
        <v>3464</v>
      </c>
      <c r="I3828" s="421">
        <v>30</v>
      </c>
    </row>
    <row r="3829" spans="1:9" x14ac:dyDescent="0.25">
      <c r="A3829" t="s">
        <v>3317</v>
      </c>
      <c r="B3829" s="464" t="s">
        <v>14</v>
      </c>
      <c r="C3829" s="51"/>
      <c r="D3829" s="349">
        <v>610000004612</v>
      </c>
      <c r="E3829" s="349"/>
      <c r="F3829" s="350" t="s">
        <v>3463</v>
      </c>
      <c r="G3829" s="351" t="s">
        <v>15</v>
      </c>
      <c r="H3829" s="351" t="s">
        <v>3465</v>
      </c>
      <c r="I3829" s="350">
        <v>30</v>
      </c>
    </row>
    <row r="3830" spans="1:9" x14ac:dyDescent="0.25">
      <c r="A3830" t="s">
        <v>3317</v>
      </c>
      <c r="B3830" s="464" t="s">
        <v>14</v>
      </c>
      <c r="C3830" s="51"/>
      <c r="D3830" s="417">
        <v>610000004613</v>
      </c>
      <c r="E3830" s="417">
        <v>101047</v>
      </c>
      <c r="F3830" s="421" t="s">
        <v>3466</v>
      </c>
      <c r="G3830" s="420" t="s">
        <v>3003</v>
      </c>
      <c r="H3830" s="420" t="s">
        <v>3467</v>
      </c>
      <c r="I3830" s="421">
        <v>60</v>
      </c>
    </row>
    <row r="3831" spans="1:9" x14ac:dyDescent="0.25">
      <c r="A3831" t="s">
        <v>3317</v>
      </c>
      <c r="B3831" s="464" t="s">
        <v>14</v>
      </c>
      <c r="C3831" s="51"/>
      <c r="D3831" s="349">
        <v>610000004613</v>
      </c>
      <c r="E3831" s="349">
        <v>101047</v>
      </c>
      <c r="F3831" s="350" t="s">
        <v>3466</v>
      </c>
      <c r="G3831" s="351" t="s">
        <v>3004</v>
      </c>
      <c r="H3831" s="351" t="s">
        <v>3468</v>
      </c>
      <c r="I3831" s="350">
        <v>60</v>
      </c>
    </row>
    <row r="3832" spans="1:9" x14ac:dyDescent="0.25">
      <c r="A3832" t="s">
        <v>3317</v>
      </c>
      <c r="B3832" s="464" t="s">
        <v>14</v>
      </c>
      <c r="C3832" s="51"/>
      <c r="D3832" s="343">
        <v>610000004614</v>
      </c>
      <c r="E3832" s="343"/>
      <c r="F3832" s="344" t="s">
        <v>3470</v>
      </c>
      <c r="G3832" s="345" t="s">
        <v>27</v>
      </c>
      <c r="H3832" s="345" t="s">
        <v>3471</v>
      </c>
      <c r="I3832" s="344">
        <v>180</v>
      </c>
    </row>
    <row r="3833" spans="1:9" x14ac:dyDescent="0.25">
      <c r="A3833" t="s">
        <v>3317</v>
      </c>
      <c r="B3833" s="464" t="s">
        <v>14</v>
      </c>
      <c r="C3833" s="51"/>
      <c r="D3833" s="415">
        <v>610000004614</v>
      </c>
      <c r="E3833" s="415"/>
      <c r="F3833" s="493" t="s">
        <v>3470</v>
      </c>
      <c r="G3833" s="494" t="s">
        <v>17</v>
      </c>
      <c r="H3833" s="494" t="s">
        <v>3473</v>
      </c>
      <c r="I3833" s="493">
        <v>180</v>
      </c>
    </row>
    <row r="3834" spans="1:9" x14ac:dyDescent="0.25">
      <c r="A3834" t="s">
        <v>3317</v>
      </c>
      <c r="B3834" s="464" t="s">
        <v>14</v>
      </c>
      <c r="C3834" s="51"/>
      <c r="D3834" s="352">
        <v>610000004614</v>
      </c>
      <c r="E3834" s="352"/>
      <c r="F3834" s="353" t="s">
        <v>3475</v>
      </c>
      <c r="G3834" s="61" t="s">
        <v>3003</v>
      </c>
      <c r="H3834" s="61" t="s">
        <v>3476</v>
      </c>
      <c r="I3834" s="353">
        <v>180</v>
      </c>
    </row>
    <row r="3835" spans="1:9" ht="15.75" thickBot="1" x14ac:dyDescent="0.3">
      <c r="A3835" t="s">
        <v>3317</v>
      </c>
      <c r="B3835" s="464" t="s">
        <v>14</v>
      </c>
      <c r="C3835" s="214"/>
      <c r="D3835" s="357">
        <v>610000004615</v>
      </c>
      <c r="E3835" s="357"/>
      <c r="F3835" s="358" t="s">
        <v>3475</v>
      </c>
      <c r="G3835" s="359" t="s">
        <v>3004</v>
      </c>
      <c r="H3835" s="359" t="s">
        <v>3479</v>
      </c>
      <c r="I3835" s="358">
        <v>180</v>
      </c>
    </row>
    <row r="3836" spans="1:9" x14ac:dyDescent="0.25">
      <c r="A3836" t="s">
        <v>3317</v>
      </c>
      <c r="B3836" s="50" t="s">
        <v>47</v>
      </c>
      <c r="C3836" s="445"/>
      <c r="D3836" s="343">
        <v>610000004616</v>
      </c>
      <c r="E3836" s="343">
        <v>101050</v>
      </c>
      <c r="F3836" s="344" t="s">
        <v>3481</v>
      </c>
      <c r="G3836" s="345" t="s">
        <v>48</v>
      </c>
      <c r="H3836" s="345" t="s">
        <v>3482</v>
      </c>
      <c r="I3836" s="344">
        <v>15</v>
      </c>
    </row>
    <row r="3837" spans="1:9" x14ac:dyDescent="0.25">
      <c r="A3837" t="s">
        <v>3317</v>
      </c>
      <c r="B3837" s="50" t="s">
        <v>47</v>
      </c>
      <c r="C3837" s="445"/>
      <c r="D3837" s="346">
        <v>610000004616</v>
      </c>
      <c r="E3837" s="346">
        <v>101050</v>
      </c>
      <c r="F3837" s="347" t="s">
        <v>3481</v>
      </c>
      <c r="G3837" s="348" t="s">
        <v>51</v>
      </c>
      <c r="H3837" s="348" t="s">
        <v>3483</v>
      </c>
      <c r="I3837" s="347">
        <v>15</v>
      </c>
    </row>
    <row r="3838" spans="1:9" x14ac:dyDescent="0.25">
      <c r="A3838" t="s">
        <v>3317</v>
      </c>
      <c r="B3838" s="50" t="s">
        <v>47</v>
      </c>
      <c r="C3838" s="445"/>
      <c r="D3838" s="346">
        <v>610000004616</v>
      </c>
      <c r="E3838" s="346">
        <v>101050</v>
      </c>
      <c r="F3838" s="347" t="s">
        <v>3481</v>
      </c>
      <c r="G3838" s="348" t="s">
        <v>53</v>
      </c>
      <c r="H3838" s="348" t="s">
        <v>3484</v>
      </c>
      <c r="I3838" s="347">
        <v>15</v>
      </c>
    </row>
    <row r="3839" spans="1:9" x14ac:dyDescent="0.25">
      <c r="A3839" t="s">
        <v>3317</v>
      </c>
      <c r="B3839" s="50" t="s">
        <v>47</v>
      </c>
      <c r="C3839" s="445"/>
      <c r="D3839" s="346">
        <v>610000004616</v>
      </c>
      <c r="E3839" s="346">
        <v>101050</v>
      </c>
      <c r="F3839" s="347" t="s">
        <v>3481</v>
      </c>
      <c r="G3839" s="348" t="s">
        <v>51</v>
      </c>
      <c r="H3839" s="348" t="s">
        <v>3485</v>
      </c>
      <c r="I3839" s="347">
        <v>15</v>
      </c>
    </row>
    <row r="3840" spans="1:9" x14ac:dyDescent="0.25">
      <c r="A3840" t="s">
        <v>3317</v>
      </c>
      <c r="B3840" s="50" t="s">
        <v>47</v>
      </c>
      <c r="C3840" s="445"/>
      <c r="D3840" s="346">
        <v>610000004616</v>
      </c>
      <c r="E3840" s="346">
        <v>101050</v>
      </c>
      <c r="F3840" s="347" t="s">
        <v>3481</v>
      </c>
      <c r="G3840" s="348" t="s">
        <v>53</v>
      </c>
      <c r="H3840" s="348" t="s">
        <v>3487</v>
      </c>
      <c r="I3840" s="347">
        <v>15</v>
      </c>
    </row>
    <row r="3841" spans="1:9" x14ac:dyDescent="0.25">
      <c r="A3841" t="s">
        <v>3317</v>
      </c>
      <c r="B3841" s="50" t="s">
        <v>47</v>
      </c>
      <c r="C3841" s="503"/>
      <c r="D3841" s="346">
        <v>610000004616</v>
      </c>
      <c r="E3841" s="346">
        <v>101050</v>
      </c>
      <c r="F3841" s="347" t="s">
        <v>3481</v>
      </c>
      <c r="G3841" s="348" t="s">
        <v>51</v>
      </c>
      <c r="H3841" s="348" t="s">
        <v>3488</v>
      </c>
      <c r="I3841" s="347">
        <v>15</v>
      </c>
    </row>
    <row r="3842" spans="1:9" x14ac:dyDescent="0.25">
      <c r="A3842" t="s">
        <v>3317</v>
      </c>
      <c r="B3842" s="50" t="s">
        <v>47</v>
      </c>
      <c r="C3842" s="51"/>
      <c r="D3842" s="349">
        <v>610000004616</v>
      </c>
      <c r="E3842" s="349">
        <v>101050</v>
      </c>
      <c r="F3842" s="350" t="s">
        <v>3481</v>
      </c>
      <c r="G3842" s="351" t="s">
        <v>53</v>
      </c>
      <c r="H3842" s="351" t="s">
        <v>3489</v>
      </c>
      <c r="I3842" s="350">
        <v>15</v>
      </c>
    </row>
    <row r="3843" spans="1:9" x14ac:dyDescent="0.25">
      <c r="A3843" t="s">
        <v>3317</v>
      </c>
      <c r="B3843" s="50" t="s">
        <v>47</v>
      </c>
      <c r="C3843" s="445"/>
      <c r="D3843" s="334"/>
      <c r="E3843" s="334"/>
      <c r="F3843" s="335" t="s">
        <v>3490</v>
      </c>
      <c r="G3843" s="336" t="s">
        <v>3020</v>
      </c>
      <c r="H3843" s="336" t="s">
        <v>3491</v>
      </c>
      <c r="I3843" s="335">
        <v>15</v>
      </c>
    </row>
    <row r="3844" spans="1:9" x14ac:dyDescent="0.25">
      <c r="A3844" t="s">
        <v>3317</v>
      </c>
      <c r="B3844" s="50" t="s">
        <v>47</v>
      </c>
      <c r="C3844" s="445"/>
      <c r="D3844" s="326"/>
      <c r="E3844" s="326"/>
      <c r="F3844" s="327" t="s">
        <v>3490</v>
      </c>
      <c r="G3844" s="328" t="s">
        <v>3021</v>
      </c>
      <c r="H3844" s="328" t="s">
        <v>3492</v>
      </c>
      <c r="I3844" s="327">
        <v>15</v>
      </c>
    </row>
    <row r="3845" spans="1:9" x14ac:dyDescent="0.25">
      <c r="A3845" t="s">
        <v>3317</v>
      </c>
      <c r="B3845" s="50" t="s">
        <v>47</v>
      </c>
      <c r="C3845" s="445"/>
      <c r="D3845" s="326"/>
      <c r="E3845" s="326"/>
      <c r="F3845" s="327" t="s">
        <v>3490</v>
      </c>
      <c r="G3845" s="328" t="s">
        <v>3022</v>
      </c>
      <c r="H3845" s="328" t="s">
        <v>3493</v>
      </c>
      <c r="I3845" s="327">
        <v>15</v>
      </c>
    </row>
    <row r="3846" spans="1:9" x14ac:dyDescent="0.25">
      <c r="A3846" t="s">
        <v>3317</v>
      </c>
      <c r="B3846" s="50" t="s">
        <v>47</v>
      </c>
      <c r="C3846" s="445"/>
      <c r="D3846" s="326"/>
      <c r="E3846" s="326"/>
      <c r="F3846" s="327" t="s">
        <v>3490</v>
      </c>
      <c r="G3846" s="328" t="s">
        <v>3023</v>
      </c>
      <c r="H3846" s="328" t="s">
        <v>3494</v>
      </c>
      <c r="I3846" s="327">
        <v>15</v>
      </c>
    </row>
    <row r="3847" spans="1:9" x14ac:dyDescent="0.25">
      <c r="A3847" t="s">
        <v>3317</v>
      </c>
      <c r="B3847" s="50" t="s">
        <v>47</v>
      </c>
      <c r="C3847" s="445"/>
      <c r="D3847" s="326"/>
      <c r="E3847" s="326"/>
      <c r="F3847" s="327" t="s">
        <v>3490</v>
      </c>
      <c r="G3847" s="328" t="s">
        <v>3025</v>
      </c>
      <c r="H3847" s="328" t="s">
        <v>3495</v>
      </c>
      <c r="I3847" s="327">
        <v>15</v>
      </c>
    </row>
    <row r="3848" spans="1:9" x14ac:dyDescent="0.25">
      <c r="A3848" t="s">
        <v>3317</v>
      </c>
      <c r="B3848" s="50" t="s">
        <v>47</v>
      </c>
      <c r="C3848" s="445"/>
      <c r="D3848" s="337"/>
      <c r="E3848" s="337"/>
      <c r="F3848" s="338" t="s">
        <v>3490</v>
      </c>
      <c r="G3848" s="339" t="s">
        <v>3027</v>
      </c>
      <c r="H3848" s="339" t="s">
        <v>3496</v>
      </c>
      <c r="I3848" s="338">
        <v>15</v>
      </c>
    </row>
    <row r="3849" spans="1:9" x14ac:dyDescent="0.25">
      <c r="A3849" t="s">
        <v>3317</v>
      </c>
      <c r="B3849" s="50" t="s">
        <v>47</v>
      </c>
      <c r="C3849" s="445"/>
      <c r="D3849" s="337">
        <v>610000004617</v>
      </c>
      <c r="E3849" s="337"/>
      <c r="F3849" s="338" t="s">
        <v>3497</v>
      </c>
      <c r="G3849" s="339" t="s">
        <v>48</v>
      </c>
      <c r="H3849" s="339" t="s">
        <v>3498</v>
      </c>
      <c r="I3849" s="338">
        <v>30</v>
      </c>
    </row>
    <row r="3850" spans="1:9" x14ac:dyDescent="0.25">
      <c r="A3850" t="s">
        <v>3317</v>
      </c>
      <c r="B3850" s="50" t="s">
        <v>47</v>
      </c>
      <c r="C3850" s="445"/>
      <c r="D3850" s="340">
        <v>610000004618</v>
      </c>
      <c r="E3850" s="340"/>
      <c r="F3850" s="341" t="s">
        <v>3499</v>
      </c>
      <c r="G3850" s="342" t="s">
        <v>51</v>
      </c>
      <c r="H3850" s="342" t="s">
        <v>3500</v>
      </c>
      <c r="I3850" s="330">
        <v>180</v>
      </c>
    </row>
    <row r="3851" spans="1:9" x14ac:dyDescent="0.25">
      <c r="A3851" t="s">
        <v>3317</v>
      </c>
      <c r="B3851" s="50" t="s">
        <v>47</v>
      </c>
      <c r="C3851" s="445"/>
      <c r="D3851" s="337">
        <v>610000004618</v>
      </c>
      <c r="E3851" s="337"/>
      <c r="F3851" s="338" t="s">
        <v>3499</v>
      </c>
      <c r="G3851" s="339" t="s">
        <v>53</v>
      </c>
      <c r="H3851" s="339" t="s">
        <v>3503</v>
      </c>
      <c r="I3851" s="383">
        <v>180</v>
      </c>
    </row>
    <row r="3852" spans="1:9" x14ac:dyDescent="0.25">
      <c r="A3852" t="s">
        <v>3317</v>
      </c>
      <c r="B3852" s="50" t="s">
        <v>47</v>
      </c>
      <c r="C3852" s="445"/>
      <c r="D3852" s="340"/>
      <c r="E3852" s="340"/>
      <c r="F3852" s="341" t="s">
        <v>3504</v>
      </c>
      <c r="G3852" s="342" t="s">
        <v>3020</v>
      </c>
      <c r="H3852" s="342" t="s">
        <v>3505</v>
      </c>
      <c r="I3852" s="341">
        <v>365</v>
      </c>
    </row>
    <row r="3853" spans="1:9" x14ac:dyDescent="0.25">
      <c r="A3853" t="s">
        <v>3317</v>
      </c>
      <c r="B3853" s="50" t="s">
        <v>47</v>
      </c>
      <c r="C3853" s="445"/>
      <c r="D3853" s="326"/>
      <c r="E3853" s="326"/>
      <c r="F3853" s="341" t="s">
        <v>3504</v>
      </c>
      <c r="G3853" s="328" t="s">
        <v>3021</v>
      </c>
      <c r="H3853" s="342" t="s">
        <v>3506</v>
      </c>
      <c r="I3853" s="327">
        <v>365</v>
      </c>
    </row>
    <row r="3854" spans="1:9" x14ac:dyDescent="0.25">
      <c r="A3854" t="s">
        <v>3317</v>
      </c>
      <c r="B3854" s="50" t="s">
        <v>47</v>
      </c>
      <c r="C3854" s="445"/>
      <c r="D3854" s="326"/>
      <c r="E3854" s="326"/>
      <c r="F3854" s="341" t="s">
        <v>3504</v>
      </c>
      <c r="G3854" s="328" t="s">
        <v>3022</v>
      </c>
      <c r="H3854" s="342" t="s">
        <v>3507</v>
      </c>
      <c r="I3854" s="327">
        <v>365</v>
      </c>
    </row>
    <row r="3855" spans="1:9" x14ac:dyDescent="0.25">
      <c r="A3855" t="s">
        <v>3317</v>
      </c>
      <c r="B3855" s="50" t="s">
        <v>47</v>
      </c>
      <c r="C3855" s="445"/>
      <c r="D3855" s="326"/>
      <c r="E3855" s="326"/>
      <c r="F3855" s="341" t="s">
        <v>3504</v>
      </c>
      <c r="G3855" s="328" t="s">
        <v>3023</v>
      </c>
      <c r="H3855" s="342" t="s">
        <v>3508</v>
      </c>
      <c r="I3855" s="327">
        <v>365</v>
      </c>
    </row>
    <row r="3856" spans="1:9" x14ac:dyDescent="0.25">
      <c r="A3856" t="s">
        <v>3317</v>
      </c>
      <c r="B3856" s="50" t="s">
        <v>47</v>
      </c>
      <c r="C3856" s="445"/>
      <c r="D3856" s="326"/>
      <c r="E3856" s="326"/>
      <c r="F3856" s="341" t="s">
        <v>3504</v>
      </c>
      <c r="G3856" s="328" t="s">
        <v>3025</v>
      </c>
      <c r="H3856" s="342" t="s">
        <v>3509</v>
      </c>
      <c r="I3856" s="327">
        <v>365</v>
      </c>
    </row>
    <row r="3857" spans="1:9" x14ac:dyDescent="0.25">
      <c r="A3857" t="s">
        <v>3317</v>
      </c>
      <c r="B3857" s="50" t="s">
        <v>47</v>
      </c>
      <c r="C3857" s="445"/>
      <c r="D3857" s="326"/>
      <c r="E3857" s="326"/>
      <c r="F3857" s="341" t="s">
        <v>3504</v>
      </c>
      <c r="G3857" s="328" t="s">
        <v>3027</v>
      </c>
      <c r="H3857" s="342" t="s">
        <v>3510</v>
      </c>
      <c r="I3857" s="327">
        <v>365</v>
      </c>
    </row>
    <row r="3858" spans="1:9" x14ac:dyDescent="0.25">
      <c r="A3858" t="s">
        <v>3317</v>
      </c>
      <c r="B3858" s="50" t="s">
        <v>47</v>
      </c>
      <c r="C3858" s="445"/>
      <c r="D3858" s="329"/>
      <c r="E3858" s="329"/>
      <c r="F3858" s="330" t="s">
        <v>3504</v>
      </c>
      <c r="G3858" s="331" t="s">
        <v>55</v>
      </c>
      <c r="H3858" s="342" t="s">
        <v>3511</v>
      </c>
      <c r="I3858" s="330">
        <v>365</v>
      </c>
    </row>
    <row r="3859" spans="1:9" ht="15.75" thickBot="1" x14ac:dyDescent="0.3">
      <c r="A3859" t="s">
        <v>3317</v>
      </c>
      <c r="B3859" s="50" t="s">
        <v>47</v>
      </c>
      <c r="C3859" s="520"/>
      <c r="D3859" s="366"/>
      <c r="E3859" s="366"/>
      <c r="F3859" s="367" t="s">
        <v>3504</v>
      </c>
      <c r="G3859" s="368" t="s">
        <v>55</v>
      </c>
      <c r="H3859" s="342" t="s">
        <v>3513</v>
      </c>
      <c r="I3859" s="367">
        <v>365</v>
      </c>
    </row>
    <row r="3860" spans="1:9" x14ac:dyDescent="0.25">
      <c r="A3860" t="s">
        <v>3317</v>
      </c>
      <c r="B3860" s="504" t="s">
        <v>91</v>
      </c>
      <c r="C3860" s="445"/>
      <c r="D3860" s="440">
        <v>610000004619</v>
      </c>
      <c r="E3860" s="440"/>
      <c r="F3860" s="442" t="s">
        <v>3514</v>
      </c>
      <c r="G3860" s="441" t="s">
        <v>61</v>
      </c>
      <c r="H3860" s="441" t="s">
        <v>3515</v>
      </c>
      <c r="I3860" s="442">
        <v>15</v>
      </c>
    </row>
    <row r="3861" spans="1:9" x14ac:dyDescent="0.25">
      <c r="A3861" t="s">
        <v>3317</v>
      </c>
      <c r="B3861" s="504" t="s">
        <v>91</v>
      </c>
      <c r="C3861" s="445"/>
      <c r="D3861" s="340">
        <v>610000004620</v>
      </c>
      <c r="E3861" s="340"/>
      <c r="F3861" s="341" t="s">
        <v>3516</v>
      </c>
      <c r="G3861" s="342" t="s">
        <v>68</v>
      </c>
      <c r="H3861" s="342" t="s">
        <v>3517</v>
      </c>
      <c r="I3861" s="341">
        <v>15</v>
      </c>
    </row>
    <row r="3862" spans="1:9" x14ac:dyDescent="0.25">
      <c r="A3862" t="s">
        <v>3317</v>
      </c>
      <c r="B3862" s="504" t="s">
        <v>91</v>
      </c>
      <c r="C3862" s="445"/>
      <c r="D3862" s="337">
        <v>610000004620</v>
      </c>
      <c r="E3862" s="337"/>
      <c r="F3862" s="338" t="s">
        <v>3516</v>
      </c>
      <c r="G3862" s="339" t="s">
        <v>63</v>
      </c>
      <c r="H3862" s="339" t="s">
        <v>3518</v>
      </c>
      <c r="I3862" s="338">
        <v>15</v>
      </c>
    </row>
    <row r="3863" spans="1:9" x14ac:dyDescent="0.25">
      <c r="A3863" t="s">
        <v>3317</v>
      </c>
      <c r="B3863" s="504" t="s">
        <v>91</v>
      </c>
      <c r="C3863" s="445"/>
      <c r="D3863" s="369">
        <v>610000004621</v>
      </c>
      <c r="E3863" s="369"/>
      <c r="F3863" s="370" t="s">
        <v>3520</v>
      </c>
      <c r="G3863" s="371" t="s">
        <v>57</v>
      </c>
      <c r="H3863" s="371" t="s">
        <v>3521</v>
      </c>
      <c r="I3863" s="370">
        <v>30</v>
      </c>
    </row>
    <row r="3864" spans="1:9" x14ac:dyDescent="0.25">
      <c r="A3864" t="s">
        <v>3317</v>
      </c>
      <c r="B3864" s="504" t="s">
        <v>91</v>
      </c>
      <c r="C3864" s="445"/>
      <c r="D3864" s="448">
        <v>610000004622</v>
      </c>
      <c r="E3864" s="448"/>
      <c r="F3864" s="383" t="s">
        <v>3524</v>
      </c>
      <c r="G3864" s="384" t="s">
        <v>57</v>
      </c>
      <c r="H3864" s="384" t="s">
        <v>3525</v>
      </c>
      <c r="I3864" s="383">
        <v>30</v>
      </c>
    </row>
    <row r="3865" spans="1:9" x14ac:dyDescent="0.25">
      <c r="A3865" t="s">
        <v>3317</v>
      </c>
      <c r="B3865" s="504" t="s">
        <v>91</v>
      </c>
      <c r="C3865" s="445"/>
      <c r="D3865" s="337">
        <v>610000004623</v>
      </c>
      <c r="E3865" s="337"/>
      <c r="F3865" s="338" t="s">
        <v>3526</v>
      </c>
      <c r="G3865" s="339" t="s">
        <v>57</v>
      </c>
      <c r="H3865" s="339" t="s">
        <v>3527</v>
      </c>
      <c r="I3865" s="338">
        <v>30</v>
      </c>
    </row>
    <row r="3866" spans="1:9" x14ac:dyDescent="0.25">
      <c r="A3866" t="s">
        <v>3317</v>
      </c>
      <c r="B3866" s="504" t="s">
        <v>91</v>
      </c>
      <c r="C3866" s="445"/>
      <c r="D3866" s="372">
        <v>610000004624</v>
      </c>
      <c r="E3866" s="372"/>
      <c r="F3866" s="333" t="s">
        <v>3528</v>
      </c>
      <c r="G3866" s="332" t="s">
        <v>63</v>
      </c>
      <c r="H3866" s="332" t="s">
        <v>3529</v>
      </c>
      <c r="I3866" s="333">
        <v>180</v>
      </c>
    </row>
    <row r="3867" spans="1:9" ht="15.75" thickBot="1" x14ac:dyDescent="0.3">
      <c r="A3867" t="s">
        <v>3317</v>
      </c>
      <c r="B3867" s="504" t="s">
        <v>91</v>
      </c>
      <c r="C3867" s="520"/>
      <c r="D3867" s="366"/>
      <c r="E3867" s="366"/>
      <c r="F3867" s="367"/>
      <c r="G3867" s="368"/>
      <c r="H3867" s="368"/>
      <c r="I3867" s="367"/>
    </row>
    <row r="3868" spans="1:9" x14ac:dyDescent="0.25">
      <c r="A3868" t="s">
        <v>3317</v>
      </c>
      <c r="B3868" s="504" t="s">
        <v>123</v>
      </c>
      <c r="C3868" s="445"/>
      <c r="D3868" s="529">
        <v>610000004625</v>
      </c>
      <c r="E3868" s="529">
        <v>101059</v>
      </c>
      <c r="F3868" s="530" t="s">
        <v>3532</v>
      </c>
      <c r="G3868" s="531" t="s">
        <v>135</v>
      </c>
      <c r="H3868" s="531" t="s">
        <v>3533</v>
      </c>
      <c r="I3868" s="530">
        <v>15</v>
      </c>
    </row>
    <row r="3869" spans="1:9" x14ac:dyDescent="0.25">
      <c r="A3869" t="s">
        <v>3317</v>
      </c>
      <c r="B3869" s="504" t="s">
        <v>123</v>
      </c>
      <c r="C3869" s="445"/>
      <c r="D3869" s="326">
        <v>610000004625</v>
      </c>
      <c r="E3869" s="326">
        <v>101059</v>
      </c>
      <c r="F3869" s="327" t="s">
        <v>3532</v>
      </c>
      <c r="G3869" s="328" t="s">
        <v>137</v>
      </c>
      <c r="H3869" s="328" t="s">
        <v>3534</v>
      </c>
      <c r="I3869" s="327">
        <v>15</v>
      </c>
    </row>
    <row r="3870" spans="1:9" x14ac:dyDescent="0.25">
      <c r="A3870" t="s">
        <v>3317</v>
      </c>
      <c r="B3870" s="504" t="s">
        <v>123</v>
      </c>
      <c r="C3870" s="445"/>
      <c r="D3870" s="337">
        <v>610000004625</v>
      </c>
      <c r="E3870" s="337">
        <v>101059</v>
      </c>
      <c r="F3870" s="338" t="s">
        <v>3532</v>
      </c>
      <c r="G3870" s="339" t="s">
        <v>3535</v>
      </c>
      <c r="H3870" s="339" t="s">
        <v>3536</v>
      </c>
      <c r="I3870" s="338">
        <v>15</v>
      </c>
    </row>
    <row r="3871" spans="1:9" x14ac:dyDescent="0.25">
      <c r="A3871" t="s">
        <v>3317</v>
      </c>
      <c r="B3871" s="504" t="s">
        <v>123</v>
      </c>
      <c r="C3871" s="445"/>
      <c r="D3871" s="340"/>
      <c r="E3871" s="340"/>
      <c r="F3871" s="341" t="s">
        <v>3537</v>
      </c>
      <c r="G3871" s="342" t="s">
        <v>126</v>
      </c>
      <c r="H3871" s="342" t="s">
        <v>3538</v>
      </c>
      <c r="I3871" s="341">
        <v>15</v>
      </c>
    </row>
    <row r="3872" spans="1:9" x14ac:dyDescent="0.25">
      <c r="A3872" t="s">
        <v>3317</v>
      </c>
      <c r="B3872" s="504" t="s">
        <v>123</v>
      </c>
      <c r="C3872" s="445"/>
      <c r="D3872" s="326"/>
      <c r="E3872" s="326"/>
      <c r="F3872" s="327" t="s">
        <v>3537</v>
      </c>
      <c r="G3872" s="328" t="s">
        <v>129</v>
      </c>
      <c r="H3872" s="328" t="s">
        <v>3539</v>
      </c>
      <c r="I3872" s="327">
        <v>15</v>
      </c>
    </row>
    <row r="3873" spans="1:9" x14ac:dyDescent="0.25">
      <c r="A3873" t="s">
        <v>3317</v>
      </c>
      <c r="B3873" s="504" t="s">
        <v>123</v>
      </c>
      <c r="C3873" s="445"/>
      <c r="D3873" s="334"/>
      <c r="E3873" s="334"/>
      <c r="F3873" s="335" t="s">
        <v>3540</v>
      </c>
      <c r="G3873" s="336" t="s">
        <v>141</v>
      </c>
      <c r="H3873" s="336" t="s">
        <v>3541</v>
      </c>
      <c r="I3873" s="335">
        <v>15</v>
      </c>
    </row>
    <row r="3874" spans="1:9" x14ac:dyDescent="0.25">
      <c r="A3874" t="s">
        <v>3317</v>
      </c>
      <c r="B3874" s="504" t="s">
        <v>123</v>
      </c>
      <c r="C3874" s="445"/>
      <c r="D3874" s="326"/>
      <c r="E3874" s="326"/>
      <c r="F3874" s="327" t="s">
        <v>3540</v>
      </c>
      <c r="G3874" s="328" t="s">
        <v>143</v>
      </c>
      <c r="H3874" s="328" t="s">
        <v>3533</v>
      </c>
      <c r="I3874" s="327">
        <v>15</v>
      </c>
    </row>
    <row r="3875" spans="1:9" x14ac:dyDescent="0.25">
      <c r="A3875" t="s">
        <v>3317</v>
      </c>
      <c r="B3875" s="504" t="s">
        <v>123</v>
      </c>
      <c r="C3875" s="445"/>
      <c r="D3875" s="337"/>
      <c r="E3875" s="337"/>
      <c r="F3875" s="338" t="s">
        <v>3540</v>
      </c>
      <c r="G3875" s="339" t="s">
        <v>143</v>
      </c>
      <c r="H3875" s="339" t="s">
        <v>3542</v>
      </c>
      <c r="I3875" s="338">
        <v>15</v>
      </c>
    </row>
    <row r="3876" spans="1:9" x14ac:dyDescent="0.25">
      <c r="A3876" t="s">
        <v>3317</v>
      </c>
      <c r="B3876" s="504" t="s">
        <v>123</v>
      </c>
      <c r="C3876" s="445"/>
      <c r="D3876" s="334">
        <v>610000004626</v>
      </c>
      <c r="E3876" s="334">
        <v>101060</v>
      </c>
      <c r="F3876" s="335" t="s">
        <v>3543</v>
      </c>
      <c r="G3876" s="336" t="s">
        <v>126</v>
      </c>
      <c r="H3876" s="336" t="s">
        <v>3544</v>
      </c>
      <c r="I3876" s="335">
        <v>15</v>
      </c>
    </row>
    <row r="3877" spans="1:9" x14ac:dyDescent="0.25">
      <c r="A3877" t="s">
        <v>3317</v>
      </c>
      <c r="B3877" s="504" t="s">
        <v>123</v>
      </c>
      <c r="C3877" s="445"/>
      <c r="D3877" s="337">
        <v>610000004626</v>
      </c>
      <c r="E3877" s="337">
        <v>101060</v>
      </c>
      <c r="F3877" s="338" t="s">
        <v>3543</v>
      </c>
      <c r="G3877" s="339" t="s">
        <v>129</v>
      </c>
      <c r="H3877" s="339" t="s">
        <v>3545</v>
      </c>
      <c r="I3877" s="338">
        <v>15</v>
      </c>
    </row>
    <row r="3878" spans="1:9" x14ac:dyDescent="0.25">
      <c r="A3878" t="s">
        <v>3317</v>
      </c>
      <c r="B3878" s="504" t="s">
        <v>123</v>
      </c>
      <c r="C3878" s="445"/>
      <c r="D3878" s="369"/>
      <c r="E3878" s="369"/>
      <c r="F3878" s="370" t="s">
        <v>3546</v>
      </c>
      <c r="G3878" s="371" t="s">
        <v>137</v>
      </c>
      <c r="H3878" s="371" t="s">
        <v>3547</v>
      </c>
      <c r="I3878" s="370">
        <v>15</v>
      </c>
    </row>
    <row r="3879" spans="1:9" x14ac:dyDescent="0.25">
      <c r="A3879" t="s">
        <v>3317</v>
      </c>
      <c r="B3879" s="504" t="s">
        <v>123</v>
      </c>
      <c r="C3879" s="445"/>
      <c r="D3879" s="448"/>
      <c r="E3879" s="448"/>
      <c r="F3879" s="383" t="s">
        <v>3548</v>
      </c>
      <c r="G3879" s="339" t="s">
        <v>141</v>
      </c>
      <c r="H3879" s="384" t="s">
        <v>3549</v>
      </c>
      <c r="I3879" s="370">
        <v>15</v>
      </c>
    </row>
    <row r="3880" spans="1:9" x14ac:dyDescent="0.25">
      <c r="A3880" t="s">
        <v>3317</v>
      </c>
      <c r="B3880" s="504" t="s">
        <v>123</v>
      </c>
      <c r="C3880" s="445"/>
      <c r="D3880" s="334">
        <v>610000004627</v>
      </c>
      <c r="E3880" s="334">
        <v>101061</v>
      </c>
      <c r="F3880" s="335" t="s">
        <v>3550</v>
      </c>
      <c r="G3880" s="336" t="s">
        <v>126</v>
      </c>
      <c r="H3880" s="336" t="s">
        <v>3551</v>
      </c>
      <c r="I3880" s="335">
        <v>30</v>
      </c>
    </row>
    <row r="3881" spans="1:9" x14ac:dyDescent="0.25">
      <c r="A3881" t="s">
        <v>3317</v>
      </c>
      <c r="B3881" s="504" t="s">
        <v>123</v>
      </c>
      <c r="C3881" s="445"/>
      <c r="D3881" s="337">
        <v>610000004627</v>
      </c>
      <c r="E3881" s="337">
        <v>101061</v>
      </c>
      <c r="F3881" s="338" t="s">
        <v>3550</v>
      </c>
      <c r="G3881" s="339" t="s">
        <v>129</v>
      </c>
      <c r="H3881" s="339" t="s">
        <v>3552</v>
      </c>
      <c r="I3881" s="338">
        <v>30</v>
      </c>
    </row>
    <row r="3882" spans="1:9" x14ac:dyDescent="0.25">
      <c r="A3882" t="s">
        <v>3317</v>
      </c>
      <c r="B3882" s="504" t="s">
        <v>123</v>
      </c>
      <c r="C3882" s="445"/>
      <c r="D3882" s="334">
        <v>610000004629</v>
      </c>
      <c r="E3882" s="334">
        <v>101063</v>
      </c>
      <c r="F3882" s="335" t="s">
        <v>3553</v>
      </c>
      <c r="G3882" s="336" t="s">
        <v>141</v>
      </c>
      <c r="H3882" s="336" t="s">
        <v>3554</v>
      </c>
      <c r="I3882" s="335">
        <v>30</v>
      </c>
    </row>
    <row r="3883" spans="1:9" x14ac:dyDescent="0.25">
      <c r="A3883" t="s">
        <v>3317</v>
      </c>
      <c r="B3883" s="504" t="s">
        <v>123</v>
      </c>
      <c r="C3883" s="445"/>
      <c r="D3883" s="326">
        <v>610000004629</v>
      </c>
      <c r="E3883" s="326">
        <v>101063</v>
      </c>
      <c r="F3883" s="327" t="s">
        <v>3553</v>
      </c>
      <c r="G3883" s="328" t="s">
        <v>143</v>
      </c>
      <c r="H3883" s="328" t="s">
        <v>3555</v>
      </c>
      <c r="I3883" s="327">
        <v>30</v>
      </c>
    </row>
    <row r="3884" spans="1:9" x14ac:dyDescent="0.25">
      <c r="A3884" t="s">
        <v>3317</v>
      </c>
      <c r="B3884" s="504" t="s">
        <v>123</v>
      </c>
      <c r="C3884" s="445"/>
      <c r="D3884" s="337">
        <v>610000004629</v>
      </c>
      <c r="E3884" s="337">
        <v>101063</v>
      </c>
      <c r="F3884" s="338" t="s">
        <v>3553</v>
      </c>
      <c r="G3884" s="339" t="s">
        <v>143</v>
      </c>
      <c r="H3884" s="339" t="s">
        <v>3556</v>
      </c>
      <c r="I3884" s="338">
        <v>30</v>
      </c>
    </row>
    <row r="3885" spans="1:9" x14ac:dyDescent="0.25">
      <c r="A3885" t="s">
        <v>3317</v>
      </c>
      <c r="B3885" s="504" t="s">
        <v>123</v>
      </c>
      <c r="C3885" s="445"/>
      <c r="D3885" s="334">
        <v>610000004628</v>
      </c>
      <c r="E3885" s="334">
        <v>101062</v>
      </c>
      <c r="F3885" s="335" t="s">
        <v>3557</v>
      </c>
      <c r="G3885" s="336" t="s">
        <v>3558</v>
      </c>
      <c r="H3885" s="336" t="s">
        <v>3559</v>
      </c>
      <c r="I3885" s="335">
        <v>30</v>
      </c>
    </row>
    <row r="3886" spans="1:9" x14ac:dyDescent="0.25">
      <c r="A3886" t="s">
        <v>3317</v>
      </c>
      <c r="B3886" s="504" t="s">
        <v>123</v>
      </c>
      <c r="C3886" s="445"/>
      <c r="D3886" s="326">
        <v>610000004628</v>
      </c>
      <c r="E3886" s="326">
        <v>101062</v>
      </c>
      <c r="F3886" s="327" t="s">
        <v>3557</v>
      </c>
      <c r="G3886" s="328" t="s">
        <v>3558</v>
      </c>
      <c r="H3886" s="328" t="s">
        <v>3560</v>
      </c>
      <c r="I3886" s="327">
        <v>30</v>
      </c>
    </row>
    <row r="3887" spans="1:9" x14ac:dyDescent="0.25">
      <c r="A3887" t="s">
        <v>3317</v>
      </c>
      <c r="B3887" s="504" t="s">
        <v>123</v>
      </c>
      <c r="C3887" s="445"/>
      <c r="D3887" s="326">
        <v>610000004628</v>
      </c>
      <c r="E3887" s="326">
        <v>101062</v>
      </c>
      <c r="F3887" s="327" t="s">
        <v>3557</v>
      </c>
      <c r="G3887" s="328" t="s">
        <v>3558</v>
      </c>
      <c r="H3887" s="328" t="s">
        <v>3561</v>
      </c>
      <c r="I3887" s="327">
        <v>30</v>
      </c>
    </row>
    <row r="3888" spans="1:9" x14ac:dyDescent="0.25">
      <c r="A3888" t="s">
        <v>3317</v>
      </c>
      <c r="B3888" s="504" t="s">
        <v>123</v>
      </c>
      <c r="C3888" s="445"/>
      <c r="D3888" s="326">
        <v>610000004628</v>
      </c>
      <c r="E3888" s="326">
        <v>101062</v>
      </c>
      <c r="F3888" s="327" t="s">
        <v>3557</v>
      </c>
      <c r="G3888" s="328" t="s">
        <v>3558</v>
      </c>
      <c r="H3888" s="328" t="s">
        <v>3562</v>
      </c>
      <c r="I3888" s="327">
        <v>30</v>
      </c>
    </row>
    <row r="3889" spans="1:9" x14ac:dyDescent="0.25">
      <c r="A3889" t="s">
        <v>3317</v>
      </c>
      <c r="B3889" s="504" t="s">
        <v>123</v>
      </c>
      <c r="C3889" s="445"/>
      <c r="D3889" s="326">
        <v>610000004628</v>
      </c>
      <c r="E3889" s="326">
        <v>101062</v>
      </c>
      <c r="F3889" s="327" t="s">
        <v>3557</v>
      </c>
      <c r="G3889" s="328" t="s">
        <v>3558</v>
      </c>
      <c r="H3889" s="328" t="s">
        <v>3563</v>
      </c>
      <c r="I3889" s="327">
        <v>30</v>
      </c>
    </row>
    <row r="3890" spans="1:9" x14ac:dyDescent="0.25">
      <c r="A3890" t="s">
        <v>3317</v>
      </c>
      <c r="B3890" s="504" t="s">
        <v>123</v>
      </c>
      <c r="C3890" s="445"/>
      <c r="D3890" s="326">
        <v>610000004628</v>
      </c>
      <c r="E3890" s="326">
        <v>101062</v>
      </c>
      <c r="F3890" s="327" t="s">
        <v>3557</v>
      </c>
      <c r="G3890" s="328" t="s">
        <v>3558</v>
      </c>
      <c r="H3890" s="328" t="s">
        <v>3564</v>
      </c>
      <c r="I3890" s="327">
        <v>30</v>
      </c>
    </row>
    <row r="3891" spans="1:9" x14ac:dyDescent="0.25">
      <c r="A3891" t="s">
        <v>3317</v>
      </c>
      <c r="B3891" s="504" t="s">
        <v>123</v>
      </c>
      <c r="C3891" s="445"/>
      <c r="D3891" s="326">
        <v>610000004628</v>
      </c>
      <c r="E3891" s="326">
        <v>101062</v>
      </c>
      <c r="F3891" s="327" t="s">
        <v>3557</v>
      </c>
      <c r="G3891" s="328" t="s">
        <v>137</v>
      </c>
      <c r="H3891" s="328" t="s">
        <v>3565</v>
      </c>
      <c r="I3891" s="327">
        <v>30</v>
      </c>
    </row>
    <row r="3892" spans="1:9" x14ac:dyDescent="0.25">
      <c r="A3892" t="s">
        <v>3317</v>
      </c>
      <c r="B3892" s="504" t="s">
        <v>123</v>
      </c>
      <c r="C3892" s="445"/>
      <c r="D3892" s="337">
        <v>610000004628</v>
      </c>
      <c r="E3892" s="337">
        <v>101062</v>
      </c>
      <c r="F3892" s="338" t="s">
        <v>3557</v>
      </c>
      <c r="G3892" s="339" t="s">
        <v>3535</v>
      </c>
      <c r="H3892" s="339" t="s">
        <v>3566</v>
      </c>
      <c r="I3892" s="338">
        <v>30</v>
      </c>
    </row>
    <row r="3893" spans="1:9" x14ac:dyDescent="0.25">
      <c r="A3893" t="s">
        <v>3317</v>
      </c>
      <c r="B3893" s="504" t="s">
        <v>123</v>
      </c>
      <c r="C3893" s="445"/>
      <c r="D3893" s="334">
        <v>610000004630</v>
      </c>
      <c r="E3893" s="334">
        <v>101064</v>
      </c>
      <c r="F3893" s="335" t="s">
        <v>3567</v>
      </c>
      <c r="G3893" s="336" t="s">
        <v>143</v>
      </c>
      <c r="H3893" s="336" t="s">
        <v>3568</v>
      </c>
      <c r="I3893" s="335">
        <v>60</v>
      </c>
    </row>
    <row r="3894" spans="1:9" x14ac:dyDescent="0.25">
      <c r="A3894" t="s">
        <v>3317</v>
      </c>
      <c r="B3894" s="504" t="s">
        <v>123</v>
      </c>
      <c r="C3894" s="445"/>
      <c r="D3894" s="326">
        <v>610000004630</v>
      </c>
      <c r="E3894" s="326">
        <v>101064</v>
      </c>
      <c r="F3894" s="327" t="s">
        <v>3567</v>
      </c>
      <c r="G3894" s="328" t="s">
        <v>143</v>
      </c>
      <c r="H3894" s="328" t="s">
        <v>3569</v>
      </c>
      <c r="I3894" s="327">
        <v>60</v>
      </c>
    </row>
    <row r="3895" spans="1:9" x14ac:dyDescent="0.25">
      <c r="A3895" t="s">
        <v>3317</v>
      </c>
      <c r="B3895" s="504" t="s">
        <v>123</v>
      </c>
      <c r="C3895" s="445"/>
      <c r="D3895" s="337">
        <v>610000004630</v>
      </c>
      <c r="E3895" s="337">
        <v>101064</v>
      </c>
      <c r="F3895" s="338" t="s">
        <v>3567</v>
      </c>
      <c r="G3895" s="339" t="s">
        <v>143</v>
      </c>
      <c r="H3895" s="339" t="s">
        <v>3570</v>
      </c>
      <c r="I3895" s="338">
        <v>60</v>
      </c>
    </row>
    <row r="3896" spans="1:9" x14ac:dyDescent="0.25">
      <c r="A3896" t="s">
        <v>3317</v>
      </c>
      <c r="B3896" s="504" t="s">
        <v>123</v>
      </c>
      <c r="C3896" s="445"/>
      <c r="D3896" s="334">
        <v>610000004631</v>
      </c>
      <c r="E3896" s="334">
        <v>101065</v>
      </c>
      <c r="F3896" s="335" t="s">
        <v>3571</v>
      </c>
      <c r="G3896" s="336" t="s">
        <v>3558</v>
      </c>
      <c r="H3896" s="336" t="s">
        <v>3572</v>
      </c>
      <c r="I3896" s="335">
        <v>60</v>
      </c>
    </row>
    <row r="3897" spans="1:9" x14ac:dyDescent="0.25">
      <c r="A3897" t="s">
        <v>3317</v>
      </c>
      <c r="B3897" s="504" t="s">
        <v>123</v>
      </c>
      <c r="C3897" s="445"/>
      <c r="D3897" s="340">
        <v>610000004631</v>
      </c>
      <c r="E3897" s="340">
        <v>101065</v>
      </c>
      <c r="F3897" s="341" t="s">
        <v>3571</v>
      </c>
      <c r="G3897" s="342" t="s">
        <v>3558</v>
      </c>
      <c r="H3897" s="331" t="s">
        <v>3573</v>
      </c>
      <c r="I3897" s="341">
        <v>60</v>
      </c>
    </row>
    <row r="3898" spans="1:9" x14ac:dyDescent="0.25">
      <c r="A3898" t="s">
        <v>3317</v>
      </c>
      <c r="B3898" s="504" t="s">
        <v>123</v>
      </c>
      <c r="C3898" s="445"/>
      <c r="D3898" s="340">
        <v>610000004631</v>
      </c>
      <c r="E3898" s="340">
        <v>101065</v>
      </c>
      <c r="F3898" s="341" t="s">
        <v>3571</v>
      </c>
      <c r="G3898" s="342" t="s">
        <v>3558</v>
      </c>
      <c r="H3898" s="328" t="s">
        <v>3574</v>
      </c>
      <c r="I3898" s="341">
        <v>60</v>
      </c>
    </row>
    <row r="3899" spans="1:9" x14ac:dyDescent="0.25">
      <c r="A3899" t="s">
        <v>3317</v>
      </c>
      <c r="B3899" s="504" t="s">
        <v>123</v>
      </c>
      <c r="C3899" s="445"/>
      <c r="D3899" s="334">
        <v>610000004632</v>
      </c>
      <c r="E3899" s="334">
        <v>101066</v>
      </c>
      <c r="F3899" s="335" t="s">
        <v>3575</v>
      </c>
      <c r="G3899" s="336" t="s">
        <v>3558</v>
      </c>
      <c r="H3899" s="336" t="s">
        <v>3576</v>
      </c>
      <c r="I3899" s="335">
        <v>180</v>
      </c>
    </row>
    <row r="3900" spans="1:9" x14ac:dyDescent="0.25">
      <c r="A3900" t="s">
        <v>3317</v>
      </c>
      <c r="B3900" s="504" t="s">
        <v>123</v>
      </c>
      <c r="C3900" s="445"/>
      <c r="D3900" s="326">
        <v>610000004632</v>
      </c>
      <c r="E3900" s="326">
        <v>101066</v>
      </c>
      <c r="F3900" s="327" t="s">
        <v>3575</v>
      </c>
      <c r="G3900" s="328" t="s">
        <v>3558</v>
      </c>
      <c r="H3900" s="328" t="s">
        <v>3577</v>
      </c>
      <c r="I3900" s="327">
        <v>180</v>
      </c>
    </row>
    <row r="3901" spans="1:9" x14ac:dyDescent="0.25">
      <c r="A3901" t="s">
        <v>3317</v>
      </c>
      <c r="B3901" s="504" t="s">
        <v>123</v>
      </c>
      <c r="C3901" s="445"/>
      <c r="D3901" s="326">
        <v>610000004632</v>
      </c>
      <c r="E3901" s="326">
        <v>101066</v>
      </c>
      <c r="F3901" s="327" t="s">
        <v>3575</v>
      </c>
      <c r="G3901" s="328" t="s">
        <v>3535</v>
      </c>
      <c r="H3901" s="328" t="s">
        <v>3578</v>
      </c>
      <c r="I3901" s="327">
        <v>180</v>
      </c>
    </row>
    <row r="3902" spans="1:9" x14ac:dyDescent="0.25">
      <c r="A3902" t="s">
        <v>3317</v>
      </c>
      <c r="B3902" s="504" t="s">
        <v>123</v>
      </c>
      <c r="C3902" s="445"/>
      <c r="D3902" s="337">
        <v>610000004632</v>
      </c>
      <c r="E3902" s="337">
        <v>101066</v>
      </c>
      <c r="F3902" s="338" t="s">
        <v>3575</v>
      </c>
      <c r="G3902" s="339" t="s">
        <v>137</v>
      </c>
      <c r="H3902" s="339" t="s">
        <v>3579</v>
      </c>
      <c r="I3902" s="338">
        <v>180</v>
      </c>
    </row>
    <row r="3903" spans="1:9" x14ac:dyDescent="0.25">
      <c r="A3903" t="s">
        <v>3317</v>
      </c>
      <c r="B3903" s="504" t="s">
        <v>123</v>
      </c>
      <c r="C3903" s="445"/>
      <c r="D3903" s="334"/>
      <c r="E3903" s="334"/>
      <c r="F3903" s="335" t="s">
        <v>3580</v>
      </c>
      <c r="G3903" s="336" t="s">
        <v>126</v>
      </c>
      <c r="H3903" s="336" t="s">
        <v>3581</v>
      </c>
      <c r="I3903" s="335">
        <v>180</v>
      </c>
    </row>
    <row r="3904" spans="1:9" x14ac:dyDescent="0.25">
      <c r="A3904" t="s">
        <v>3317</v>
      </c>
      <c r="B3904" s="504" t="s">
        <v>123</v>
      </c>
      <c r="C3904" s="445"/>
      <c r="D3904" s="337"/>
      <c r="E3904" s="337"/>
      <c r="F3904" s="338" t="s">
        <v>3580</v>
      </c>
      <c r="G3904" s="339" t="s">
        <v>129</v>
      </c>
      <c r="H3904" s="339" t="s">
        <v>3583</v>
      </c>
      <c r="I3904" s="338">
        <v>180</v>
      </c>
    </row>
    <row r="3905" spans="1:9" x14ac:dyDescent="0.25">
      <c r="A3905" t="s">
        <v>3317</v>
      </c>
      <c r="B3905" s="504" t="s">
        <v>123</v>
      </c>
      <c r="C3905" s="445"/>
      <c r="D3905" s="334"/>
      <c r="E3905" s="334"/>
      <c r="F3905" s="335" t="s">
        <v>3584</v>
      </c>
      <c r="G3905" s="336" t="s">
        <v>141</v>
      </c>
      <c r="H3905" s="336" t="s">
        <v>3585</v>
      </c>
      <c r="I3905" s="335">
        <v>180</v>
      </c>
    </row>
    <row r="3906" spans="1:9" x14ac:dyDescent="0.25">
      <c r="A3906" t="s">
        <v>3317</v>
      </c>
      <c r="B3906" s="504" t="s">
        <v>123</v>
      </c>
      <c r="C3906" s="445"/>
      <c r="D3906" s="337"/>
      <c r="E3906" s="337"/>
      <c r="F3906" s="338" t="s">
        <v>3584</v>
      </c>
      <c r="G3906" s="339" t="s">
        <v>143</v>
      </c>
      <c r="H3906" s="339" t="s">
        <v>3586</v>
      </c>
      <c r="I3906" s="338">
        <v>180</v>
      </c>
    </row>
    <row r="3907" spans="1:9" x14ac:dyDescent="0.25">
      <c r="A3907" t="s">
        <v>3317</v>
      </c>
      <c r="B3907" s="504" t="s">
        <v>123</v>
      </c>
      <c r="C3907" s="445"/>
      <c r="D3907" s="334"/>
      <c r="E3907" s="334"/>
      <c r="F3907" s="335" t="s">
        <v>3587</v>
      </c>
      <c r="G3907" s="336" t="s">
        <v>143</v>
      </c>
      <c r="H3907" s="336" t="s">
        <v>3588</v>
      </c>
      <c r="I3907" s="335">
        <v>180</v>
      </c>
    </row>
    <row r="3908" spans="1:9" x14ac:dyDescent="0.25">
      <c r="A3908" t="s">
        <v>3317</v>
      </c>
      <c r="B3908" s="504" t="s">
        <v>123</v>
      </c>
      <c r="C3908" s="445"/>
      <c r="D3908" s="337"/>
      <c r="E3908" s="337"/>
      <c r="F3908" s="338" t="s">
        <v>3587</v>
      </c>
      <c r="G3908" s="339" t="s">
        <v>143</v>
      </c>
      <c r="H3908" s="339" t="s">
        <v>3589</v>
      </c>
      <c r="I3908" s="338">
        <v>180</v>
      </c>
    </row>
    <row r="3909" spans="1:9" x14ac:dyDescent="0.25">
      <c r="A3909" t="s">
        <v>3317</v>
      </c>
      <c r="B3909" s="504" t="s">
        <v>123</v>
      </c>
      <c r="C3909" s="540"/>
      <c r="D3909" s="448"/>
      <c r="E3909" s="448"/>
      <c r="F3909" s="383" t="s">
        <v>3590</v>
      </c>
      <c r="G3909" s="384" t="s">
        <v>3558</v>
      </c>
      <c r="H3909" s="371" t="s">
        <v>3591</v>
      </c>
      <c r="I3909" s="383">
        <v>180</v>
      </c>
    </row>
  </sheetData>
  <mergeCells count="1490">
    <mergeCell ref="J3482:J3485"/>
    <mergeCell ref="K3482:K3485"/>
    <mergeCell ref="L3482:L3485"/>
    <mergeCell ref="M3482:M3485"/>
    <mergeCell ref="N3482:N3485"/>
    <mergeCell ref="J3479:J3481"/>
    <mergeCell ref="K3479:K3481"/>
    <mergeCell ref="L3479:L3481"/>
    <mergeCell ref="M3479:M3481"/>
    <mergeCell ref="N3479:N3481"/>
    <mergeCell ref="J3475:J3476"/>
    <mergeCell ref="K3475:K3476"/>
    <mergeCell ref="L3475:L3476"/>
    <mergeCell ref="M3475:M3476"/>
    <mergeCell ref="N3475:N3476"/>
    <mergeCell ref="J3465:J3474"/>
    <mergeCell ref="K3465:K3474"/>
    <mergeCell ref="L3465:L3474"/>
    <mergeCell ref="M3465:M3474"/>
    <mergeCell ref="N3465:N3474"/>
    <mergeCell ref="J3455:J3460"/>
    <mergeCell ref="K3455:K3460"/>
    <mergeCell ref="L3455:L3460"/>
    <mergeCell ref="M3455:M3460"/>
    <mergeCell ref="N3455:N3460"/>
    <mergeCell ref="J3448:J3454"/>
    <mergeCell ref="K3448:K3454"/>
    <mergeCell ref="L3448:L3454"/>
    <mergeCell ref="M3448:M3454"/>
    <mergeCell ref="N3448:N3454"/>
    <mergeCell ref="J3446:J3447"/>
    <mergeCell ref="K3446:K3447"/>
    <mergeCell ref="L3446:L3447"/>
    <mergeCell ref="M3446:M3447"/>
    <mergeCell ref="N3446:N3447"/>
    <mergeCell ref="J3442:J3443"/>
    <mergeCell ref="K3442:K3443"/>
    <mergeCell ref="L3442:L3443"/>
    <mergeCell ref="M3442:M3443"/>
    <mergeCell ref="N3442:N3443"/>
    <mergeCell ref="J3440:J3441"/>
    <mergeCell ref="K3440:K3441"/>
    <mergeCell ref="L3440:L3441"/>
    <mergeCell ref="M3440:M3441"/>
    <mergeCell ref="N3440:N3441"/>
    <mergeCell ref="J3435:J3438"/>
    <mergeCell ref="K3435:K3438"/>
    <mergeCell ref="L3435:L3438"/>
    <mergeCell ref="M3435:M3438"/>
    <mergeCell ref="N3435:N3438"/>
    <mergeCell ref="J3427:J3434"/>
    <mergeCell ref="K3427:K3434"/>
    <mergeCell ref="L3427:L3434"/>
    <mergeCell ref="M3427:M3434"/>
    <mergeCell ref="N3427:N3434"/>
    <mergeCell ref="J3424:J3425"/>
    <mergeCell ref="K3424:K3425"/>
    <mergeCell ref="L3424:L3425"/>
    <mergeCell ref="M3424:M3425"/>
    <mergeCell ref="N3424:N3425"/>
    <mergeCell ref="J3413:J3423"/>
    <mergeCell ref="K3413:K3423"/>
    <mergeCell ref="L3413:L3423"/>
    <mergeCell ref="M3413:M3423"/>
    <mergeCell ref="N3413:N3423"/>
    <mergeCell ref="J3409:J3412"/>
    <mergeCell ref="K3409:K3412"/>
    <mergeCell ref="L3409:L3412"/>
    <mergeCell ref="M3409:M3412"/>
    <mergeCell ref="N3409:N3412"/>
    <mergeCell ref="J3404:J3408"/>
    <mergeCell ref="K3404:K3408"/>
    <mergeCell ref="L3404:L3408"/>
    <mergeCell ref="M3404:M3408"/>
    <mergeCell ref="N3404:N3408"/>
    <mergeCell ref="J3402:J3403"/>
    <mergeCell ref="K3402:K3403"/>
    <mergeCell ref="L3402:L3403"/>
    <mergeCell ref="M3402:M3403"/>
    <mergeCell ref="N3402:N3403"/>
    <mergeCell ref="J3400:J3401"/>
    <mergeCell ref="K3400:K3401"/>
    <mergeCell ref="L3400:L3401"/>
    <mergeCell ref="M3400:M3401"/>
    <mergeCell ref="N3400:N3401"/>
    <mergeCell ref="J3392:J3399"/>
    <mergeCell ref="K3392:K3399"/>
    <mergeCell ref="L3392:L3399"/>
    <mergeCell ref="M3392:M3399"/>
    <mergeCell ref="N3392:N3399"/>
    <mergeCell ref="J3382:J3391"/>
    <mergeCell ref="K3382:K3391"/>
    <mergeCell ref="L3382:L3391"/>
    <mergeCell ref="M3382:M3391"/>
    <mergeCell ref="N3382:N3391"/>
    <mergeCell ref="J3372:J3381"/>
    <mergeCell ref="K3372:K3381"/>
    <mergeCell ref="L3372:L3381"/>
    <mergeCell ref="M3372:M3381"/>
    <mergeCell ref="N3372:N3381"/>
    <mergeCell ref="J3364:J3367"/>
    <mergeCell ref="K3364:K3367"/>
    <mergeCell ref="L3364:L3367"/>
    <mergeCell ref="M3364:M3367"/>
    <mergeCell ref="N3364:N3367"/>
    <mergeCell ref="J3359:J3363"/>
    <mergeCell ref="K3359:K3363"/>
    <mergeCell ref="L3359:L3363"/>
    <mergeCell ref="M3359:M3363"/>
    <mergeCell ref="N3359:N3363"/>
    <mergeCell ref="J3356:J3357"/>
    <mergeCell ref="K3356:K3357"/>
    <mergeCell ref="L3356:L3357"/>
    <mergeCell ref="M3356:M3357"/>
    <mergeCell ref="N3356:N3357"/>
    <mergeCell ref="J3349:J3353"/>
    <mergeCell ref="K3349:K3353"/>
    <mergeCell ref="L3349:L3353"/>
    <mergeCell ref="M3349:M3353"/>
    <mergeCell ref="N3349:N3353"/>
    <mergeCell ref="J3343:J3345"/>
    <mergeCell ref="K3343:K3345"/>
    <mergeCell ref="L3343:L3345"/>
    <mergeCell ref="M3343:M3345"/>
    <mergeCell ref="N3343:N3345"/>
    <mergeCell ref="J3340:J3341"/>
    <mergeCell ref="K3340:K3341"/>
    <mergeCell ref="L3340:L3341"/>
    <mergeCell ref="M3340:M3341"/>
    <mergeCell ref="N3340:N3341"/>
    <mergeCell ref="J3327:J3337"/>
    <mergeCell ref="K3327:K3337"/>
    <mergeCell ref="L3327:L3337"/>
    <mergeCell ref="M3327:M3337"/>
    <mergeCell ref="N3327:N3337"/>
    <mergeCell ref="J3320:J3325"/>
    <mergeCell ref="K3320:K3325"/>
    <mergeCell ref="L3320:L3325"/>
    <mergeCell ref="M3320:M3325"/>
    <mergeCell ref="N3320:N3325"/>
    <mergeCell ref="J3318:J3319"/>
    <mergeCell ref="K3318:K3319"/>
    <mergeCell ref="L3318:L3319"/>
    <mergeCell ref="M3318:M3319"/>
    <mergeCell ref="N3318:N3319"/>
    <mergeCell ref="J3315:J3317"/>
    <mergeCell ref="K3315:K3317"/>
    <mergeCell ref="L3315:L3317"/>
    <mergeCell ref="M3315:M3317"/>
    <mergeCell ref="N3315:N3317"/>
    <mergeCell ref="J3310:J3311"/>
    <mergeCell ref="K3310:K3311"/>
    <mergeCell ref="L3310:L3311"/>
    <mergeCell ref="M3310:M3311"/>
    <mergeCell ref="N3310:N3311"/>
    <mergeCell ref="J3308:J3309"/>
    <mergeCell ref="K3308:K3309"/>
    <mergeCell ref="L3308:L3309"/>
    <mergeCell ref="M3308:M3309"/>
    <mergeCell ref="N3308:N3309"/>
    <mergeCell ref="J3306:J3307"/>
    <mergeCell ref="K3306:K3307"/>
    <mergeCell ref="L3306:L3307"/>
    <mergeCell ref="M3306:M3307"/>
    <mergeCell ref="N3306:N3307"/>
    <mergeCell ref="J3299:J3302"/>
    <mergeCell ref="K3299:K3302"/>
    <mergeCell ref="L3299:L3302"/>
    <mergeCell ref="M3299:M3302"/>
    <mergeCell ref="N3299:N3302"/>
    <mergeCell ref="J3284:J3297"/>
    <mergeCell ref="K3284:K3297"/>
    <mergeCell ref="L3284:L3297"/>
    <mergeCell ref="M3284:M3297"/>
    <mergeCell ref="N3284:N3297"/>
    <mergeCell ref="J3274:J3283"/>
    <mergeCell ref="K3274:K3283"/>
    <mergeCell ref="L3274:L3283"/>
    <mergeCell ref="M3274:M3283"/>
    <mergeCell ref="N3274:N3283"/>
    <mergeCell ref="J3270:J3272"/>
    <mergeCell ref="K3270:K3272"/>
    <mergeCell ref="L3270:L3272"/>
    <mergeCell ref="M3270:M3272"/>
    <mergeCell ref="N3270:N3272"/>
    <mergeCell ref="J3264:J3269"/>
    <mergeCell ref="K3264:K3269"/>
    <mergeCell ref="L3264:L3269"/>
    <mergeCell ref="M3264:M3269"/>
    <mergeCell ref="N3264:N3269"/>
    <mergeCell ref="J3256:J3263"/>
    <mergeCell ref="K3256:K3263"/>
    <mergeCell ref="L3256:L3263"/>
    <mergeCell ref="M3256:M3263"/>
    <mergeCell ref="N3256:N3263"/>
    <mergeCell ref="J3252:J3255"/>
    <mergeCell ref="K3252:K3255"/>
    <mergeCell ref="L3252:L3255"/>
    <mergeCell ref="M3252:M3255"/>
    <mergeCell ref="N3252:N3255"/>
    <mergeCell ref="J3244:J3251"/>
    <mergeCell ref="K3244:K3251"/>
    <mergeCell ref="L3244:L3251"/>
    <mergeCell ref="M3244:M3251"/>
    <mergeCell ref="N3244:N3251"/>
    <mergeCell ref="J3234:J3243"/>
    <mergeCell ref="K3234:K3243"/>
    <mergeCell ref="L3234:L3243"/>
    <mergeCell ref="M3234:M3243"/>
    <mergeCell ref="N3234:N3243"/>
    <mergeCell ref="J3230:J3232"/>
    <mergeCell ref="K3230:K3232"/>
    <mergeCell ref="L3230:L3232"/>
    <mergeCell ref="M3230:M3232"/>
    <mergeCell ref="N3230:N3232"/>
    <mergeCell ref="J3228:J3229"/>
    <mergeCell ref="K3228:K3229"/>
    <mergeCell ref="L3228:L3229"/>
    <mergeCell ref="M3228:M3229"/>
    <mergeCell ref="N3228:N3229"/>
    <mergeCell ref="J3222:J3227"/>
    <mergeCell ref="K3222:K3227"/>
    <mergeCell ref="L3222:L3227"/>
    <mergeCell ref="M3222:M3227"/>
    <mergeCell ref="N3222:N3227"/>
    <mergeCell ref="J3217:J3221"/>
    <mergeCell ref="K3217:K3221"/>
    <mergeCell ref="L3217:L3221"/>
    <mergeCell ref="M3217:M3221"/>
    <mergeCell ref="N3217:N3221"/>
    <mergeCell ref="J3210:J3216"/>
    <mergeCell ref="K3210:K3216"/>
    <mergeCell ref="L3210:L3216"/>
    <mergeCell ref="M3210:M3216"/>
    <mergeCell ref="N3210:N3216"/>
    <mergeCell ref="J3207:J3209"/>
    <mergeCell ref="K3207:K3209"/>
    <mergeCell ref="L3207:L3209"/>
    <mergeCell ref="M3207:M3209"/>
    <mergeCell ref="N3207:N3209"/>
    <mergeCell ref="J3198:J3206"/>
    <mergeCell ref="K3198:K3206"/>
    <mergeCell ref="L3198:L3206"/>
    <mergeCell ref="M3198:M3206"/>
    <mergeCell ref="N3198:N3206"/>
    <mergeCell ref="J3184:J3197"/>
    <mergeCell ref="K3184:K3197"/>
    <mergeCell ref="L3184:L3197"/>
    <mergeCell ref="M3184:M3197"/>
    <mergeCell ref="N3184:N3197"/>
    <mergeCell ref="J3182:J3183"/>
    <mergeCell ref="K3182:K3183"/>
    <mergeCell ref="L3182:L3183"/>
    <mergeCell ref="M3182:M3183"/>
    <mergeCell ref="N3182:N3183"/>
    <mergeCell ref="J3173:J3175"/>
    <mergeCell ref="K3173:K3175"/>
    <mergeCell ref="L3173:L3175"/>
    <mergeCell ref="M3173:M3175"/>
    <mergeCell ref="N3173:N3175"/>
    <mergeCell ref="J3170:J3172"/>
    <mergeCell ref="K3170:K3172"/>
    <mergeCell ref="L3170:L3172"/>
    <mergeCell ref="M3170:M3172"/>
    <mergeCell ref="N3170:N3172"/>
    <mergeCell ref="J3167:J3169"/>
    <mergeCell ref="K3167:K3169"/>
    <mergeCell ref="L3167:L3169"/>
    <mergeCell ref="M3167:M3169"/>
    <mergeCell ref="N3167:N3169"/>
    <mergeCell ref="J3163:J3166"/>
    <mergeCell ref="K3163:K3166"/>
    <mergeCell ref="L3163:L3166"/>
    <mergeCell ref="M3163:M3166"/>
    <mergeCell ref="N3163:N3166"/>
    <mergeCell ref="J3161:J3162"/>
    <mergeCell ref="K3161:K3162"/>
    <mergeCell ref="L3161:L3162"/>
    <mergeCell ref="M3161:M3162"/>
    <mergeCell ref="N3161:N3162"/>
    <mergeCell ref="J3159:J3160"/>
    <mergeCell ref="K3159:K3160"/>
    <mergeCell ref="L3159:L3160"/>
    <mergeCell ref="M3159:M3160"/>
    <mergeCell ref="N3159:N3160"/>
    <mergeCell ref="J3148:J3156"/>
    <mergeCell ref="K3148:K3156"/>
    <mergeCell ref="L3148:L3156"/>
    <mergeCell ref="M3148:M3156"/>
    <mergeCell ref="N3148:N3156"/>
    <mergeCell ref="J3132:J3147"/>
    <mergeCell ref="K3132:K3147"/>
    <mergeCell ref="L3132:L3147"/>
    <mergeCell ref="M3132:M3147"/>
    <mergeCell ref="N3132:N3147"/>
    <mergeCell ref="J3118:J3131"/>
    <mergeCell ref="K3118:K3131"/>
    <mergeCell ref="L3118:L3131"/>
    <mergeCell ref="M3118:M3131"/>
    <mergeCell ref="N3118:N3131"/>
    <mergeCell ref="J3102:J3117"/>
    <mergeCell ref="K3102:K3117"/>
    <mergeCell ref="L3102:L3117"/>
    <mergeCell ref="M3102:M3117"/>
    <mergeCell ref="N3102:N3117"/>
    <mergeCell ref="J3094:J3101"/>
    <mergeCell ref="K3094:K3101"/>
    <mergeCell ref="L3094:L3101"/>
    <mergeCell ref="M3094:M3101"/>
    <mergeCell ref="N3094:N3101"/>
    <mergeCell ref="J3092:J3093"/>
    <mergeCell ref="K3092:K3093"/>
    <mergeCell ref="L3092:L3093"/>
    <mergeCell ref="M3092:M3093"/>
    <mergeCell ref="N3092:N3093"/>
    <mergeCell ref="J3089:J3091"/>
    <mergeCell ref="K3089:K3091"/>
    <mergeCell ref="L3089:L3091"/>
    <mergeCell ref="M3089:M3091"/>
    <mergeCell ref="N3089:N3091"/>
    <mergeCell ref="J3084:J3088"/>
    <mergeCell ref="K3084:K3088"/>
    <mergeCell ref="L3084:L3088"/>
    <mergeCell ref="M3084:M3088"/>
    <mergeCell ref="N3084:N3088"/>
    <mergeCell ref="J3082:J3083"/>
    <mergeCell ref="K3082:K3083"/>
    <mergeCell ref="L3082:L3083"/>
    <mergeCell ref="M3082:M3083"/>
    <mergeCell ref="N3082:N3083"/>
    <mergeCell ref="J3080:J3081"/>
    <mergeCell ref="K3080:K3081"/>
    <mergeCell ref="L3080:L3081"/>
    <mergeCell ref="M3080:M3081"/>
    <mergeCell ref="N3080:N3081"/>
    <mergeCell ref="J3077:J3079"/>
    <mergeCell ref="K3077:K3079"/>
    <mergeCell ref="L3077:L3079"/>
    <mergeCell ref="M3077:M3079"/>
    <mergeCell ref="N3077:N3079"/>
    <mergeCell ref="J3068:J3069"/>
    <mergeCell ref="K3068:K3069"/>
    <mergeCell ref="L3068:L3069"/>
    <mergeCell ref="M3068:M3069"/>
    <mergeCell ref="N3068:N3069"/>
    <mergeCell ref="J3062:J3067"/>
    <mergeCell ref="K3062:K3067"/>
    <mergeCell ref="L3062:L3067"/>
    <mergeCell ref="M3062:M3067"/>
    <mergeCell ref="N3062:N3067"/>
    <mergeCell ref="J3058:J3061"/>
    <mergeCell ref="K3058:K3061"/>
    <mergeCell ref="L3058:L3061"/>
    <mergeCell ref="M3058:M3061"/>
    <mergeCell ref="N3058:N3061"/>
    <mergeCell ref="J3052:J3054"/>
    <mergeCell ref="K3052:K3054"/>
    <mergeCell ref="L3052:L3054"/>
    <mergeCell ref="M3052:M3054"/>
    <mergeCell ref="N3052:N3054"/>
    <mergeCell ref="J3049:J3050"/>
    <mergeCell ref="K3049:K3050"/>
    <mergeCell ref="L3049:L3050"/>
    <mergeCell ref="M3049:M3050"/>
    <mergeCell ref="N3049:N3050"/>
    <mergeCell ref="J3043:J3044"/>
    <mergeCell ref="K3043:K3044"/>
    <mergeCell ref="L3043:L3044"/>
    <mergeCell ref="M3043:M3044"/>
    <mergeCell ref="N3043:N3044"/>
    <mergeCell ref="J3038:J3041"/>
    <mergeCell ref="K3038:K3041"/>
    <mergeCell ref="L3038:L3041"/>
    <mergeCell ref="M3038:M3041"/>
    <mergeCell ref="N3038:N3041"/>
    <mergeCell ref="J3018:J3037"/>
    <mergeCell ref="K3018:K3037"/>
    <mergeCell ref="L3018:L3037"/>
    <mergeCell ref="M3018:M3037"/>
    <mergeCell ref="N3018:N3037"/>
    <mergeCell ref="J3012:J3016"/>
    <mergeCell ref="K3012:K3016"/>
    <mergeCell ref="L3012:L3016"/>
    <mergeCell ref="M3012:M3016"/>
    <mergeCell ref="N3012:N3016"/>
    <mergeCell ref="J3010:J3011"/>
    <mergeCell ref="K3010:K3011"/>
    <mergeCell ref="L3010:L3011"/>
    <mergeCell ref="M3010:M3011"/>
    <mergeCell ref="N3010:N3011"/>
    <mergeCell ref="J3005:J3009"/>
    <mergeCell ref="K3005:K3009"/>
    <mergeCell ref="L3005:L3009"/>
    <mergeCell ref="M3005:M3009"/>
    <mergeCell ref="N3005:N3009"/>
    <mergeCell ref="J2997:J3000"/>
    <mergeCell ref="K2997:K3000"/>
    <mergeCell ref="L2997:L3000"/>
    <mergeCell ref="M2997:M3000"/>
    <mergeCell ref="N2997:N3000"/>
    <mergeCell ref="J2991:J2995"/>
    <mergeCell ref="K2991:K2995"/>
    <mergeCell ref="L2991:L2995"/>
    <mergeCell ref="M2991:M2995"/>
    <mergeCell ref="N2991:N2995"/>
    <mergeCell ref="J2978:J2985"/>
    <mergeCell ref="K2978:K2985"/>
    <mergeCell ref="L2978:L2985"/>
    <mergeCell ref="M2978:M2985"/>
    <mergeCell ref="N2978:N2985"/>
    <mergeCell ref="J2969:J2977"/>
    <mergeCell ref="K2969:K2977"/>
    <mergeCell ref="L2969:L2977"/>
    <mergeCell ref="M2969:M2977"/>
    <mergeCell ref="N2969:N2977"/>
    <mergeCell ref="J2966:J2968"/>
    <mergeCell ref="K2966:K2968"/>
    <mergeCell ref="L2966:L2968"/>
    <mergeCell ref="M2966:M2968"/>
    <mergeCell ref="N2966:N2968"/>
    <mergeCell ref="J2954:J2964"/>
    <mergeCell ref="K2954:K2964"/>
    <mergeCell ref="L2954:L2964"/>
    <mergeCell ref="M2954:M2964"/>
    <mergeCell ref="N2954:N2964"/>
    <mergeCell ref="J2950:J2951"/>
    <mergeCell ref="K2950:K2951"/>
    <mergeCell ref="L2950:L2951"/>
    <mergeCell ref="M2950:M2951"/>
    <mergeCell ref="N2950:N2951"/>
    <mergeCell ref="J2943:J2949"/>
    <mergeCell ref="K2943:K2949"/>
    <mergeCell ref="L2943:L2949"/>
    <mergeCell ref="M2943:M2949"/>
    <mergeCell ref="N2943:N2949"/>
    <mergeCell ref="J2920:J2939"/>
    <mergeCell ref="K2920:K2939"/>
    <mergeCell ref="L2920:L2939"/>
    <mergeCell ref="M2920:M2939"/>
    <mergeCell ref="N2920:N2939"/>
    <mergeCell ref="J2909:J2918"/>
    <mergeCell ref="K2909:K2918"/>
    <mergeCell ref="L2909:L2918"/>
    <mergeCell ref="M2909:M2918"/>
    <mergeCell ref="N2909:N2918"/>
    <mergeCell ref="J2902:J2906"/>
    <mergeCell ref="K2902:K2906"/>
    <mergeCell ref="L2902:L2906"/>
    <mergeCell ref="M2902:M2906"/>
    <mergeCell ref="N2902:N2906"/>
    <mergeCell ref="J2900:J2901"/>
    <mergeCell ref="K2900:K2901"/>
    <mergeCell ref="L2900:L2901"/>
    <mergeCell ref="M2900:M2901"/>
    <mergeCell ref="N2900:N2901"/>
    <mergeCell ref="J2896:J2899"/>
    <mergeCell ref="K2896:K2899"/>
    <mergeCell ref="L2896:L2899"/>
    <mergeCell ref="M2896:M2899"/>
    <mergeCell ref="N2896:N2899"/>
    <mergeCell ref="J2893:J2894"/>
    <mergeCell ref="K2893:K2894"/>
    <mergeCell ref="L2893:L2894"/>
    <mergeCell ref="M2893:M2894"/>
    <mergeCell ref="N2893:N2894"/>
    <mergeCell ref="J2891:J2892"/>
    <mergeCell ref="K2891:K2892"/>
    <mergeCell ref="L2891:L2892"/>
    <mergeCell ref="M2891:M2892"/>
    <mergeCell ref="N2891:N2892"/>
    <mergeCell ref="J2886:J2890"/>
    <mergeCell ref="K2886:K2890"/>
    <mergeCell ref="L2886:L2890"/>
    <mergeCell ref="M2886:M2890"/>
    <mergeCell ref="N2886:N2890"/>
    <mergeCell ref="J2883:J2885"/>
    <mergeCell ref="K2883:K2885"/>
    <mergeCell ref="L2883:L2885"/>
    <mergeCell ref="M2883:M2885"/>
    <mergeCell ref="N2883:N2885"/>
    <mergeCell ref="J2878:J2882"/>
    <mergeCell ref="K2878:K2882"/>
    <mergeCell ref="L2878:L2882"/>
    <mergeCell ref="M2878:M2882"/>
    <mergeCell ref="N2878:N2882"/>
    <mergeCell ref="J2874:J2877"/>
    <mergeCell ref="K2874:K2877"/>
    <mergeCell ref="L2874:L2877"/>
    <mergeCell ref="M2874:M2877"/>
    <mergeCell ref="N2874:N2877"/>
    <mergeCell ref="J2869:J2872"/>
    <mergeCell ref="K2869:K2872"/>
    <mergeCell ref="L2869:L2872"/>
    <mergeCell ref="M2869:M2872"/>
    <mergeCell ref="N2869:N2872"/>
    <mergeCell ref="J2866:J2867"/>
    <mergeCell ref="K2866:K2867"/>
    <mergeCell ref="L2866:L2867"/>
    <mergeCell ref="M2866:M2867"/>
    <mergeCell ref="N2866:N2867"/>
    <mergeCell ref="J2861:J2865"/>
    <mergeCell ref="K2861:K2865"/>
    <mergeCell ref="L2861:L2865"/>
    <mergeCell ref="M2861:M2865"/>
    <mergeCell ref="N2861:N2865"/>
    <mergeCell ref="J2855:J2859"/>
    <mergeCell ref="K2855:K2859"/>
    <mergeCell ref="L2855:L2859"/>
    <mergeCell ref="M2855:M2859"/>
    <mergeCell ref="N2855:N2859"/>
    <mergeCell ref="J2840:J2854"/>
    <mergeCell ref="K2840:K2854"/>
    <mergeCell ref="L2840:L2854"/>
    <mergeCell ref="M2840:M2854"/>
    <mergeCell ref="N2840:N2854"/>
    <mergeCell ref="J2836:J2839"/>
    <mergeCell ref="K2836:K2839"/>
    <mergeCell ref="L2836:L2839"/>
    <mergeCell ref="M2836:M2839"/>
    <mergeCell ref="N2836:N2839"/>
    <mergeCell ref="J2834:J2835"/>
    <mergeCell ref="K2834:K2835"/>
    <mergeCell ref="L2834:L2835"/>
    <mergeCell ref="M2834:M2835"/>
    <mergeCell ref="N2834:N2835"/>
    <mergeCell ref="J2826:J2829"/>
    <mergeCell ref="K2826:K2829"/>
    <mergeCell ref="L2826:L2829"/>
    <mergeCell ref="M2826:M2829"/>
    <mergeCell ref="N2826:N2829"/>
    <mergeCell ref="J2819:J2825"/>
    <mergeCell ref="K2819:K2825"/>
    <mergeCell ref="L2819:L2825"/>
    <mergeCell ref="M2819:M2825"/>
    <mergeCell ref="N2819:N2825"/>
    <mergeCell ref="J2817:J2818"/>
    <mergeCell ref="K2817:K2818"/>
    <mergeCell ref="L2817:L2818"/>
    <mergeCell ref="M2817:M2818"/>
    <mergeCell ref="N2817:N2818"/>
    <mergeCell ref="J2813:J2816"/>
    <mergeCell ref="K2813:K2816"/>
    <mergeCell ref="L2813:L2816"/>
    <mergeCell ref="M2813:M2816"/>
    <mergeCell ref="N2813:N2816"/>
    <mergeCell ref="J2806:J2809"/>
    <mergeCell ref="K2806:K2809"/>
    <mergeCell ref="L2806:L2809"/>
    <mergeCell ref="M2806:M2809"/>
    <mergeCell ref="N2806:N2809"/>
    <mergeCell ref="J2792:J2803"/>
    <mergeCell ref="K2792:K2803"/>
    <mergeCell ref="L2792:L2803"/>
    <mergeCell ref="M2792:M2803"/>
    <mergeCell ref="N2792:N2803"/>
    <mergeCell ref="J2787:J2791"/>
    <mergeCell ref="K2787:K2791"/>
    <mergeCell ref="L2787:L2791"/>
    <mergeCell ref="M2787:M2791"/>
    <mergeCell ref="N2787:N2791"/>
    <mergeCell ref="J2769:J2784"/>
    <mergeCell ref="K2769:K2784"/>
    <mergeCell ref="L2769:L2784"/>
    <mergeCell ref="M2769:M2784"/>
    <mergeCell ref="N2769:N2784"/>
    <mergeCell ref="J2763:J2768"/>
    <mergeCell ref="K2763:K2768"/>
    <mergeCell ref="L2763:L2768"/>
    <mergeCell ref="M2763:M2768"/>
    <mergeCell ref="N2763:N2768"/>
    <mergeCell ref="J2752:J2762"/>
    <mergeCell ref="K2752:K2762"/>
    <mergeCell ref="L2752:L2762"/>
    <mergeCell ref="M2752:M2762"/>
    <mergeCell ref="N2752:N2762"/>
    <mergeCell ref="J2739:J2751"/>
    <mergeCell ref="K2739:K2751"/>
    <mergeCell ref="L2739:L2751"/>
    <mergeCell ref="M2739:M2751"/>
    <mergeCell ref="N2739:N2751"/>
    <mergeCell ref="J2727:J2738"/>
    <mergeCell ref="K2727:K2738"/>
    <mergeCell ref="L2727:L2738"/>
    <mergeCell ref="M2727:M2738"/>
    <mergeCell ref="N2727:N2738"/>
    <mergeCell ref="J2720:J2723"/>
    <mergeCell ref="K2720:K2723"/>
    <mergeCell ref="L2720:L2723"/>
    <mergeCell ref="M2720:M2723"/>
    <mergeCell ref="N2720:N2723"/>
    <mergeCell ref="J2718:J2719"/>
    <mergeCell ref="K2718:K2719"/>
    <mergeCell ref="L2718:L2719"/>
    <mergeCell ref="M2718:M2719"/>
    <mergeCell ref="N2718:N2719"/>
    <mergeCell ref="J2709:J2716"/>
    <mergeCell ref="K2709:K2716"/>
    <mergeCell ref="L2709:L2716"/>
    <mergeCell ref="M2709:M2716"/>
    <mergeCell ref="N2709:N2716"/>
    <mergeCell ref="J2707:J2708"/>
    <mergeCell ref="K2707:K2708"/>
    <mergeCell ref="L2707:L2708"/>
    <mergeCell ref="M2707:M2708"/>
    <mergeCell ref="N2707:N2708"/>
    <mergeCell ref="J2702:J2706"/>
    <mergeCell ref="K2702:K2706"/>
    <mergeCell ref="L2702:L2706"/>
    <mergeCell ref="M2702:M2706"/>
    <mergeCell ref="N2702:N2706"/>
    <mergeCell ref="N2693:N2696"/>
    <mergeCell ref="J2697:J2700"/>
    <mergeCell ref="K2697:K2700"/>
    <mergeCell ref="L2697:L2700"/>
    <mergeCell ref="M2697:M2700"/>
    <mergeCell ref="N2697:N2700"/>
    <mergeCell ref="J2688:J2692"/>
    <mergeCell ref="J2693:J2696"/>
    <mergeCell ref="K2693:K2696"/>
    <mergeCell ref="L2693:L2696"/>
    <mergeCell ref="M2693:M2696"/>
    <mergeCell ref="J2662:J2666"/>
    <mergeCell ref="J2667:J2668"/>
    <mergeCell ref="J2669:J2671"/>
    <mergeCell ref="J2672:J2673"/>
    <mergeCell ref="J2674:J2682"/>
    <mergeCell ref="J2683:J2687"/>
    <mergeCell ref="J2639:J2641"/>
    <mergeCell ref="J2642:J2643"/>
    <mergeCell ref="J2645:J2646"/>
    <mergeCell ref="J2648:J2651"/>
    <mergeCell ref="J2654:J2658"/>
    <mergeCell ref="J2659:J2660"/>
    <mergeCell ref="K2667:K2668"/>
    <mergeCell ref="L2667:L2668"/>
    <mergeCell ref="M2667:M2668"/>
    <mergeCell ref="K2645:K2646"/>
    <mergeCell ref="L2645:L2646"/>
    <mergeCell ref="M2645:M2646"/>
    <mergeCell ref="J2610:J2612"/>
    <mergeCell ref="J2613:J2616"/>
    <mergeCell ref="J2621:J2622"/>
    <mergeCell ref="J2624:J2625"/>
    <mergeCell ref="J2626:J2629"/>
    <mergeCell ref="J2635:J2638"/>
    <mergeCell ref="J2590:J2591"/>
    <mergeCell ref="J2593:J2594"/>
    <mergeCell ref="J2597:J2600"/>
    <mergeCell ref="J2601:J2603"/>
    <mergeCell ref="J2604:J2606"/>
    <mergeCell ref="J2607:J2609"/>
    <mergeCell ref="J2555:J2565"/>
    <mergeCell ref="J2566:J2567"/>
    <mergeCell ref="J2569:J2570"/>
    <mergeCell ref="J2572:J2574"/>
    <mergeCell ref="J2575:J2580"/>
    <mergeCell ref="J2581:J2589"/>
    <mergeCell ref="J2513:J2521"/>
    <mergeCell ref="J2523:J2531"/>
    <mergeCell ref="J2533:J2535"/>
    <mergeCell ref="J2541:J2544"/>
    <mergeCell ref="J2548:J2549"/>
    <mergeCell ref="J2550:J2554"/>
    <mergeCell ref="K2688:K2692"/>
    <mergeCell ref="L2688:L2692"/>
    <mergeCell ref="M2688:M2692"/>
    <mergeCell ref="N2688:N2692"/>
    <mergeCell ref="K2683:K2687"/>
    <mergeCell ref="L2683:L2687"/>
    <mergeCell ref="M2683:M2687"/>
    <mergeCell ref="N2683:N2687"/>
    <mergeCell ref="K2674:K2682"/>
    <mergeCell ref="L2674:L2682"/>
    <mergeCell ref="M2674:M2682"/>
    <mergeCell ref="N2674:N2682"/>
    <mergeCell ref="K2672:K2673"/>
    <mergeCell ref="L2672:L2673"/>
    <mergeCell ref="M2672:M2673"/>
    <mergeCell ref="N2672:N2673"/>
    <mergeCell ref="K2669:K2671"/>
    <mergeCell ref="L2669:L2671"/>
    <mergeCell ref="M2669:M2671"/>
    <mergeCell ref="N2669:N2671"/>
    <mergeCell ref="N2667:N2668"/>
    <mergeCell ref="K2662:K2666"/>
    <mergeCell ref="L2662:L2666"/>
    <mergeCell ref="M2662:M2666"/>
    <mergeCell ref="N2662:N2666"/>
    <mergeCell ref="K2659:K2660"/>
    <mergeCell ref="L2659:L2660"/>
    <mergeCell ref="M2659:M2660"/>
    <mergeCell ref="N2659:N2660"/>
    <mergeCell ref="K2654:K2658"/>
    <mergeCell ref="L2654:L2658"/>
    <mergeCell ref="M2654:M2658"/>
    <mergeCell ref="N2654:N2658"/>
    <mergeCell ref="K2648:K2651"/>
    <mergeCell ref="L2648:L2651"/>
    <mergeCell ref="M2648:M2651"/>
    <mergeCell ref="N2648:N2651"/>
    <mergeCell ref="N2645:N2646"/>
    <mergeCell ref="K2642:K2643"/>
    <mergeCell ref="L2642:L2643"/>
    <mergeCell ref="M2642:M2643"/>
    <mergeCell ref="N2642:N2643"/>
    <mergeCell ref="K2639:K2641"/>
    <mergeCell ref="L2639:L2641"/>
    <mergeCell ref="M2639:M2641"/>
    <mergeCell ref="N2639:N2641"/>
    <mergeCell ref="K2635:K2638"/>
    <mergeCell ref="L2635:L2638"/>
    <mergeCell ref="M2635:M2638"/>
    <mergeCell ref="N2635:N2638"/>
    <mergeCell ref="K2626:K2629"/>
    <mergeCell ref="L2626:L2629"/>
    <mergeCell ref="M2626:M2629"/>
    <mergeCell ref="N2626:N2629"/>
    <mergeCell ref="K2624:K2625"/>
    <mergeCell ref="L2624:L2625"/>
    <mergeCell ref="M2624:M2625"/>
    <mergeCell ref="N2624:N2625"/>
    <mergeCell ref="K2621:K2622"/>
    <mergeCell ref="L2621:L2622"/>
    <mergeCell ref="M2621:M2622"/>
    <mergeCell ref="N2621:N2622"/>
    <mergeCell ref="K2613:K2616"/>
    <mergeCell ref="L2613:L2616"/>
    <mergeCell ref="M2613:M2616"/>
    <mergeCell ref="N2613:N2616"/>
    <mergeCell ref="K2610:K2612"/>
    <mergeCell ref="L2610:L2612"/>
    <mergeCell ref="M2610:M2612"/>
    <mergeCell ref="N2610:N2612"/>
    <mergeCell ref="K2607:K2609"/>
    <mergeCell ref="L2607:L2609"/>
    <mergeCell ref="M2607:M2609"/>
    <mergeCell ref="N2607:N2609"/>
    <mergeCell ref="K2604:K2606"/>
    <mergeCell ref="L2604:L2606"/>
    <mergeCell ref="M2604:M2606"/>
    <mergeCell ref="N2604:N2606"/>
    <mergeCell ref="K2601:K2603"/>
    <mergeCell ref="L2601:L2603"/>
    <mergeCell ref="M2601:M2603"/>
    <mergeCell ref="N2601:N2603"/>
    <mergeCell ref="K2597:K2600"/>
    <mergeCell ref="L2597:L2600"/>
    <mergeCell ref="M2597:M2600"/>
    <mergeCell ref="N2597:N2600"/>
    <mergeCell ref="K2593:K2594"/>
    <mergeCell ref="L2593:L2594"/>
    <mergeCell ref="M2593:M2594"/>
    <mergeCell ref="N2593:N2594"/>
    <mergeCell ref="K2590:K2591"/>
    <mergeCell ref="L2590:L2591"/>
    <mergeCell ref="M2590:M2591"/>
    <mergeCell ref="N2590:N2591"/>
    <mergeCell ref="K2581:K2589"/>
    <mergeCell ref="L2581:L2589"/>
    <mergeCell ref="M2581:M2589"/>
    <mergeCell ref="N2581:N2589"/>
    <mergeCell ref="K2575:K2580"/>
    <mergeCell ref="L2575:L2580"/>
    <mergeCell ref="M2575:M2580"/>
    <mergeCell ref="N2575:N2580"/>
    <mergeCell ref="K2572:K2574"/>
    <mergeCell ref="L2572:L2574"/>
    <mergeCell ref="M2572:M2574"/>
    <mergeCell ref="N2572:N2574"/>
    <mergeCell ref="K2569:K2570"/>
    <mergeCell ref="L2569:L2570"/>
    <mergeCell ref="M2569:M2570"/>
    <mergeCell ref="N2569:N2570"/>
    <mergeCell ref="K2566:K2567"/>
    <mergeCell ref="L2566:L2567"/>
    <mergeCell ref="M2566:M2567"/>
    <mergeCell ref="N2566:N2567"/>
    <mergeCell ref="K2555:K2565"/>
    <mergeCell ref="L2555:L2565"/>
    <mergeCell ref="M2555:M2565"/>
    <mergeCell ref="N2555:N2565"/>
    <mergeCell ref="K2550:K2554"/>
    <mergeCell ref="L2550:L2554"/>
    <mergeCell ref="M2550:M2554"/>
    <mergeCell ref="N2550:N2554"/>
    <mergeCell ref="K2548:K2549"/>
    <mergeCell ref="L2548:L2549"/>
    <mergeCell ref="M2548:M2549"/>
    <mergeCell ref="N2548:N2549"/>
    <mergeCell ref="K2541:K2544"/>
    <mergeCell ref="L2541:L2544"/>
    <mergeCell ref="M2541:M2544"/>
    <mergeCell ref="N2541:N2544"/>
    <mergeCell ref="K2533:K2535"/>
    <mergeCell ref="L2533:L2535"/>
    <mergeCell ref="M2533:M2535"/>
    <mergeCell ref="N2533:N2535"/>
    <mergeCell ref="K2523:K2531"/>
    <mergeCell ref="L2523:L2531"/>
    <mergeCell ref="M2523:M2531"/>
    <mergeCell ref="N2523:N2531"/>
    <mergeCell ref="N2506:N2507"/>
    <mergeCell ref="N2508:N2509"/>
    <mergeCell ref="N2510:N2511"/>
    <mergeCell ref="K2513:K2521"/>
    <mergeCell ref="L2513:L2521"/>
    <mergeCell ref="M2513:M2521"/>
    <mergeCell ref="N2513:N2521"/>
    <mergeCell ref="N2483:N2484"/>
    <mergeCell ref="N2485:N2487"/>
    <mergeCell ref="N2488:N2495"/>
    <mergeCell ref="N2496:N2498"/>
    <mergeCell ref="N2499:N2501"/>
    <mergeCell ref="N2502:N2505"/>
    <mergeCell ref="N2455:N2462"/>
    <mergeCell ref="N2464:N2465"/>
    <mergeCell ref="N2471:N2473"/>
    <mergeCell ref="N2474:N2475"/>
    <mergeCell ref="N2476:N2478"/>
    <mergeCell ref="N2479:N2480"/>
    <mergeCell ref="N2413:N2414"/>
    <mergeCell ref="N2415:N2416"/>
    <mergeCell ref="M2439:M2445"/>
    <mergeCell ref="N2439:N2445"/>
    <mergeCell ref="N2446:N2451"/>
    <mergeCell ref="K2453:K2454"/>
    <mergeCell ref="L2453:L2454"/>
    <mergeCell ref="M2453:M2454"/>
    <mergeCell ref="N2453:N2454"/>
    <mergeCell ref="N2381:N2384"/>
    <mergeCell ref="N2385:N2386"/>
    <mergeCell ref="N2389:N2390"/>
    <mergeCell ref="N2398:N2400"/>
    <mergeCell ref="N2406:N2407"/>
    <mergeCell ref="N2411:N2412"/>
    <mergeCell ref="N2360:N2361"/>
    <mergeCell ref="N2363:N2364"/>
    <mergeCell ref="N2365:N2367"/>
    <mergeCell ref="N2368:N2371"/>
    <mergeCell ref="N2372:N2378"/>
    <mergeCell ref="N2379:N2380"/>
    <mergeCell ref="N2336:N2338"/>
    <mergeCell ref="N2340:N2341"/>
    <mergeCell ref="N2342:N2343"/>
    <mergeCell ref="N2344:N2348"/>
    <mergeCell ref="N2350:N2354"/>
    <mergeCell ref="N2357:N2359"/>
    <mergeCell ref="N2303:N2304"/>
    <mergeCell ref="N2305:N2307"/>
    <mergeCell ref="N2308:N2310"/>
    <mergeCell ref="N2315:N2318"/>
    <mergeCell ref="N2323:N2327"/>
    <mergeCell ref="N2333:N2335"/>
    <mergeCell ref="N2254:N2256"/>
    <mergeCell ref="N2257:N2273"/>
    <mergeCell ref="N2274:N2292"/>
    <mergeCell ref="N2293:N2295"/>
    <mergeCell ref="N2296:N2298"/>
    <mergeCell ref="N2299:N2301"/>
    <mergeCell ref="N2232:N2235"/>
    <mergeCell ref="N2236:N2237"/>
    <mergeCell ref="N2238:N2241"/>
    <mergeCell ref="N2243:N2245"/>
    <mergeCell ref="N2250:N2251"/>
    <mergeCell ref="N2252:N2253"/>
    <mergeCell ref="K1434:K1435"/>
    <mergeCell ref="L1434:L1435"/>
    <mergeCell ref="M1434:M1435"/>
    <mergeCell ref="N1434:N1435"/>
    <mergeCell ref="K1436:K1437"/>
    <mergeCell ref="L1436:L1437"/>
    <mergeCell ref="M1436:M1437"/>
    <mergeCell ref="N1436:N1437"/>
    <mergeCell ref="K1422:K1427"/>
    <mergeCell ref="L1422:L1427"/>
    <mergeCell ref="M1422:M1427"/>
    <mergeCell ref="N1422:N1427"/>
    <mergeCell ref="K1428:K1431"/>
    <mergeCell ref="L1428:L1431"/>
    <mergeCell ref="M1428:M1431"/>
    <mergeCell ref="N1428:N1431"/>
    <mergeCell ref="K1413:K1416"/>
    <mergeCell ref="L1413:L1416"/>
    <mergeCell ref="M1413:M1416"/>
    <mergeCell ref="N1413:N1416"/>
    <mergeCell ref="K1418:K1421"/>
    <mergeCell ref="L1418:L1421"/>
    <mergeCell ref="M1418:M1421"/>
    <mergeCell ref="N1418:N1421"/>
    <mergeCell ref="K1380:K1402"/>
    <mergeCell ref="L1380:L1402"/>
    <mergeCell ref="M1380:M1402"/>
    <mergeCell ref="N1380:N1402"/>
    <mergeCell ref="K1405:K1412"/>
    <mergeCell ref="L1405:L1412"/>
    <mergeCell ref="M1405:M1412"/>
    <mergeCell ref="N1405:N1412"/>
    <mergeCell ref="K1334:K1356"/>
    <mergeCell ref="L1334:L1356"/>
    <mergeCell ref="M1334:M1356"/>
    <mergeCell ref="N1334:N1356"/>
    <mergeCell ref="K1357:K1378"/>
    <mergeCell ref="L1357:L1378"/>
    <mergeCell ref="M1357:M1378"/>
    <mergeCell ref="N1357:N1378"/>
    <mergeCell ref="K1301:K1316"/>
    <mergeCell ref="L1301:L1316"/>
    <mergeCell ref="M1301:M1316"/>
    <mergeCell ref="N1301:N1316"/>
    <mergeCell ref="K1317:K1332"/>
    <mergeCell ref="L1317:L1332"/>
    <mergeCell ref="M1317:M1332"/>
    <mergeCell ref="N1317:N1332"/>
    <mergeCell ref="K1276:K1295"/>
    <mergeCell ref="L1276:L1295"/>
    <mergeCell ref="M1276:M1295"/>
    <mergeCell ref="N1276:N1295"/>
    <mergeCell ref="K1297:K1300"/>
    <mergeCell ref="L1297:L1300"/>
    <mergeCell ref="M1297:M1300"/>
    <mergeCell ref="N1297:N1300"/>
    <mergeCell ref="K1253:K1272"/>
    <mergeCell ref="L1253:L1272"/>
    <mergeCell ref="M1253:M1272"/>
    <mergeCell ref="N1253:N1272"/>
    <mergeCell ref="K1273:K1275"/>
    <mergeCell ref="L1273:L1275"/>
    <mergeCell ref="M1273:M1275"/>
    <mergeCell ref="N1273:N1275"/>
    <mergeCell ref="K1242:K1247"/>
    <mergeCell ref="L1242:L1247"/>
    <mergeCell ref="M1242:M1247"/>
    <mergeCell ref="N1242:N1247"/>
    <mergeCell ref="K1249:K1252"/>
    <mergeCell ref="L1249:L1252"/>
    <mergeCell ref="M1249:M1252"/>
    <mergeCell ref="N1249:N1252"/>
    <mergeCell ref="K1227:K1230"/>
    <mergeCell ref="L1227:L1230"/>
    <mergeCell ref="M1227:M1230"/>
    <mergeCell ref="N1227:N1230"/>
    <mergeCell ref="K1231:K1240"/>
    <mergeCell ref="L1231:L1240"/>
    <mergeCell ref="M1231:M1240"/>
    <mergeCell ref="N1231:N1240"/>
    <mergeCell ref="K1197:K1220"/>
    <mergeCell ref="L1197:L1220"/>
    <mergeCell ref="M1197:M1220"/>
    <mergeCell ref="N1197:N1220"/>
    <mergeCell ref="K1222:K1225"/>
    <mergeCell ref="L1222:L1225"/>
    <mergeCell ref="M1222:M1225"/>
    <mergeCell ref="N1222:N1225"/>
    <mergeCell ref="K1186:K1188"/>
    <mergeCell ref="L1186:L1188"/>
    <mergeCell ref="M1186:M1188"/>
    <mergeCell ref="N1186:N1188"/>
    <mergeCell ref="K1189:K1194"/>
    <mergeCell ref="L1189:L1194"/>
    <mergeCell ref="M1189:M1194"/>
    <mergeCell ref="N1189:N1194"/>
    <mergeCell ref="K1153:K1179"/>
    <mergeCell ref="L1153:L1179"/>
    <mergeCell ref="M1153:M1179"/>
    <mergeCell ref="N1153:N1179"/>
    <mergeCell ref="K1180:K1183"/>
    <mergeCell ref="L1180:L1183"/>
    <mergeCell ref="M1180:M1183"/>
    <mergeCell ref="N1180:N1183"/>
    <mergeCell ref="K1141:K1142"/>
    <mergeCell ref="L1141:L1142"/>
    <mergeCell ref="M1141:M1142"/>
    <mergeCell ref="N1141:N1142"/>
    <mergeCell ref="K1143:K1152"/>
    <mergeCell ref="L1143:L1152"/>
    <mergeCell ref="M1143:M1152"/>
    <mergeCell ref="N1143:N1152"/>
    <mergeCell ref="K1122:K1125"/>
    <mergeCell ref="L1122:L1125"/>
    <mergeCell ref="M1122:M1125"/>
    <mergeCell ref="N1122:N1125"/>
    <mergeCell ref="K1126:K1130"/>
    <mergeCell ref="L1126:L1130"/>
    <mergeCell ref="M1126:M1130"/>
    <mergeCell ref="N1126:N1130"/>
    <mergeCell ref="K1107:K1116"/>
    <mergeCell ref="L1107:L1116"/>
    <mergeCell ref="M1107:M1116"/>
    <mergeCell ref="N1107:N1116"/>
    <mergeCell ref="K1117:K1121"/>
    <mergeCell ref="L1117:L1121"/>
    <mergeCell ref="M1117:M1121"/>
    <mergeCell ref="N1117:N1121"/>
    <mergeCell ref="K1047:K1053"/>
    <mergeCell ref="L1047:L1053"/>
    <mergeCell ref="M1047:M1053"/>
    <mergeCell ref="N1047:N1053"/>
    <mergeCell ref="K1102:K1106"/>
    <mergeCell ref="L1102:L1106"/>
    <mergeCell ref="M1102:M1106"/>
    <mergeCell ref="N1102:N1106"/>
    <mergeCell ref="K1036:K1040"/>
    <mergeCell ref="L1036:L1040"/>
    <mergeCell ref="M1036:M1040"/>
    <mergeCell ref="N1036:N1040"/>
    <mergeCell ref="K1041:K1046"/>
    <mergeCell ref="L1041:L1046"/>
    <mergeCell ref="M1041:M1046"/>
    <mergeCell ref="N1041:N1046"/>
    <mergeCell ref="K1020:K1031"/>
    <mergeCell ref="L1020:L1031"/>
    <mergeCell ref="M1020:M1031"/>
    <mergeCell ref="N1020:N1031"/>
    <mergeCell ref="K1032:K1035"/>
    <mergeCell ref="L1032:L1035"/>
    <mergeCell ref="M1032:M1035"/>
    <mergeCell ref="N1032:N1035"/>
    <mergeCell ref="K1012:K1015"/>
    <mergeCell ref="L1012:L1015"/>
    <mergeCell ref="M1012:M1015"/>
    <mergeCell ref="N1012:N1015"/>
    <mergeCell ref="K1016:K1019"/>
    <mergeCell ref="L1016:L1019"/>
    <mergeCell ref="M1016:M1019"/>
    <mergeCell ref="N1016:N1019"/>
    <mergeCell ref="K976:K993"/>
    <mergeCell ref="L976:L993"/>
    <mergeCell ref="M976:M993"/>
    <mergeCell ref="N976:N993"/>
    <mergeCell ref="K994:K1011"/>
    <mergeCell ref="L994:L1011"/>
    <mergeCell ref="M994:M1011"/>
    <mergeCell ref="N994:N1011"/>
    <mergeCell ref="K951:K958"/>
    <mergeCell ref="L951:L958"/>
    <mergeCell ref="M951:M958"/>
    <mergeCell ref="N951:N958"/>
    <mergeCell ref="K959:K975"/>
    <mergeCell ref="L959:L975"/>
    <mergeCell ref="M959:M975"/>
    <mergeCell ref="N959:N975"/>
    <mergeCell ref="K923:K944"/>
    <mergeCell ref="L923:L944"/>
    <mergeCell ref="M923:M944"/>
    <mergeCell ref="N923:N944"/>
    <mergeCell ref="K945:K950"/>
    <mergeCell ref="L945:L950"/>
    <mergeCell ref="M945:M950"/>
    <mergeCell ref="N945:N950"/>
    <mergeCell ref="K889:K908"/>
    <mergeCell ref="L889:L908"/>
    <mergeCell ref="M889:M908"/>
    <mergeCell ref="N889:N908"/>
    <mergeCell ref="K915:K918"/>
    <mergeCell ref="L915:L918"/>
    <mergeCell ref="M915:M918"/>
    <mergeCell ref="N915:N918"/>
    <mergeCell ref="K873:K874"/>
    <mergeCell ref="L873:L874"/>
    <mergeCell ref="M873:M874"/>
    <mergeCell ref="N873:N874"/>
    <mergeCell ref="K879:K888"/>
    <mergeCell ref="L879:L888"/>
    <mergeCell ref="M879:M888"/>
    <mergeCell ref="N879:N888"/>
    <mergeCell ref="K856:K865"/>
    <mergeCell ref="L856:L865"/>
    <mergeCell ref="M856:M865"/>
    <mergeCell ref="N856:N865"/>
    <mergeCell ref="K870:K872"/>
    <mergeCell ref="L870:L872"/>
    <mergeCell ref="M870:M872"/>
    <mergeCell ref="N870:N872"/>
    <mergeCell ref="K845:K849"/>
    <mergeCell ref="L845:L849"/>
    <mergeCell ref="M845:M849"/>
    <mergeCell ref="N845:N849"/>
    <mergeCell ref="K850:K855"/>
    <mergeCell ref="L850:L855"/>
    <mergeCell ref="M850:M855"/>
    <mergeCell ref="N850:N855"/>
    <mergeCell ref="K820:K826"/>
    <mergeCell ref="L820:L826"/>
    <mergeCell ref="M820:M826"/>
    <mergeCell ref="N820:N826"/>
    <mergeCell ref="K827:K829"/>
    <mergeCell ref="L827:L829"/>
    <mergeCell ref="M827:M829"/>
    <mergeCell ref="N827:N829"/>
    <mergeCell ref="K795:K796"/>
    <mergeCell ref="L795:L796"/>
    <mergeCell ref="M795:M796"/>
    <mergeCell ref="N795:N796"/>
    <mergeCell ref="K798:K817"/>
    <mergeCell ref="L798:L817"/>
    <mergeCell ref="M798:M817"/>
    <mergeCell ref="N798:N817"/>
    <mergeCell ref="K788:K790"/>
    <mergeCell ref="L788:L790"/>
    <mergeCell ref="M788:M790"/>
    <mergeCell ref="N788:N790"/>
    <mergeCell ref="K791:K793"/>
    <mergeCell ref="L791:L793"/>
    <mergeCell ref="M791:M793"/>
    <mergeCell ref="N791:N793"/>
    <mergeCell ref="K776:K785"/>
    <mergeCell ref="L776:L785"/>
    <mergeCell ref="M776:M785"/>
    <mergeCell ref="N776:N785"/>
    <mergeCell ref="K786:K787"/>
    <mergeCell ref="L786:L787"/>
    <mergeCell ref="M786:M787"/>
    <mergeCell ref="N786:N787"/>
    <mergeCell ref="K756:K758"/>
    <mergeCell ref="L756:L758"/>
    <mergeCell ref="M756:M758"/>
    <mergeCell ref="N756:N758"/>
    <mergeCell ref="K759:K775"/>
    <mergeCell ref="L759:L775"/>
    <mergeCell ref="M759:M775"/>
    <mergeCell ref="N759:N775"/>
    <mergeCell ref="K741:K743"/>
    <mergeCell ref="L741:L743"/>
    <mergeCell ref="M741:M743"/>
    <mergeCell ref="N741:N743"/>
    <mergeCell ref="K744:K753"/>
    <mergeCell ref="L744:L753"/>
    <mergeCell ref="M744:M753"/>
    <mergeCell ref="N744:N753"/>
    <mergeCell ref="K721:K730"/>
    <mergeCell ref="L721:L730"/>
    <mergeCell ref="M721:M730"/>
    <mergeCell ref="N721:N730"/>
    <mergeCell ref="K731:K740"/>
    <mergeCell ref="L731:L740"/>
    <mergeCell ref="M731:M740"/>
    <mergeCell ref="N731:N740"/>
    <mergeCell ref="K692:K711"/>
    <mergeCell ref="L692:L711"/>
    <mergeCell ref="M692:M711"/>
    <mergeCell ref="N692:N711"/>
    <mergeCell ref="K712:K720"/>
    <mergeCell ref="L712:L720"/>
    <mergeCell ref="M712:M720"/>
    <mergeCell ref="N712:N720"/>
    <mergeCell ref="K677:K678"/>
    <mergeCell ref="L677:L678"/>
    <mergeCell ref="M677:M678"/>
    <mergeCell ref="N677:N678"/>
    <mergeCell ref="K681:K691"/>
    <mergeCell ref="L681:L691"/>
    <mergeCell ref="M681:M691"/>
    <mergeCell ref="N681:N691"/>
    <mergeCell ref="K667:K671"/>
    <mergeCell ref="L667:L671"/>
    <mergeCell ref="M667:M671"/>
    <mergeCell ref="N667:N671"/>
    <mergeCell ref="K673:K675"/>
    <mergeCell ref="L673:L675"/>
    <mergeCell ref="M673:M675"/>
    <mergeCell ref="N673:N675"/>
    <mergeCell ref="K648:K650"/>
    <mergeCell ref="L648:L650"/>
    <mergeCell ref="M648:M650"/>
    <mergeCell ref="N648:N650"/>
    <mergeCell ref="K651:K666"/>
    <mergeCell ref="L651:L666"/>
    <mergeCell ref="M651:M666"/>
    <mergeCell ref="N651:N666"/>
    <mergeCell ref="K639:K642"/>
    <mergeCell ref="L639:L642"/>
    <mergeCell ref="M639:M642"/>
    <mergeCell ref="N639:N642"/>
    <mergeCell ref="K645:K647"/>
    <mergeCell ref="L645:L647"/>
    <mergeCell ref="M645:M647"/>
    <mergeCell ref="N645:N647"/>
    <mergeCell ref="K626:K632"/>
    <mergeCell ref="L626:L632"/>
    <mergeCell ref="M626:M632"/>
    <mergeCell ref="N626:N632"/>
    <mergeCell ref="K633:K638"/>
    <mergeCell ref="L633:L638"/>
    <mergeCell ref="M633:M638"/>
    <mergeCell ref="N633:N638"/>
    <mergeCell ref="M599:M616"/>
    <mergeCell ref="N599:N616"/>
    <mergeCell ref="O599:O616"/>
    <mergeCell ref="P599:P616"/>
    <mergeCell ref="M617:M623"/>
    <mergeCell ref="N617:N623"/>
    <mergeCell ref="O617:O623"/>
    <mergeCell ref="P617:P623"/>
    <mergeCell ref="M557:M584"/>
    <mergeCell ref="N557:N584"/>
    <mergeCell ref="O557:O584"/>
    <mergeCell ref="P557:P584"/>
    <mergeCell ref="M585:M598"/>
    <mergeCell ref="N585:N598"/>
    <mergeCell ref="O585:O598"/>
    <mergeCell ref="P585:P598"/>
    <mergeCell ref="M527:M546"/>
    <mergeCell ref="N527:N546"/>
    <mergeCell ref="O527:O546"/>
    <mergeCell ref="P527:P546"/>
    <mergeCell ref="M547:M556"/>
    <mergeCell ref="N547:N556"/>
    <mergeCell ref="O547:O556"/>
    <mergeCell ref="P547:P556"/>
    <mergeCell ref="M491:M514"/>
    <mergeCell ref="N491:N514"/>
    <mergeCell ref="O491:O514"/>
    <mergeCell ref="P491:P514"/>
    <mergeCell ref="M515:M526"/>
    <mergeCell ref="N515:N526"/>
    <mergeCell ref="O515:O526"/>
    <mergeCell ref="P515:P526"/>
    <mergeCell ref="M457:M478"/>
    <mergeCell ref="N457:N478"/>
    <mergeCell ref="O457:O478"/>
    <mergeCell ref="P457:P478"/>
    <mergeCell ref="M479:M489"/>
    <mergeCell ref="N479:N489"/>
    <mergeCell ref="O479:O489"/>
    <mergeCell ref="P479:P489"/>
    <mergeCell ref="M429:M444"/>
    <mergeCell ref="N429:N444"/>
    <mergeCell ref="O429:O444"/>
    <mergeCell ref="P429:P444"/>
    <mergeCell ref="M445:M452"/>
    <mergeCell ref="N445:N452"/>
    <mergeCell ref="O445:O452"/>
    <mergeCell ref="P445:P452"/>
    <mergeCell ref="M402:M417"/>
    <mergeCell ref="N402:N417"/>
    <mergeCell ref="O402:O417"/>
    <mergeCell ref="P402:P417"/>
    <mergeCell ref="M418:M425"/>
    <mergeCell ref="N418:N425"/>
    <mergeCell ref="O418:O425"/>
    <mergeCell ref="P418:P425"/>
    <mergeCell ref="M375:M392"/>
    <mergeCell ref="N375:N392"/>
    <mergeCell ref="O375:O392"/>
    <mergeCell ref="P375:P392"/>
    <mergeCell ref="M393:M401"/>
    <mergeCell ref="N393:N401"/>
    <mergeCell ref="O393:O401"/>
    <mergeCell ref="P393:P401"/>
    <mergeCell ref="M362:M369"/>
    <mergeCell ref="N362:N369"/>
    <mergeCell ref="O362:O369"/>
    <mergeCell ref="P362:P369"/>
    <mergeCell ref="M370:M374"/>
    <mergeCell ref="N370:N374"/>
    <mergeCell ref="O370:O374"/>
    <mergeCell ref="P370:P374"/>
    <mergeCell ref="M343:M344"/>
    <mergeCell ref="N343:N344"/>
    <mergeCell ref="O343:O344"/>
    <mergeCell ref="P343:P344"/>
    <mergeCell ref="M346:M361"/>
    <mergeCell ref="N346:N361"/>
    <mergeCell ref="O346:O361"/>
    <mergeCell ref="P346:P361"/>
    <mergeCell ref="M328:M337"/>
    <mergeCell ref="N328:N337"/>
    <mergeCell ref="O328:O337"/>
    <mergeCell ref="P328:P337"/>
    <mergeCell ref="M338:M342"/>
    <mergeCell ref="N338:N342"/>
    <mergeCell ref="O338:O342"/>
    <mergeCell ref="P338:P342"/>
    <mergeCell ref="M297:M316"/>
    <mergeCell ref="N297:N316"/>
    <mergeCell ref="O297:O316"/>
    <mergeCell ref="P297:P316"/>
    <mergeCell ref="M317:M326"/>
    <mergeCell ref="N317:N326"/>
    <mergeCell ref="O317:O326"/>
    <mergeCell ref="P317:P326"/>
    <mergeCell ref="K286:K291"/>
    <mergeCell ref="L286:L291"/>
    <mergeCell ref="M286:M291"/>
    <mergeCell ref="N286:N291"/>
    <mergeCell ref="K292:K294"/>
    <mergeCell ref="L292:L294"/>
    <mergeCell ref="M292:M294"/>
    <mergeCell ref="N292:N294"/>
    <mergeCell ref="K273:K280"/>
    <mergeCell ref="L273:L280"/>
    <mergeCell ref="M273:M280"/>
    <mergeCell ref="N273:N280"/>
    <mergeCell ref="K281:K284"/>
    <mergeCell ref="L281:L284"/>
    <mergeCell ref="M281:M284"/>
    <mergeCell ref="N281:N284"/>
    <mergeCell ref="K265:K268"/>
    <mergeCell ref="L265:L268"/>
    <mergeCell ref="M265:M268"/>
    <mergeCell ref="N265:N268"/>
    <mergeCell ref="K269:K270"/>
    <mergeCell ref="L269:L270"/>
    <mergeCell ref="M269:M270"/>
    <mergeCell ref="N269:N270"/>
    <mergeCell ref="K245:K254"/>
    <mergeCell ref="L245:L254"/>
    <mergeCell ref="M245:M254"/>
    <mergeCell ref="N245:N254"/>
    <mergeCell ref="K255:K259"/>
    <mergeCell ref="L255:L259"/>
    <mergeCell ref="M255:M259"/>
    <mergeCell ref="N255:N259"/>
    <mergeCell ref="K224:K235"/>
    <mergeCell ref="L224:L235"/>
    <mergeCell ref="M224:M235"/>
    <mergeCell ref="N224:N235"/>
    <mergeCell ref="K236:K241"/>
    <mergeCell ref="L236:L241"/>
    <mergeCell ref="M236:M241"/>
    <mergeCell ref="N236:N241"/>
    <mergeCell ref="K214:K219"/>
    <mergeCell ref="L214:L219"/>
    <mergeCell ref="M214:M219"/>
    <mergeCell ref="N214:N219"/>
    <mergeCell ref="K220:K222"/>
    <mergeCell ref="L220:L222"/>
    <mergeCell ref="M220:M222"/>
    <mergeCell ref="N220:N222"/>
    <mergeCell ref="K194:K205"/>
    <mergeCell ref="L194:L205"/>
    <mergeCell ref="M194:M205"/>
    <mergeCell ref="N194:N205"/>
    <mergeCell ref="K206:K211"/>
    <mergeCell ref="L206:L211"/>
    <mergeCell ref="M206:M211"/>
    <mergeCell ref="N206:N211"/>
    <mergeCell ref="K185:K188"/>
    <mergeCell ref="L185:L188"/>
    <mergeCell ref="M185:M188"/>
    <mergeCell ref="N185:N188"/>
    <mergeCell ref="K189:K191"/>
    <mergeCell ref="L189:L191"/>
    <mergeCell ref="M189:M191"/>
    <mergeCell ref="N189:N191"/>
    <mergeCell ref="K170:K174"/>
    <mergeCell ref="L170:L174"/>
    <mergeCell ref="M170:M174"/>
    <mergeCell ref="N170:N174"/>
    <mergeCell ref="K175:K181"/>
    <mergeCell ref="L175:L181"/>
    <mergeCell ref="M175:M181"/>
    <mergeCell ref="N175:N181"/>
    <mergeCell ref="K154:K158"/>
    <mergeCell ref="L154:L158"/>
    <mergeCell ref="M154:M158"/>
    <mergeCell ref="N154:N158"/>
    <mergeCell ref="K160:K165"/>
    <mergeCell ref="L160:L165"/>
    <mergeCell ref="M160:M165"/>
    <mergeCell ref="N160:N165"/>
    <mergeCell ref="K144:K146"/>
    <mergeCell ref="L144:L146"/>
    <mergeCell ref="M144:M146"/>
    <mergeCell ref="N144:N146"/>
    <mergeCell ref="K149:K151"/>
    <mergeCell ref="L149:L151"/>
    <mergeCell ref="M149:M151"/>
    <mergeCell ref="N149:N151"/>
    <mergeCell ref="K133:K135"/>
    <mergeCell ref="L133:L135"/>
    <mergeCell ref="M133:M135"/>
    <mergeCell ref="N133:N135"/>
    <mergeCell ref="K137:K139"/>
    <mergeCell ref="L137:L139"/>
    <mergeCell ref="M137:M139"/>
    <mergeCell ref="N137:N139"/>
    <mergeCell ref="K123:K125"/>
    <mergeCell ref="L123:L125"/>
    <mergeCell ref="M123:M125"/>
    <mergeCell ref="N123:N125"/>
    <mergeCell ref="K128:K130"/>
    <mergeCell ref="L128:L130"/>
    <mergeCell ref="M128:M130"/>
    <mergeCell ref="N128:N130"/>
    <mergeCell ref="K105:K108"/>
    <mergeCell ref="L105:L108"/>
    <mergeCell ref="M105:M108"/>
    <mergeCell ref="N105:N108"/>
    <mergeCell ref="K116:K118"/>
    <mergeCell ref="L116:L118"/>
    <mergeCell ref="M116:M118"/>
    <mergeCell ref="N116:N118"/>
    <mergeCell ref="K94:K95"/>
    <mergeCell ref="L94:L95"/>
    <mergeCell ref="M94:M95"/>
    <mergeCell ref="N94:N95"/>
    <mergeCell ref="K96:K99"/>
    <mergeCell ref="L96:L99"/>
    <mergeCell ref="M96:M99"/>
    <mergeCell ref="N96:N99"/>
    <mergeCell ref="K90:K91"/>
    <mergeCell ref="L90:L91"/>
    <mergeCell ref="M90:M91"/>
    <mergeCell ref="N90:N91"/>
    <mergeCell ref="C92:C93"/>
    <mergeCell ref="K92:K93"/>
    <mergeCell ref="L92:L93"/>
    <mergeCell ref="M92:M93"/>
    <mergeCell ref="N92:N93"/>
    <mergeCell ref="K85:K86"/>
    <mergeCell ref="L85:L86"/>
    <mergeCell ref="M85:M86"/>
    <mergeCell ref="N85:N86"/>
    <mergeCell ref="K87:K89"/>
    <mergeCell ref="L87:L89"/>
    <mergeCell ref="M87:M89"/>
    <mergeCell ref="N87:N89"/>
    <mergeCell ref="K80:K82"/>
    <mergeCell ref="L80:L82"/>
    <mergeCell ref="M80:M82"/>
    <mergeCell ref="N80:N82"/>
    <mergeCell ref="K83:K84"/>
    <mergeCell ref="L83:L84"/>
    <mergeCell ref="M83:M84"/>
    <mergeCell ref="N83:N84"/>
    <mergeCell ref="K75:K76"/>
    <mergeCell ref="L75:L76"/>
    <mergeCell ref="M75:M76"/>
    <mergeCell ref="N75:N76"/>
    <mergeCell ref="K78:K79"/>
    <mergeCell ref="L78:L79"/>
    <mergeCell ref="M78:M79"/>
    <mergeCell ref="N78:N79"/>
    <mergeCell ref="K68:K70"/>
    <mergeCell ref="L68:L70"/>
    <mergeCell ref="M68:M70"/>
    <mergeCell ref="N68:N70"/>
    <mergeCell ref="K73:K74"/>
    <mergeCell ref="L73:L74"/>
    <mergeCell ref="M73:M74"/>
    <mergeCell ref="N73:N74"/>
    <mergeCell ref="K58:K62"/>
    <mergeCell ref="L58:L62"/>
    <mergeCell ref="M58:M62"/>
    <mergeCell ref="N58:N62"/>
    <mergeCell ref="K66:K67"/>
    <mergeCell ref="L66:L67"/>
    <mergeCell ref="M66:M67"/>
    <mergeCell ref="N66:N67"/>
    <mergeCell ref="K47:K51"/>
    <mergeCell ref="L47:L51"/>
    <mergeCell ref="M47:M51"/>
    <mergeCell ref="N47:N51"/>
    <mergeCell ref="K53:K57"/>
    <mergeCell ref="L53:L57"/>
    <mergeCell ref="M53:M57"/>
    <mergeCell ref="N53:N57"/>
    <mergeCell ref="K35:K39"/>
    <mergeCell ref="L35:L39"/>
    <mergeCell ref="M35:M39"/>
    <mergeCell ref="N35:N39"/>
    <mergeCell ref="K41:K45"/>
    <mergeCell ref="L41:L45"/>
    <mergeCell ref="M41:M45"/>
    <mergeCell ref="N41:N45"/>
    <mergeCell ref="K26:K28"/>
    <mergeCell ref="L26:L28"/>
    <mergeCell ref="M26:M28"/>
    <mergeCell ref="N26:N28"/>
    <mergeCell ref="K29:K33"/>
    <mergeCell ref="L29:L33"/>
    <mergeCell ref="M29:M33"/>
    <mergeCell ref="N29:N33"/>
    <mergeCell ref="K16:K21"/>
    <mergeCell ref="L16:L21"/>
    <mergeCell ref="M16:M21"/>
    <mergeCell ref="N16:N21"/>
    <mergeCell ref="K22:K25"/>
    <mergeCell ref="L22:L25"/>
    <mergeCell ref="M22:M25"/>
    <mergeCell ref="N22:N25"/>
    <mergeCell ref="K4:K9"/>
    <mergeCell ref="L4:L9"/>
    <mergeCell ref="M4:M9"/>
    <mergeCell ref="N4:N9"/>
    <mergeCell ref="K10:K15"/>
    <mergeCell ref="L10:L15"/>
    <mergeCell ref="M10:M15"/>
    <mergeCell ref="N10:N15"/>
  </mergeCells>
  <conditionalFormatting sqref="G53:H62 H3:H18 G47:H51 G22:H45 G66:H89">
    <cfRule type="expression" dxfId="397" priority="427" stopIfTrue="1">
      <formula>IF(FIND("Flume Transfer Blower",#REF!)&gt;0,1,0)</formula>
    </cfRule>
  </conditionalFormatting>
  <conditionalFormatting sqref="H19:H21">
    <cfRule type="expression" dxfId="396" priority="426" stopIfTrue="1">
      <formula>IF(FIND("Flume Transfer Blower",#REF!)&gt;0,1,0)</formula>
    </cfRule>
  </conditionalFormatting>
  <conditionalFormatting sqref="G46:H46">
    <cfRule type="expression" dxfId="395" priority="425" stopIfTrue="1">
      <formula>IF(FIND("Flume Transfer Blower",#REF!)&gt;0,1,0)</formula>
    </cfRule>
  </conditionalFormatting>
  <conditionalFormatting sqref="G63:H63 G65:H65 G64">
    <cfRule type="expression" dxfId="394" priority="424" stopIfTrue="1">
      <formula>IF(FIND("Flume Transfer Blower",#REF!)&gt;0,1,0)</formula>
    </cfRule>
  </conditionalFormatting>
  <conditionalFormatting sqref="G52:H52">
    <cfRule type="expression" dxfId="393" priority="423" stopIfTrue="1">
      <formula>IF(FIND("Flume Transfer Blower",$I52)&gt;0,1,0)</formula>
    </cfRule>
  </conditionalFormatting>
  <conditionalFormatting sqref="G90:H91">
    <cfRule type="expression" dxfId="392" priority="422" stopIfTrue="1">
      <formula>IF(FIND("Flume Transfer Blower",#REF!)&gt;0,1,0)</formula>
    </cfRule>
  </conditionalFormatting>
  <conditionalFormatting sqref="H115:H118 G121 G186:H188 G189 G95:H95 G190:H191 G185 G105:H113 G96:G104 G122:H153 G169:H169">
    <cfRule type="expression" dxfId="391" priority="421" stopIfTrue="1">
      <formula>IF(FIND("Flume Transfer Blower",#REF!)&gt;0,1,0)</formula>
    </cfRule>
  </conditionalFormatting>
  <conditionalFormatting sqref="G155:H159 G154 G162:G164">
    <cfRule type="expression" dxfId="390" priority="420" stopIfTrue="1">
      <formula>IF(FIND("Flume Transfer Blower",#REF!)&gt;0,1,0)</formula>
    </cfRule>
  </conditionalFormatting>
  <conditionalFormatting sqref="G171:H175 G170 G177:H179 G176">
    <cfRule type="expression" dxfId="389" priority="419" stopIfTrue="1">
      <formula>IF(FIND("Flume Transfer Blower",#REF!)&gt;0,1,0)</formula>
    </cfRule>
  </conditionalFormatting>
  <conditionalFormatting sqref="H96:H104">
    <cfRule type="expression" dxfId="388" priority="418" stopIfTrue="1">
      <formula>IF(FIND("Flume Transfer Blower",#REF!)&gt;0,1,0)</formula>
    </cfRule>
  </conditionalFormatting>
  <conditionalFormatting sqref="H114">
    <cfRule type="expression" dxfId="387" priority="417" stopIfTrue="1">
      <formula>IF(FIND("Flume Transfer Blower",$I114)&gt;0,1,0)</formula>
    </cfRule>
  </conditionalFormatting>
  <conditionalFormatting sqref="H121">
    <cfRule type="expression" dxfId="386" priority="416" stopIfTrue="1">
      <formula>IF(FIND("Flume Transfer Blower",#REF!)&gt;0,1,0)</formula>
    </cfRule>
  </conditionalFormatting>
  <conditionalFormatting sqref="G165">
    <cfRule type="expression" dxfId="385" priority="415" stopIfTrue="1">
      <formula>IF(FIND("Flume Transfer Blower",#REF!)&gt;0,1,0)</formula>
    </cfRule>
  </conditionalFormatting>
  <conditionalFormatting sqref="G166:H168">
    <cfRule type="expression" dxfId="384" priority="414" stopIfTrue="1">
      <formula>IF(FIND("Flume Transfer Blower",#REF!)&gt;0,1,0)</formula>
    </cfRule>
  </conditionalFormatting>
  <conditionalFormatting sqref="H154">
    <cfRule type="expression" dxfId="383" priority="413" stopIfTrue="1">
      <formula>IF(FIND("Flume Transfer Blower",#REF!)&gt;0,1,0)</formula>
    </cfRule>
  </conditionalFormatting>
  <conditionalFormatting sqref="G160:H160">
    <cfRule type="expression" dxfId="382" priority="412" stopIfTrue="1">
      <formula>IF(FIND("Flume Transfer Blower",#REF!)&gt;0,1,0)</formula>
    </cfRule>
  </conditionalFormatting>
  <conditionalFormatting sqref="G161">
    <cfRule type="expression" dxfId="381" priority="411" stopIfTrue="1">
      <formula>IF(FIND("Flume Transfer Blower",#REF!)&gt;0,1,0)</formula>
    </cfRule>
  </conditionalFormatting>
  <conditionalFormatting sqref="H161:H165">
    <cfRule type="expression" dxfId="380" priority="410" stopIfTrue="1">
      <formula>IF(FIND("Flume Transfer Blower",#REF!)&gt;0,1,0)</formula>
    </cfRule>
  </conditionalFormatting>
  <conditionalFormatting sqref="G180:H181">
    <cfRule type="expression" dxfId="379" priority="409" stopIfTrue="1">
      <formula>IF(FIND("Flume Transfer Blower",#REF!)&gt;0,1,0)</formula>
    </cfRule>
  </conditionalFormatting>
  <conditionalFormatting sqref="G182:H183">
    <cfRule type="expression" dxfId="378" priority="408" stopIfTrue="1">
      <formula>IF(FIND("Flume Transfer Blower",#REF!)&gt;0,1,0)</formula>
    </cfRule>
  </conditionalFormatting>
  <conditionalFormatting sqref="H170">
    <cfRule type="expression" dxfId="377" priority="407" stopIfTrue="1">
      <formula>IF(FIND("Flume Transfer Blower",#REF!)&gt;0,1,0)</formula>
    </cfRule>
  </conditionalFormatting>
  <conditionalFormatting sqref="H176">
    <cfRule type="expression" dxfId="376" priority="406" stopIfTrue="1">
      <formula>IF(FIND("Flume Transfer Blower",#REF!)&gt;0,1,0)</formula>
    </cfRule>
  </conditionalFormatting>
  <conditionalFormatting sqref="G184:H184">
    <cfRule type="expression" dxfId="375" priority="405" stopIfTrue="1">
      <formula>IF(FIND("Flume Transfer Blower",#REF!)&gt;0,1,0)</formula>
    </cfRule>
  </conditionalFormatting>
  <conditionalFormatting sqref="H185">
    <cfRule type="expression" dxfId="374" priority="404" stopIfTrue="1">
      <formula>IF(FIND("Flume Transfer Blower",#REF!)&gt;0,1,0)</formula>
    </cfRule>
  </conditionalFormatting>
  <conditionalFormatting sqref="H189">
    <cfRule type="expression" dxfId="373" priority="403" stopIfTrue="1">
      <formula>IF(FIND("Flume Transfer Blower",#REF!)&gt;0,1,0)</formula>
    </cfRule>
  </conditionalFormatting>
  <conditionalFormatting sqref="G94:H94">
    <cfRule type="expression" dxfId="372" priority="402" stopIfTrue="1">
      <formula>IF(FIND("Flume Transfer Blower",#REF!)&gt;0,1,0)</formula>
    </cfRule>
  </conditionalFormatting>
  <conditionalFormatting sqref="G119">
    <cfRule type="expression" dxfId="371" priority="401" stopIfTrue="1">
      <formula>IF(FIND("Flume Transfer Blower",$H119)&gt;0,1,0)</formula>
    </cfRule>
  </conditionalFormatting>
  <conditionalFormatting sqref="G120">
    <cfRule type="expression" dxfId="370" priority="400" stopIfTrue="1">
      <formula>IF(FIND("Flume Transfer Blower",$H120)&gt;0,1,0)</formula>
    </cfRule>
  </conditionalFormatting>
  <conditionalFormatting sqref="H119">
    <cfRule type="expression" dxfId="369" priority="399" stopIfTrue="1">
      <formula>IF(FIND("Flume Transfer Blower",$H119)&gt;0,1,0)</formula>
    </cfRule>
  </conditionalFormatting>
  <conditionalFormatting sqref="H120">
    <cfRule type="expression" dxfId="368" priority="398" stopIfTrue="1">
      <formula>IF(FIND("Flume Transfer Blower",$H120)&gt;0,1,0)</formula>
    </cfRule>
  </conditionalFormatting>
  <conditionalFormatting sqref="G194:H198 G206:H216 G220:H228 G236:H248 G255:H263 G265:H266 G269:H270 G292:H294 G277:H279 G273:H275 G281:H287">
    <cfRule type="expression" dxfId="367" priority="397" stopIfTrue="1">
      <formula>IF(FIND("Flume Transfer Blower",#REF!)&gt;0,1,0)</formula>
    </cfRule>
  </conditionalFormatting>
  <conditionalFormatting sqref="G271:H271">
    <cfRule type="expression" dxfId="366" priority="396" stopIfTrue="1">
      <formula>IF(FIND("Flume Transfer Blower",#REF!)&gt;0,1,0)</formula>
    </cfRule>
  </conditionalFormatting>
  <conditionalFormatting sqref="G192:H193">
    <cfRule type="expression" dxfId="365" priority="395" stopIfTrue="1">
      <formula>IF(FIND("Flume Transfer Blower",#REF!)&gt;0,1,0)</formula>
    </cfRule>
  </conditionalFormatting>
  <conditionalFormatting sqref="G272:H272">
    <cfRule type="expression" dxfId="364" priority="394" stopIfTrue="1">
      <formula>IF(FIND("Flume Transfer Blower",#REF!)&gt;0,1,0)</formula>
    </cfRule>
  </conditionalFormatting>
  <conditionalFormatting sqref="G264:H264">
    <cfRule type="expression" dxfId="363" priority="393" stopIfTrue="1">
      <formula>IF(FIND("Flume Transfer Blower",#REF!)&gt;0,1,0)</formula>
    </cfRule>
  </conditionalFormatting>
  <conditionalFormatting sqref="G200:H204">
    <cfRule type="expression" dxfId="362" priority="392" stopIfTrue="1">
      <formula>IF(FIND("Flume Transfer Blower",#REF!)&gt;0,1,0)</formula>
    </cfRule>
  </conditionalFormatting>
  <conditionalFormatting sqref="G205:H205">
    <cfRule type="expression" dxfId="361" priority="391" stopIfTrue="1">
      <formula>IF(FIND("Flume Transfer Blower",#REF!)&gt;0,1,0)</formula>
    </cfRule>
  </conditionalFormatting>
  <conditionalFormatting sqref="G199:H199">
    <cfRule type="expression" dxfId="360" priority="390" stopIfTrue="1">
      <formula>IF(FIND("Flume Transfer Blower",#REF!)&gt;0,1,0)</formula>
    </cfRule>
  </conditionalFormatting>
  <conditionalFormatting sqref="G217:H219">
    <cfRule type="expression" dxfId="359" priority="389" stopIfTrue="1">
      <formula>IF(FIND("Flume Transfer Blower",#REF!)&gt;0,1,0)</formula>
    </cfRule>
  </conditionalFormatting>
  <conditionalFormatting sqref="G230:H234">
    <cfRule type="expression" dxfId="358" priority="388" stopIfTrue="1">
      <formula>IF(FIND("Flume Transfer Blower",#REF!)&gt;0,1,0)</formula>
    </cfRule>
  </conditionalFormatting>
  <conditionalFormatting sqref="G235:H235">
    <cfRule type="expression" dxfId="357" priority="387" stopIfTrue="1">
      <formula>IF(FIND("Flume Transfer Blower",#REF!)&gt;0,1,0)</formula>
    </cfRule>
  </conditionalFormatting>
  <conditionalFormatting sqref="G229:H229">
    <cfRule type="expression" dxfId="356" priority="386" stopIfTrue="1">
      <formula>IF(FIND("Flume Transfer Blower",#REF!)&gt;0,1,0)</formula>
    </cfRule>
  </conditionalFormatting>
  <conditionalFormatting sqref="G251:H253">
    <cfRule type="expression" dxfId="355" priority="385" stopIfTrue="1">
      <formula>IF(FIND("Flume Transfer Blower",#REF!)&gt;0,1,0)</formula>
    </cfRule>
  </conditionalFormatting>
  <conditionalFormatting sqref="G254:H254">
    <cfRule type="expression" dxfId="354" priority="384" stopIfTrue="1">
      <formula>IF(FIND("Flume Transfer Blower",#REF!)&gt;0,1,0)</formula>
    </cfRule>
  </conditionalFormatting>
  <conditionalFormatting sqref="G249:H250">
    <cfRule type="expression" dxfId="353" priority="383" stopIfTrue="1">
      <formula>IF(FIND("Flume Transfer Blower",#REF!)&gt;0,1,0)</formula>
    </cfRule>
  </conditionalFormatting>
  <conditionalFormatting sqref="G267:H267">
    <cfRule type="expression" dxfId="352" priority="382" stopIfTrue="1">
      <formula>IF(FIND("Flume Transfer Blower",#REF!)&gt;0,1,0)</formula>
    </cfRule>
  </conditionalFormatting>
  <conditionalFormatting sqref="G268:H268">
    <cfRule type="expression" dxfId="351" priority="381" stopIfTrue="1">
      <formula>IF(FIND("Flume Transfer Blower",#REF!)&gt;0,1,0)</formula>
    </cfRule>
  </conditionalFormatting>
  <conditionalFormatting sqref="G280:H280">
    <cfRule type="expression" dxfId="350" priority="380" stopIfTrue="1">
      <formula>IF(FIND("Flume Transfer Blower",#REF!)&gt;0,1,0)</formula>
    </cfRule>
  </conditionalFormatting>
  <conditionalFormatting sqref="G276:H276">
    <cfRule type="expression" dxfId="349" priority="379" stopIfTrue="1">
      <formula>IF(FIND("Flume Transfer Blower",#REF!)&gt;0,1,0)</formula>
    </cfRule>
  </conditionalFormatting>
  <conditionalFormatting sqref="G289:H290">
    <cfRule type="expression" dxfId="348" priority="378" stopIfTrue="1">
      <formula>IF(FIND("Flume Transfer Blower",#REF!)&gt;0,1,0)</formula>
    </cfRule>
  </conditionalFormatting>
  <conditionalFormatting sqref="G291:H291">
    <cfRule type="expression" dxfId="347" priority="377" stopIfTrue="1">
      <formula>IF(FIND("Flume Transfer Blower",#REF!)&gt;0,1,0)</formula>
    </cfRule>
  </conditionalFormatting>
  <conditionalFormatting sqref="G288:H288">
    <cfRule type="expression" dxfId="346" priority="376" stopIfTrue="1">
      <formula>IF(FIND("Flume Transfer Blower",#REF!)&gt;0,1,0)</formula>
    </cfRule>
  </conditionalFormatting>
  <conditionalFormatting sqref="H298:I305 H297 H318:I325 H317 H347:I353 H346 H371:I374 H370 H375 H376:I381 H402 H403:I408 H362:I369 H393:I401 H295:I296 H327:I327 H345:I345 H418:I435 H445:I466 H479:I502 H515:I535 H547:I569 H572:I598">
    <cfRule type="expression" dxfId="345" priority="375" stopIfTrue="1">
      <formula>IF(FIND("Flume Transfer Blower",#REF!)&gt;0,1,0)</formula>
    </cfRule>
  </conditionalFormatting>
  <conditionalFormatting sqref="H329:I332 H328 H339:I344 H338">
    <cfRule type="expression" dxfId="344" priority="374" stopIfTrue="1">
      <formula>IF(FIND("Flume Transfer Blower",#REF!)&gt;0,1,0)</formula>
    </cfRule>
  </conditionalFormatting>
  <conditionalFormatting sqref="I297">
    <cfRule type="expression" dxfId="343" priority="373" stopIfTrue="1">
      <formula>IF(FIND("Flume Transfer Blower",#REF!)&gt;0,1,0)</formula>
    </cfRule>
  </conditionalFormatting>
  <conditionalFormatting sqref="I317">
    <cfRule type="expression" dxfId="342" priority="372" stopIfTrue="1">
      <formula>IF(FIND("Flume Transfer Blower",#REF!)&gt;0,1,0)</formula>
    </cfRule>
  </conditionalFormatting>
  <conditionalFormatting sqref="H326:I326">
    <cfRule type="expression" dxfId="341" priority="371" stopIfTrue="1">
      <formula>IF(FIND("Flume Transfer Blower",#REF!)&gt;0,1,0)</formula>
    </cfRule>
  </conditionalFormatting>
  <conditionalFormatting sqref="I328">
    <cfRule type="expression" dxfId="340" priority="370" stopIfTrue="1">
      <formula>IF(FIND("Flume Transfer Blower",#REF!)&gt;0,1,0)</formula>
    </cfRule>
  </conditionalFormatting>
  <conditionalFormatting sqref="I338">
    <cfRule type="expression" dxfId="339" priority="369" stopIfTrue="1">
      <formula>IF(FIND("Flume Transfer Blower",#REF!)&gt;0,1,0)</formula>
    </cfRule>
  </conditionalFormatting>
  <conditionalFormatting sqref="I346">
    <cfRule type="expression" dxfId="338" priority="368" stopIfTrue="1">
      <formula>IF(FIND("Flume Transfer Blower",#REF!)&gt;0,1,0)</formula>
    </cfRule>
  </conditionalFormatting>
  <conditionalFormatting sqref="I370">
    <cfRule type="expression" dxfId="337" priority="367" stopIfTrue="1">
      <formula>IF(FIND("Flume Transfer Blower",#REF!)&gt;0,1,0)</formula>
    </cfRule>
  </conditionalFormatting>
  <conditionalFormatting sqref="I375">
    <cfRule type="expression" dxfId="336" priority="366" stopIfTrue="1">
      <formula>IF(FIND("Flume Transfer Blower",#REF!)&gt;0,1,0)</formula>
    </cfRule>
  </conditionalFormatting>
  <conditionalFormatting sqref="I402">
    <cfRule type="expression" dxfId="335" priority="365" stopIfTrue="1">
      <formula>IF(FIND("Flume Transfer Blower",#REF!)&gt;0,1,0)</formula>
    </cfRule>
  </conditionalFormatting>
  <conditionalFormatting sqref="H307:I316">
    <cfRule type="expression" dxfId="334" priority="364" stopIfTrue="1">
      <formula>IF(FIND("Flume Transfer Blower",#REF!)&gt;0,1,0)</formula>
    </cfRule>
  </conditionalFormatting>
  <conditionalFormatting sqref="H306:I306">
    <cfRule type="expression" dxfId="333" priority="363" stopIfTrue="1">
      <formula>IF(FIND("Flume Transfer Blower",#REF!)&gt;0,1,0)</formula>
    </cfRule>
  </conditionalFormatting>
  <conditionalFormatting sqref="I333">
    <cfRule type="expression" dxfId="332" priority="360" stopIfTrue="1">
      <formula>IF(FIND("Flume Transfer Blower",#REF!)&gt;0,1,0)</formula>
    </cfRule>
  </conditionalFormatting>
  <conditionalFormatting sqref="H334:I337">
    <cfRule type="expression" dxfId="331" priority="362" stopIfTrue="1">
      <formula>IF(FIND("Flume Transfer Blower",#REF!)&gt;0,1,0)</formula>
    </cfRule>
  </conditionalFormatting>
  <conditionalFormatting sqref="H333">
    <cfRule type="expression" dxfId="330" priority="361" stopIfTrue="1">
      <formula>IF(FIND("Flume Transfer Blower",#REF!)&gt;0,1,0)</formula>
    </cfRule>
  </conditionalFormatting>
  <conditionalFormatting sqref="H355:I361 H354">
    <cfRule type="expression" dxfId="329" priority="359" stopIfTrue="1">
      <formula>IF(FIND("Flume Transfer Blower",#REF!)&gt;0,1,0)</formula>
    </cfRule>
  </conditionalFormatting>
  <conditionalFormatting sqref="I354">
    <cfRule type="expression" dxfId="328" priority="358" stopIfTrue="1">
      <formula>IF(FIND("Flume Transfer Blower",#REF!)&gt;0,1,0)</formula>
    </cfRule>
  </conditionalFormatting>
  <conditionalFormatting sqref="H388:I392">
    <cfRule type="expression" dxfId="327" priority="357" stopIfTrue="1">
      <formula>IF(FIND("Flume Transfer Blower",#REF!)&gt;0,1,0)</formula>
    </cfRule>
  </conditionalFormatting>
  <conditionalFormatting sqref="H382:I387">
    <cfRule type="expression" dxfId="326" priority="356" stopIfTrue="1">
      <formula>IF(FIND("Flume Transfer Blower",#REF!)&gt;0,1,0)</formula>
    </cfRule>
  </conditionalFormatting>
  <conditionalFormatting sqref="H409:I410">
    <cfRule type="expression" dxfId="325" priority="354" stopIfTrue="1">
      <formula>IF(FIND("Flume Transfer Blower",#REF!)&gt;0,1,0)</formula>
    </cfRule>
  </conditionalFormatting>
  <conditionalFormatting sqref="H411:I417">
    <cfRule type="expression" dxfId="324" priority="355" stopIfTrue="1">
      <formula>IF(FIND("Flume Transfer Blower",#REF!)&gt;0,1,0)</formula>
    </cfRule>
  </conditionalFormatting>
  <conditionalFormatting sqref="H436:I443">
    <cfRule type="expression" dxfId="323" priority="352" stopIfTrue="1">
      <formula>IF(FIND("Flume Transfer Blower",#REF!)&gt;0,1,0)</formula>
    </cfRule>
  </conditionalFormatting>
  <conditionalFormatting sqref="H444:I444">
    <cfRule type="expression" dxfId="322" priority="353" stopIfTrue="1">
      <formula>IF(FIND("Flume Transfer Blower",#REF!)&gt;0,1,0)</formula>
    </cfRule>
  </conditionalFormatting>
  <conditionalFormatting sqref="H470:I478">
    <cfRule type="expression" dxfId="321" priority="351" stopIfTrue="1">
      <formula>IF(FIND("Flume Transfer Blower",#REF!)&gt;0,1,0)</formula>
    </cfRule>
  </conditionalFormatting>
  <conditionalFormatting sqref="H467:I469">
    <cfRule type="expression" dxfId="320" priority="350" stopIfTrue="1">
      <formula>IF(FIND("Flume Transfer Blower",#REF!)&gt;0,1,0)</formula>
    </cfRule>
  </conditionalFormatting>
  <conditionalFormatting sqref="I503">
    <cfRule type="expression" dxfId="319" priority="348" stopIfTrue="1">
      <formula>IF(FIND("Flume Transfer Blower",#REF!)&gt;0,1,0)</formula>
    </cfRule>
  </conditionalFormatting>
  <conditionalFormatting sqref="H503 H504:I514">
    <cfRule type="expression" dxfId="318" priority="349" stopIfTrue="1">
      <formula>IF(FIND("Flume Transfer Blower",#REF!)&gt;0,1,0)</formula>
    </cfRule>
  </conditionalFormatting>
  <conditionalFormatting sqref="H536:I538">
    <cfRule type="expression" dxfId="317" priority="346" stopIfTrue="1">
      <formula>IF(FIND("Flume Transfer Blower",#REF!)&gt;0,1,0)</formula>
    </cfRule>
  </conditionalFormatting>
  <conditionalFormatting sqref="H539:I546">
    <cfRule type="expression" dxfId="316" priority="347" stopIfTrue="1">
      <formula>IF(FIND("Flume Transfer Blower",#REF!)&gt;0,1,0)</formula>
    </cfRule>
  </conditionalFormatting>
  <conditionalFormatting sqref="H570:I571">
    <cfRule type="expression" dxfId="315" priority="345" stopIfTrue="1">
      <formula>IF(FIND("Flume Transfer Blower",#REF!)&gt;0,1,0)</formula>
    </cfRule>
  </conditionalFormatting>
  <conditionalFormatting sqref="H606">
    <cfRule type="expression" dxfId="314" priority="344" stopIfTrue="1">
      <formula>IF(FIND("Flume Transfer Blower",$I606)&gt;0,1,0)</formula>
    </cfRule>
  </conditionalFormatting>
  <conditionalFormatting sqref="H607">
    <cfRule type="expression" dxfId="313" priority="342" stopIfTrue="1">
      <formula>IF(FIND("Flume Transfer Blower",$I607)&gt;0,1,0)</formula>
    </cfRule>
  </conditionalFormatting>
  <conditionalFormatting sqref="H624">
    <cfRule type="expression" dxfId="312" priority="343" stopIfTrue="1">
      <formula>IF(FIND("Flume Transfer Blower",$I624)&gt;0,1,0)</formula>
    </cfRule>
  </conditionalFormatting>
  <conditionalFormatting sqref="H615">
    <cfRule type="expression" dxfId="311" priority="341" stopIfTrue="1">
      <formula>IF(FIND("Flume Transfer Blower",$I615)&gt;0,1,0)</formula>
    </cfRule>
  </conditionalFormatting>
  <conditionalFormatting sqref="H616">
    <cfRule type="expression" dxfId="310" priority="340" stopIfTrue="1">
      <formula>IF(FIND("Flume Transfer Blower",$I616)&gt;0,1,0)</formula>
    </cfRule>
  </conditionalFormatting>
  <conditionalFormatting sqref="G645:H647 G845:H847 G850:H865 G867:H876 G879:H906 H792:H793 G791:H791 G702:H723 G731:H758 G914:H914 G908:H909 G911:H912 G681:H700">
    <cfRule type="expression" dxfId="309" priority="331" stopIfTrue="1">
      <formula>IF(FIND("Flume Transfer Blower",$J645)&gt;0,1,0)</formula>
    </cfRule>
  </conditionalFormatting>
  <conditionalFormatting sqref="G932:G937 G648:H654 G794:H799 G923:H931 G829:G830 H831 G877:H878 G818:G819 G625:H643 G759:H790 G820:H828 G832:H832 H915:H922 G1102:H1110 G666:H680 G839:H844 H1081:H1085 G1085 G938:H1040 G1041:G1052 G1054:H1080 H1053 G1117:H1135">
    <cfRule type="expression" dxfId="308" priority="332" stopIfTrue="1">
      <formula>IF(FIND("Flume Transfer Blower",$H625)&gt;0,1,0)</formula>
    </cfRule>
  </conditionalFormatting>
  <conditionalFormatting sqref="H935">
    <cfRule type="expression" dxfId="307" priority="333" stopIfTrue="1">
      <formula>IF(FIND("Flume Transfer Blower",$H932)&gt;0,1,0)</formula>
    </cfRule>
  </conditionalFormatting>
  <conditionalFormatting sqref="H932">
    <cfRule type="expression" dxfId="306" priority="334" stopIfTrue="1">
      <formula>IF(FIND("Flume Transfer Blower",$H933)&gt;0,1,0)</formula>
    </cfRule>
  </conditionalFormatting>
  <conditionalFormatting sqref="H936">
    <cfRule type="expression" dxfId="305" priority="335" stopIfTrue="1">
      <formula>IF(FIND("Flume Transfer Blower",$H934)&gt;0,1,0)</formula>
    </cfRule>
  </conditionalFormatting>
  <conditionalFormatting sqref="H933">
    <cfRule type="expression" dxfId="304" priority="336" stopIfTrue="1">
      <formula>IF(FIND("Flume Transfer Blower",$H935)&gt;0,1,0)</formula>
    </cfRule>
  </conditionalFormatting>
  <conditionalFormatting sqref="H934">
    <cfRule type="expression" dxfId="303" priority="337" stopIfTrue="1">
      <formula>IF(FIND("Flume Transfer Blower",$H937)&gt;0,1,0)</formula>
    </cfRule>
  </conditionalFormatting>
  <conditionalFormatting sqref="H937">
    <cfRule type="expression" dxfId="302" priority="338" stopIfTrue="1">
      <formula>IF(FIND("Flume Transfer Blower",$H936)&gt;0,1,0)</formula>
    </cfRule>
  </conditionalFormatting>
  <conditionalFormatting sqref="H818:H819">
    <cfRule type="expression" dxfId="301" priority="330" stopIfTrue="1">
      <formula>IF(FIND("Flume Transfer Blower",$J818)&gt;0,1,0)</formula>
    </cfRule>
  </conditionalFormatting>
  <conditionalFormatting sqref="G1081:G1083">
    <cfRule type="expression" dxfId="300" priority="329" stopIfTrue="1">
      <formula>IF(FIND("Flume Transfer Blower",$H1081)&gt;0,1,0)</formula>
    </cfRule>
  </conditionalFormatting>
  <conditionalFormatting sqref="G1084">
    <cfRule type="expression" dxfId="299" priority="328" stopIfTrue="1">
      <formula>IF(FIND("Flume Transfer Blower",$H1084)&gt;0,1,0)</formula>
    </cfRule>
  </conditionalFormatting>
  <conditionalFormatting sqref="G644:H644">
    <cfRule type="expression" dxfId="298" priority="327" stopIfTrue="1">
      <formula>IF(FIND("Flume Transfer Blower",$H644)&gt;0,1,0)</formula>
    </cfRule>
  </conditionalFormatting>
  <conditionalFormatting sqref="G866:H866">
    <cfRule type="expression" dxfId="297" priority="326" stopIfTrue="1">
      <formula>IF(FIND("Flume Transfer Blower",$J866)&gt;0,1,0)</formula>
    </cfRule>
  </conditionalFormatting>
  <conditionalFormatting sqref="G655:H665">
    <cfRule type="expression" dxfId="296" priority="325" stopIfTrue="1">
      <formula>IF(FIND("Flume Transfer Blower",$H655)&gt;0,1,0)</formula>
    </cfRule>
  </conditionalFormatting>
  <conditionalFormatting sqref="G701:H701">
    <cfRule type="expression" dxfId="295" priority="324" stopIfTrue="1">
      <formula>IF(FIND("Flume Transfer Blower",$J701)&gt;0,1,0)</formula>
    </cfRule>
  </conditionalFormatting>
  <conditionalFormatting sqref="G728:H730">
    <cfRule type="expression" dxfId="294" priority="323" stopIfTrue="1">
      <formula>IF(FIND("Flume Transfer Blower",$J728)&gt;0,1,0)</formula>
    </cfRule>
  </conditionalFormatting>
  <conditionalFormatting sqref="G724:H727">
    <cfRule type="expression" dxfId="293" priority="322" stopIfTrue="1">
      <formula>IF(FIND("Flume Transfer Blower",$J724)&gt;0,1,0)</formula>
    </cfRule>
  </conditionalFormatting>
  <conditionalFormatting sqref="G801:H807">
    <cfRule type="expression" dxfId="292" priority="321" stopIfTrue="1">
      <formula>IF(FIND("Flume Transfer Blower",$H801)&gt;0,1,0)</formula>
    </cfRule>
  </conditionalFormatting>
  <conditionalFormatting sqref="G800:H800">
    <cfRule type="expression" dxfId="291" priority="320" stopIfTrue="1">
      <formula>IF(FIND("Flume Transfer Blower",$H800)&gt;0,1,0)</formula>
    </cfRule>
  </conditionalFormatting>
  <conditionalFormatting sqref="G809:H817">
    <cfRule type="expression" dxfId="290" priority="319" stopIfTrue="1">
      <formula>IF(FIND("Flume Transfer Blower",$H809)&gt;0,1,0)</formula>
    </cfRule>
  </conditionalFormatting>
  <conditionalFormatting sqref="G808:H808">
    <cfRule type="expression" dxfId="289" priority="318" stopIfTrue="1">
      <formula>IF(FIND("Flume Transfer Blower",$H808)&gt;0,1,0)</formula>
    </cfRule>
  </conditionalFormatting>
  <conditionalFormatting sqref="G848:H849">
    <cfRule type="expression" dxfId="288" priority="317" stopIfTrue="1">
      <formula>IF(FIND("Flume Transfer Blower",$J848)&gt;0,1,0)</formula>
    </cfRule>
  </conditionalFormatting>
  <conditionalFormatting sqref="G907:H907">
    <cfRule type="expression" dxfId="287" priority="316" stopIfTrue="1">
      <formula>IF(FIND("Flume Transfer Blower",$J907)&gt;0,1,0)</formula>
    </cfRule>
  </conditionalFormatting>
  <conditionalFormatting sqref="G1111:H1116">
    <cfRule type="expression" dxfId="286" priority="315" stopIfTrue="1">
      <formula>IF(FIND("Flume Transfer Blower",$H1111)&gt;0,1,0)</formula>
    </cfRule>
  </conditionalFormatting>
  <conditionalFormatting sqref="G913:H913">
    <cfRule type="expression" dxfId="285" priority="314" stopIfTrue="1">
      <formula>IF(FIND("Flume Transfer Blower",$J913)&gt;0,1,0)</formula>
    </cfRule>
  </conditionalFormatting>
  <conditionalFormatting sqref="G1086:H1101">
    <cfRule type="expression" dxfId="284" priority="313" stopIfTrue="1">
      <formula>IF(FIND("Flume Transfer Blower",$H1086)&gt;0,1,0)</formula>
    </cfRule>
  </conditionalFormatting>
  <conditionalFormatting sqref="G1136:H1140">
    <cfRule type="expression" dxfId="283" priority="312" stopIfTrue="1">
      <formula>IF(FIND("Flume Transfer Blower",$H1136)&gt;0,1,0)</formula>
    </cfRule>
  </conditionalFormatting>
  <conditionalFormatting sqref="H1041:H1046">
    <cfRule type="expression" dxfId="282" priority="311" stopIfTrue="1">
      <formula>IF(FIND("Flume Transfer Blower",$H1041)&gt;0,1,0)</formula>
    </cfRule>
  </conditionalFormatting>
  <conditionalFormatting sqref="H1047:H1051">
    <cfRule type="expression" dxfId="281" priority="310" stopIfTrue="1">
      <formula>IF(FIND("Flume Transfer Blower",$H1047)&gt;0,1,0)</formula>
    </cfRule>
  </conditionalFormatting>
  <conditionalFormatting sqref="H1052">
    <cfRule type="expression" dxfId="280" priority="309" stopIfTrue="1">
      <formula>IF(FIND("Flume Transfer Blower",$H1052)&gt;0,1,0)</formula>
    </cfRule>
  </conditionalFormatting>
  <conditionalFormatting sqref="G1053">
    <cfRule type="expression" dxfId="279" priority="308" stopIfTrue="1">
      <formula>IF(FIND("Flume Transfer Blower",$H1053)&gt;0,1,0)</formula>
    </cfRule>
  </conditionalFormatting>
  <conditionalFormatting sqref="G910:H910">
    <cfRule type="expression" dxfId="278" priority="339" stopIfTrue="1">
      <formula>IF(FIND("Flume Transfer Blower",$I910)&gt;0,1,0)</formula>
    </cfRule>
  </conditionalFormatting>
  <conditionalFormatting sqref="G1154:H1159 H1160 G1161:H1163 H1164:H1165 G1166:H1166 H1223:H1225 H1318 G1319:H1324 G1326:H1330 H1325 H1331:H1333 H1294 H1231:H1239 G1242:H1247 G1405:H1408 H1380:H1403 G1201:H1205 H1200 H1146:H1153 G1141:H1145 G1180:H1182 H1249 G1250:H1293 G1297:H1317 G1347:H1379 G1413:H1416 H1417 G1186:H1191 G1226:H1230 G1422:H1438">
    <cfRule type="expression" dxfId="277" priority="307" stopIfTrue="1">
      <formula>IF(FIND("Flume Transfer Blower",#REF!)&gt;0,1,0)</formula>
    </cfRule>
  </conditionalFormatting>
  <conditionalFormatting sqref="G1221:H1221 H1222">
    <cfRule type="expression" dxfId="276" priority="306" stopIfTrue="1">
      <formula>IF(FIND("Flume Transfer Blower",#REF!)&gt;0,1,0)</formula>
    </cfRule>
  </conditionalFormatting>
  <conditionalFormatting sqref="G1418:H1421">
    <cfRule type="expression" dxfId="275" priority="305" stopIfTrue="1">
      <formula>IF(FIND("Flume Transfer Blower",#REF!)&gt;0,1,0)</formula>
    </cfRule>
  </conditionalFormatting>
  <conditionalFormatting sqref="G1151">
    <cfRule type="expression" dxfId="274" priority="303" stopIfTrue="1">
      <formula>IF(FIND("Flume Transfer Blower",#REF!)&gt;0,1,0)</formula>
    </cfRule>
  </conditionalFormatting>
  <conditionalFormatting sqref="G1146:G1150">
    <cfRule type="expression" dxfId="273" priority="304" stopIfTrue="1">
      <formula>IF(FIND("Flume Transfer Blower",#REF!)&gt;0,1,0)</formula>
    </cfRule>
  </conditionalFormatting>
  <conditionalFormatting sqref="G1164">
    <cfRule type="expression" dxfId="272" priority="299" stopIfTrue="1">
      <formula>IF(FIND("Flume Transfer Blower",#REF!)&gt;0,1,0)</formula>
    </cfRule>
  </conditionalFormatting>
  <conditionalFormatting sqref="G1152">
    <cfRule type="expression" dxfId="271" priority="302" stopIfTrue="1">
      <formula>IF(FIND("Flume Transfer Blower",#REF!)&gt;0,1,0)</formula>
    </cfRule>
  </conditionalFormatting>
  <conditionalFormatting sqref="G1153">
    <cfRule type="expression" dxfId="270" priority="301" stopIfTrue="1">
      <formula>IF(FIND("Flume Transfer Blower",#REF!)&gt;0,1,0)</formula>
    </cfRule>
  </conditionalFormatting>
  <conditionalFormatting sqref="G1165">
    <cfRule type="expression" dxfId="269" priority="300" stopIfTrue="1">
      <formula>IF(FIND("Flume Transfer Blower",#REF!)&gt;0,1,0)</formula>
    </cfRule>
  </conditionalFormatting>
  <conditionalFormatting sqref="G1388:G1393">
    <cfRule type="expression" dxfId="268" priority="298" stopIfTrue="1">
      <formula>IF(FIND("Flume Transfer Blower",#REF!)&gt;0,1,0)</formula>
    </cfRule>
  </conditionalFormatting>
  <conditionalFormatting sqref="G1395:G1402">
    <cfRule type="expression" dxfId="267" priority="297" stopIfTrue="1">
      <formula>IF(FIND("Flume Transfer Blower",#REF!)&gt;0,1,0)</formula>
    </cfRule>
  </conditionalFormatting>
  <conditionalFormatting sqref="G1333">
    <cfRule type="expression" dxfId="266" priority="296" stopIfTrue="1">
      <formula>IF(FIND("Flume Transfer Blower",#REF!)&gt;0,1,0)</formula>
    </cfRule>
  </conditionalFormatting>
  <conditionalFormatting sqref="G1417 G1404">
    <cfRule type="expression" dxfId="265" priority="295" stopIfTrue="1">
      <formula>IF(FIND("Flume Transfer Blower",$H1404)&gt;0,1,0)</formula>
    </cfRule>
  </conditionalFormatting>
  <conditionalFormatting sqref="H1295">
    <cfRule type="expression" dxfId="264" priority="294" stopIfTrue="1">
      <formula>IF(FIND("Flume Transfer Blower",#REF!)&gt;0,1,0)</formula>
    </cfRule>
  </conditionalFormatting>
  <conditionalFormatting sqref="H1296">
    <cfRule type="expression" dxfId="263" priority="293" stopIfTrue="1">
      <formula>IF(FIND("Flume Transfer Blower",#REF!)&gt;0,1,0)</formula>
    </cfRule>
  </conditionalFormatting>
  <conditionalFormatting sqref="G1296">
    <cfRule type="expression" dxfId="262" priority="292" stopIfTrue="1">
      <formula>IF(FIND("Flume Transfer Blower",$H1296)&gt;0,1,0)</formula>
    </cfRule>
  </conditionalFormatting>
  <conditionalFormatting sqref="H1240">
    <cfRule type="expression" dxfId="261" priority="291" stopIfTrue="1">
      <formula>IF(FIND("Flume Transfer Blower",#REF!)&gt;0,1,0)</formula>
    </cfRule>
  </conditionalFormatting>
  <conditionalFormatting sqref="H1241">
    <cfRule type="expression" dxfId="260" priority="290" stopIfTrue="1">
      <formula>IF(FIND("Flume Transfer Blower",#REF!)&gt;0,1,0)</formula>
    </cfRule>
  </conditionalFormatting>
  <conditionalFormatting sqref="G1241">
    <cfRule type="expression" dxfId="259" priority="289" stopIfTrue="1">
      <formula>IF(FIND("Flume Transfer Blower",$H1241)&gt;0,1,0)</formula>
    </cfRule>
  </conditionalFormatting>
  <conditionalFormatting sqref="H1404">
    <cfRule type="expression" dxfId="258" priority="288" stopIfTrue="1">
      <formula>IF(FIND("Flume Transfer Blower",#REF!)&gt;0,1,0)</formula>
    </cfRule>
  </conditionalFormatting>
  <conditionalFormatting sqref="G1167:H1175 H1176:H1178">
    <cfRule type="expression" dxfId="257" priority="287" stopIfTrue="1">
      <formula>IF(FIND("Flume Transfer Blower",#REF!)&gt;0,1,0)</formula>
    </cfRule>
  </conditionalFormatting>
  <conditionalFormatting sqref="G1176">
    <cfRule type="expression" dxfId="256" priority="286" stopIfTrue="1">
      <formula>IF(FIND("Flume Transfer Blower",#REF!)&gt;0,1,0)</formula>
    </cfRule>
  </conditionalFormatting>
  <conditionalFormatting sqref="G1177">
    <cfRule type="expression" dxfId="255" priority="285" stopIfTrue="1">
      <formula>IF(FIND("Flume Transfer Blower",#REF!)&gt;0,1,0)</formula>
    </cfRule>
  </conditionalFormatting>
  <conditionalFormatting sqref="G1178">
    <cfRule type="expression" dxfId="254" priority="284" stopIfTrue="1">
      <formula>IF(FIND("Flume Transfer Blower",#REF!)&gt;0,1,0)</formula>
    </cfRule>
  </conditionalFormatting>
  <conditionalFormatting sqref="H1179">
    <cfRule type="expression" dxfId="253" priority="283" stopIfTrue="1">
      <formula>IF(FIND("Flume Transfer Blower",#REF!)&gt;0,1,0)</formula>
    </cfRule>
  </conditionalFormatting>
  <conditionalFormatting sqref="G1179">
    <cfRule type="expression" dxfId="252" priority="282" stopIfTrue="1">
      <formula>IF(FIND("Flume Transfer Blower",#REF!)&gt;0,1,0)</formula>
    </cfRule>
  </conditionalFormatting>
  <conditionalFormatting sqref="G1192:H1193">
    <cfRule type="expression" dxfId="251" priority="281" stopIfTrue="1">
      <formula>IF(FIND("Flume Transfer Blower",#REF!)&gt;0,1,0)</formula>
    </cfRule>
  </conditionalFormatting>
  <conditionalFormatting sqref="G1194:H1195">
    <cfRule type="expression" dxfId="250" priority="280" stopIfTrue="1">
      <formula>IF(FIND("Flume Transfer Blower",#REF!)&gt;0,1,0)</formula>
    </cfRule>
  </conditionalFormatting>
  <conditionalFormatting sqref="H1197:H1198">
    <cfRule type="expression" dxfId="249" priority="279" stopIfTrue="1">
      <formula>IF(FIND("Flume Transfer Blower",#REF!)&gt;0,1,0)</formula>
    </cfRule>
  </conditionalFormatting>
  <conditionalFormatting sqref="H1199">
    <cfRule type="expression" dxfId="248" priority="278" stopIfTrue="1">
      <formula>IF(FIND("Flume Transfer Blower",#REF!)&gt;0,1,0)</formula>
    </cfRule>
  </conditionalFormatting>
  <conditionalFormatting sqref="G1206:H1220">
    <cfRule type="expression" dxfId="247" priority="277" stopIfTrue="1">
      <formula>IF(FIND("Flume Transfer Blower",#REF!)&gt;0,1,0)</formula>
    </cfRule>
  </conditionalFormatting>
  <conditionalFormatting sqref="G1344:H1346 H1334:H1343">
    <cfRule type="expression" dxfId="246" priority="276" stopIfTrue="1">
      <formula>IF(FIND("Flume Transfer Blower",#REF!)&gt;0,1,0)</formula>
    </cfRule>
  </conditionalFormatting>
  <conditionalFormatting sqref="G1335:G1342">
    <cfRule type="expression" dxfId="245" priority="275" stopIfTrue="1">
      <formula>IF(FIND("Flume Transfer Blower",#REF!)&gt;0,1,0)</formula>
    </cfRule>
  </conditionalFormatting>
  <conditionalFormatting sqref="H1409:H1412">
    <cfRule type="expression" dxfId="244" priority="274" stopIfTrue="1">
      <formula>IF(FIND("Flume Transfer Blower",#REF!)&gt;0,1,0)</formula>
    </cfRule>
  </conditionalFormatting>
  <conditionalFormatting sqref="G1185:H1185">
    <cfRule type="expression" dxfId="243" priority="273" stopIfTrue="1">
      <formula>IF(FIND("Flume Transfer Blower",#REF!)&gt;0,1,0)</formula>
    </cfRule>
  </conditionalFormatting>
  <conditionalFormatting sqref="G1183:H1184">
    <cfRule type="expression" dxfId="242" priority="272" stopIfTrue="1">
      <formula>IF(FIND("Flume Transfer Blower",#REF!)&gt;0,1,0)</formula>
    </cfRule>
  </conditionalFormatting>
  <conditionalFormatting sqref="G1196:H1196">
    <cfRule type="expression" dxfId="241" priority="271" stopIfTrue="1">
      <formula>IF(FIND("Flume Transfer Blower",#REF!)&gt;0,1,0)</formula>
    </cfRule>
  </conditionalFormatting>
  <conditionalFormatting sqref="G1248:H1248">
    <cfRule type="expression" dxfId="240" priority="270" stopIfTrue="1">
      <formula>IF(FIND("Flume Transfer Blower",#REF!)&gt;0,1,0)</formula>
    </cfRule>
  </conditionalFormatting>
  <conditionalFormatting sqref="G1533:G1540 G1441:H1442 H1443 G1556:H1562 H1552:H1555 H1544:H1550 G1541:H1543 G1564:H1599 G1607:H1659 G1601:H1605 G1483:H1532 G1444:H1480">
    <cfRule type="expression" dxfId="239" priority="256" stopIfTrue="1">
      <formula>IF(FIND("Flume Transfer Blower",$H1441)&gt;0,1,0)</formula>
    </cfRule>
  </conditionalFormatting>
  <conditionalFormatting sqref="H1534:H1536">
    <cfRule type="expression" dxfId="238" priority="257" stopIfTrue="1">
      <formula>IF(FIND("Flume Transfer Blower",$H1533)&gt;0,1,0)</formula>
    </cfRule>
  </conditionalFormatting>
  <conditionalFormatting sqref="H1533">
    <cfRule type="expression" dxfId="237" priority="255" stopIfTrue="1">
      <formula>IF(FIND("Flume Transfer Blower",$H1533)&gt;0,1,0)</formula>
    </cfRule>
  </conditionalFormatting>
  <conditionalFormatting sqref="H1439:H1440">
    <cfRule type="expression" dxfId="236" priority="254">
      <formula>IF(LEN(H1439)&gt;80,1,0)</formula>
    </cfRule>
  </conditionalFormatting>
  <conditionalFormatting sqref="G1551:H1551">
    <cfRule type="expression" dxfId="235" priority="258" stopIfTrue="1">
      <formula>IF(FIND("Flume Transfer Blower",$H1544)&gt;0,1,0)</formula>
    </cfRule>
  </conditionalFormatting>
  <conditionalFormatting sqref="G1555">
    <cfRule type="expression" dxfId="234" priority="259" stopIfTrue="1">
      <formula>IF(FIND("Flume Transfer Blower",$H1544)&gt;0,1,0)</formula>
    </cfRule>
  </conditionalFormatting>
  <conditionalFormatting sqref="G1554">
    <cfRule type="expression" dxfId="233" priority="260" stopIfTrue="1">
      <formula>IF(FIND("Flume Transfer Blower",$H1544)&gt;0,1,0)</formula>
    </cfRule>
  </conditionalFormatting>
  <conditionalFormatting sqref="G1553">
    <cfRule type="expression" dxfId="232" priority="261" stopIfTrue="1">
      <formula>IF(FIND("Flume Transfer Blower",$H1544)&gt;0,1,0)</formula>
    </cfRule>
  </conditionalFormatting>
  <conditionalFormatting sqref="G1552">
    <cfRule type="expression" dxfId="231" priority="262" stopIfTrue="1">
      <formula>IF(FIND("Flume Transfer Blower",$H1544)&gt;0,1,0)</formula>
    </cfRule>
  </conditionalFormatting>
  <conditionalFormatting sqref="G1550">
    <cfRule type="expression" dxfId="230" priority="263" stopIfTrue="1">
      <formula>IF(FIND("Flume Transfer Blower",$H1544)&gt;0,1,0)</formula>
    </cfRule>
  </conditionalFormatting>
  <conditionalFormatting sqref="G1549 H1540">
    <cfRule type="expression" dxfId="229" priority="264" stopIfTrue="1">
      <formula>IF(FIND("Flume Transfer Blower",$H1535)&gt;0,1,0)</formula>
    </cfRule>
  </conditionalFormatting>
  <conditionalFormatting sqref="G1548 H1539">
    <cfRule type="expression" dxfId="228" priority="265" stopIfTrue="1">
      <formula>IF(FIND("Flume Transfer Blower",$H1535)&gt;0,1,0)</formula>
    </cfRule>
  </conditionalFormatting>
  <conditionalFormatting sqref="G1547 H1538">
    <cfRule type="expression" dxfId="227" priority="266" stopIfTrue="1">
      <formula>IF(FIND("Flume Transfer Blower",$H1535)&gt;0,1,0)</formula>
    </cfRule>
  </conditionalFormatting>
  <conditionalFormatting sqref="G1546 H1537">
    <cfRule type="expression" dxfId="226" priority="267" stopIfTrue="1">
      <formula>IF(FIND("Flume Transfer Blower",$H1535)&gt;0,1,0)</formula>
    </cfRule>
  </conditionalFormatting>
  <conditionalFormatting sqref="G1545">
    <cfRule type="expression" dxfId="225" priority="268" stopIfTrue="1">
      <formula>IF(FIND("Flume Transfer Blower",$H1544)&gt;0,1,0)</formula>
    </cfRule>
  </conditionalFormatting>
  <conditionalFormatting sqref="G1606:H1606">
    <cfRule type="expression" dxfId="224" priority="253" stopIfTrue="1">
      <formula>IF(FIND("Flume Transfer Blower",$H1606)&gt;0,1,0)</formula>
    </cfRule>
  </conditionalFormatting>
  <conditionalFormatting sqref="G1563:H1563">
    <cfRule type="expression" dxfId="223" priority="252" stopIfTrue="1">
      <formula>IF(FIND("Flume Transfer Blower",$H1563)&gt;0,1,0)</formula>
    </cfRule>
  </conditionalFormatting>
  <conditionalFormatting sqref="H1600">
    <cfRule type="expression" dxfId="222" priority="251">
      <formula>IF(LEN(H1600)&gt;80,1,0)</formula>
    </cfRule>
  </conditionalFormatting>
  <conditionalFormatting sqref="G1544">
    <cfRule type="expression" dxfId="221" priority="269" stopIfTrue="1">
      <formula>IF(FIND("Flume Transfer Blower",#REF!)&gt;0,1,0)</formula>
    </cfRule>
  </conditionalFormatting>
  <conditionalFormatting sqref="H1660:H1665">
    <cfRule type="expression" dxfId="220" priority="250" stopIfTrue="1">
      <formula>IF(FIND("Flume Transfer Blower",$H1660)&gt;0,1,0)</formula>
    </cfRule>
  </conditionalFormatting>
  <conditionalFormatting sqref="H1666:H1671">
    <cfRule type="expression" dxfId="219" priority="249" stopIfTrue="1">
      <formula>IF(FIND("Flume Transfer Blower",$H1666)&gt;0,1,0)</formula>
    </cfRule>
  </conditionalFormatting>
  <conditionalFormatting sqref="G1666">
    <cfRule type="expression" dxfId="218" priority="248" stopIfTrue="1">
      <formula>IF(FIND("Flume Transfer Blower",$H1666)&gt;0,1,0)</formula>
    </cfRule>
  </conditionalFormatting>
  <conditionalFormatting sqref="G1667:G1671">
    <cfRule type="expression" dxfId="217" priority="247" stopIfTrue="1">
      <formula>IF(FIND("Flume Transfer Blower",$H1667)&gt;0,1,0)</formula>
    </cfRule>
  </conditionalFormatting>
  <conditionalFormatting sqref="H1672:H1677">
    <cfRule type="expression" dxfId="216" priority="246" stopIfTrue="1">
      <formula>IF(FIND("Flume Transfer Blower",$H1672)&gt;0,1,0)</formula>
    </cfRule>
  </conditionalFormatting>
  <conditionalFormatting sqref="G1672:G1677">
    <cfRule type="expression" dxfId="215" priority="245" stopIfTrue="1">
      <formula>IF(FIND("Flume Transfer Blower",$H1672)&gt;0,1,0)</formula>
    </cfRule>
  </conditionalFormatting>
  <conditionalFormatting sqref="D1660:F1677">
    <cfRule type="expression" dxfId="214" priority="244" stopIfTrue="1">
      <formula>IF(FIND("Flume Transfer Blower",$H1660)&gt;0,1,0)</formula>
    </cfRule>
  </conditionalFormatting>
  <conditionalFormatting sqref="I1660:I1677">
    <cfRule type="expression" dxfId="213" priority="243" stopIfTrue="1">
      <formula>IF(FIND("Flume Transfer Blower",$H1660)&gt;0,1,0)</formula>
    </cfRule>
  </conditionalFormatting>
  <conditionalFormatting sqref="H1678">
    <cfRule type="expression" dxfId="212" priority="242" stopIfTrue="1">
      <formula>IF(FIND("Flume Transfer Blower",$H1678)&gt;0,1,0)</formula>
    </cfRule>
  </conditionalFormatting>
  <conditionalFormatting sqref="H1679:H1684">
    <cfRule type="expression" dxfId="211" priority="241" stopIfTrue="1">
      <formula>IF(FIND("Flume Transfer Blower",$H1679)&gt;0,1,0)</formula>
    </cfRule>
  </conditionalFormatting>
  <conditionalFormatting sqref="G1679">
    <cfRule type="expression" dxfId="210" priority="240" stopIfTrue="1">
      <formula>IF(FIND("Flume Transfer Blower",$H1679)&gt;0,1,0)</formula>
    </cfRule>
  </conditionalFormatting>
  <conditionalFormatting sqref="G1680:G1684">
    <cfRule type="expression" dxfId="209" priority="239" stopIfTrue="1">
      <formula>IF(FIND("Flume Transfer Blower",$H1680)&gt;0,1,0)</formula>
    </cfRule>
  </conditionalFormatting>
  <conditionalFormatting sqref="H1685:H1690">
    <cfRule type="expression" dxfId="208" priority="238" stopIfTrue="1">
      <formula>IF(FIND("Flume Transfer Blower",$H1685)&gt;0,1,0)</formula>
    </cfRule>
  </conditionalFormatting>
  <conditionalFormatting sqref="G1685:G1690">
    <cfRule type="expression" dxfId="207" priority="237" stopIfTrue="1">
      <formula>IF(FIND("Flume Transfer Blower",$H1685)&gt;0,1,0)</formula>
    </cfRule>
  </conditionalFormatting>
  <conditionalFormatting sqref="D1678:F1690">
    <cfRule type="expression" dxfId="206" priority="236" stopIfTrue="1">
      <formula>IF(FIND("Flume Transfer Blower",$H1678)&gt;0,1,0)</formula>
    </cfRule>
  </conditionalFormatting>
  <conditionalFormatting sqref="I1678:I1690">
    <cfRule type="expression" dxfId="205" priority="235" stopIfTrue="1">
      <formula>IF(FIND("Flume Transfer Blower",$H1678)&gt;0,1,0)</formula>
    </cfRule>
  </conditionalFormatting>
  <conditionalFormatting sqref="G1481:H1482">
    <cfRule type="expression" dxfId="204" priority="234" stopIfTrue="1">
      <formula>IF(FIND("Flume Transfer Blower",$H1481)&gt;0,1,0)</formula>
    </cfRule>
  </conditionalFormatting>
  <conditionalFormatting sqref="J1660:J1677">
    <cfRule type="expression" dxfId="203" priority="233" stopIfTrue="1">
      <formula>IF(FIND("Flume Transfer Blower",$H1660)&gt;0,1,0)</formula>
    </cfRule>
  </conditionalFormatting>
  <conditionalFormatting sqref="J1678:J1690">
    <cfRule type="expression" dxfId="202" priority="232" stopIfTrue="1">
      <formula>IF(FIND("Flume Transfer Blower",$H1678)&gt;0,1,0)</formula>
    </cfRule>
  </conditionalFormatting>
  <conditionalFormatting sqref="K1660:M1677">
    <cfRule type="expression" dxfId="201" priority="231" stopIfTrue="1">
      <formula>IF(FIND("Flume Transfer Blower",$H1660)&gt;0,1,0)</formula>
    </cfRule>
  </conditionalFormatting>
  <conditionalFormatting sqref="K1678:M1690">
    <cfRule type="expression" dxfId="200" priority="230" stopIfTrue="1">
      <formula>IF(FIND("Flume Transfer Blower",$H1678)&gt;0,1,0)</formula>
    </cfRule>
  </conditionalFormatting>
  <conditionalFormatting sqref="G1791 G1805:H1806 G1809:G1813 G1691:H1691 G1709:H1711 G1715:H1716 G1743:H1744 H1720:H1723 G1775:H1783 G1785:H1785 G1752:H1757 G1732:H1732 G1758:G1769 G1770:H1770">
    <cfRule type="expression" dxfId="199" priority="228" stopIfTrue="1">
      <formula>IF(FIND("Flume Transfer Blower",#REF!)&gt;0,1,0)</formula>
    </cfRule>
  </conditionalFormatting>
  <conditionalFormatting sqref="G1696:H1702 G1692:G1695">
    <cfRule type="expression" dxfId="198" priority="227" stopIfTrue="1">
      <formula>IF(FIND("Flume Transfer Blower",#REF!)&gt;0,1,0)</formula>
    </cfRule>
  </conditionalFormatting>
  <conditionalFormatting sqref="G1771:H1772 G1773:G1774">
    <cfRule type="expression" dxfId="197" priority="226" stopIfTrue="1">
      <formula>IF(FIND("Flume Transfer Blower",#REF!)&gt;0,1,0)</formula>
    </cfRule>
  </conditionalFormatting>
  <conditionalFormatting sqref="G1792:G1794">
    <cfRule type="expression" dxfId="196" priority="225" stopIfTrue="1">
      <formula>IF(FIND("Flume Transfer Blower",#REF!)&gt;0,1,0)</formula>
    </cfRule>
  </conditionalFormatting>
  <conditionalFormatting sqref="G1703:G1708">
    <cfRule type="expression" dxfId="195" priority="224" stopIfTrue="1">
      <formula>IF(FIND("Flume Transfer Blower",#REF!)&gt;0,1,0)</formula>
    </cfRule>
  </conditionalFormatting>
  <conditionalFormatting sqref="H1703:H1705">
    <cfRule type="expression" dxfId="194" priority="223" stopIfTrue="1">
      <formula>IF(FIND("Flume Transfer Blower",#REF!)&gt;0,1,0)</formula>
    </cfRule>
  </conditionalFormatting>
  <conditionalFormatting sqref="G1724:H1724">
    <cfRule type="expression" dxfId="193" priority="222" stopIfTrue="1">
      <formula>IF(FIND("Flume Transfer Blower",#REF!)&gt;0,1,0)</formula>
    </cfRule>
  </conditionalFormatting>
  <conditionalFormatting sqref="H1734:H1742">
    <cfRule type="expression" dxfId="192" priority="220" stopIfTrue="1">
      <formula>IF(FIND("Flume Transfer Blower",#REF!)&gt;0,1,0)</formula>
    </cfRule>
  </conditionalFormatting>
  <conditionalFormatting sqref="H1725:H1731">
    <cfRule type="expression" dxfId="191" priority="221" stopIfTrue="1">
      <formula>IF(FIND("Flume Transfer Blower",#REF!)&gt;0,1,0)</formula>
    </cfRule>
  </conditionalFormatting>
  <conditionalFormatting sqref="H1745:H1751">
    <cfRule type="expression" dxfId="190" priority="219" stopIfTrue="1">
      <formula>IF(FIND("Flume Transfer Blower",#REF!)&gt;0,1,0)</formula>
    </cfRule>
  </conditionalFormatting>
  <conditionalFormatting sqref="H1764:H1769">
    <cfRule type="expression" dxfId="189" priority="218" stopIfTrue="1">
      <formula>IF(FIND("Flume Transfer Blower",#REF!)&gt;0,1,0)</formula>
    </cfRule>
  </conditionalFormatting>
  <conditionalFormatting sqref="G1788:H1789">
    <cfRule type="expression" dxfId="188" priority="217" stopIfTrue="1">
      <formula>IF(FIND("Flume Transfer Blower",#REF!)&gt;0,1,0)</formula>
    </cfRule>
  </conditionalFormatting>
  <conditionalFormatting sqref="G1790:H1790">
    <cfRule type="expression" dxfId="187" priority="216" stopIfTrue="1">
      <formula>IF(FIND("Flume Transfer Blower",#REF!)&gt;0,1,0)</formula>
    </cfRule>
  </conditionalFormatting>
  <conditionalFormatting sqref="H1787">
    <cfRule type="expression" dxfId="186" priority="215" stopIfTrue="1">
      <formula>IF(FIND("Flume Transfer Blower",#REF!)&gt;0,1,0)</formula>
    </cfRule>
  </conditionalFormatting>
  <conditionalFormatting sqref="H1791:H1794">
    <cfRule type="expression" dxfId="185" priority="214" stopIfTrue="1">
      <formula>IF(FIND("Flume Transfer Blower",#REF!)&gt;0,1,0)</formula>
    </cfRule>
  </conditionalFormatting>
  <conditionalFormatting sqref="G1795:H1795 G1801 G1796 G1797:H1800">
    <cfRule type="expression" dxfId="184" priority="213" stopIfTrue="1">
      <formula>IF(FIND("Flume Transfer Blower",#REF!)&gt;0,1,0)</formula>
    </cfRule>
  </conditionalFormatting>
  <conditionalFormatting sqref="H1801:H1804">
    <cfRule type="expression" dxfId="183" priority="212" stopIfTrue="1">
      <formula>IF(FIND("Flume Transfer Blower",#REF!)&gt;0,1,0)</formula>
    </cfRule>
  </conditionalFormatting>
  <conditionalFormatting sqref="H1812">
    <cfRule type="expression" dxfId="182" priority="211" stopIfTrue="1">
      <formula>IF(FIND("Flume Transfer Blower",#REF!)&gt;0,1,0)</formula>
    </cfRule>
  </conditionalFormatting>
  <conditionalFormatting sqref="H1813">
    <cfRule type="expression" dxfId="181" priority="210" stopIfTrue="1">
      <formula>IF(FIND("Flume Transfer Blower",#REF!)&gt;0,1,0)</formula>
    </cfRule>
  </conditionalFormatting>
  <conditionalFormatting sqref="G1718:H1718">
    <cfRule type="expression" dxfId="180" priority="209" stopIfTrue="1">
      <formula>IF(FIND("Flume Transfer Blower",#REF!)&gt;0,1,0)</formula>
    </cfRule>
  </conditionalFormatting>
  <conditionalFormatting sqref="H1733">
    <cfRule type="expression" dxfId="179" priority="208" stopIfTrue="1">
      <formula>IF(FIND("Flume Transfer Blower",#REF!)&gt;0,1,0)</formula>
    </cfRule>
  </conditionalFormatting>
  <conditionalFormatting sqref="H1758:H1763">
    <cfRule type="expression" dxfId="178" priority="207" stopIfTrue="1">
      <formula>IF(FIND("Flume Transfer Blower",#REF!)&gt;0,1,0)</formula>
    </cfRule>
  </conditionalFormatting>
  <conditionalFormatting sqref="H1773">
    <cfRule type="expression" dxfId="177" priority="206" stopIfTrue="1">
      <formula>IF(FIND("Flume Transfer Blower",#REF!)&gt;0,1,0)</formula>
    </cfRule>
  </conditionalFormatting>
  <conditionalFormatting sqref="H1774">
    <cfRule type="expression" dxfId="176" priority="205" stopIfTrue="1">
      <formula>IF(FIND("Flume Transfer Blower",#REF!)&gt;0,1,0)</formula>
    </cfRule>
  </conditionalFormatting>
  <conditionalFormatting sqref="H1786">
    <cfRule type="expression" dxfId="175" priority="204" stopIfTrue="1">
      <formula>IF(FIND("Flume Transfer Blower",#REF!)&gt;0,1,0)</formula>
    </cfRule>
  </conditionalFormatting>
  <conditionalFormatting sqref="H1796">
    <cfRule type="expression" dxfId="174" priority="203" stopIfTrue="1">
      <formula>IF(FIND("Flume Transfer Blower",#REF!)&gt;0,1,0)</formula>
    </cfRule>
  </conditionalFormatting>
  <conditionalFormatting sqref="G1807:H1808">
    <cfRule type="expression" dxfId="173" priority="202" stopIfTrue="1">
      <formula>IF(FIND("Flume Transfer Blower",#REF!)&gt;0,1,0)</formula>
    </cfRule>
  </conditionalFormatting>
  <conditionalFormatting sqref="H1809:H1811">
    <cfRule type="expression" dxfId="172" priority="201" stopIfTrue="1">
      <formula>IF(FIND("Flume Transfer Blower",#REF!)&gt;0,1,0)</formula>
    </cfRule>
  </conditionalFormatting>
  <conditionalFormatting sqref="G1717:H1717">
    <cfRule type="expression" dxfId="171" priority="200" stopIfTrue="1">
      <formula>IF(FIND("Flume Transfer Blower",#REF!)&gt;0,1,0)</formula>
    </cfRule>
  </conditionalFormatting>
  <conditionalFormatting sqref="H1712:H1714">
    <cfRule type="expression" dxfId="170" priority="199" stopIfTrue="1">
      <formula>IF(FIND("Flume Transfer Blower",#REF!)&gt;0,1,0)</formula>
    </cfRule>
  </conditionalFormatting>
  <conditionalFormatting sqref="G1712:G1714">
    <cfRule type="expression" dxfId="169" priority="198" stopIfTrue="1">
      <formula>IF(FIND("Flume Transfer Blower",#REF!)&gt;0,1,0)</formula>
    </cfRule>
  </conditionalFormatting>
  <conditionalFormatting sqref="G1784:H1784">
    <cfRule type="expression" dxfId="168" priority="197" stopIfTrue="1">
      <formula>IF(FIND("Flume Transfer Blower",#REF!)&gt;0,1,0)</formula>
    </cfRule>
  </conditionalFormatting>
  <conditionalFormatting sqref="H1692:H1695 H1706:H1708 H1719">
    <cfRule type="expression" dxfId="167" priority="229" stopIfTrue="1">
      <formula>IF(FIND("Flume Transfer Blower",#REF!)&gt;0,1,0)</formula>
    </cfRule>
  </conditionalFormatting>
  <conditionalFormatting sqref="G1814:H1814 G1816:H1824 H1815 H1825 H1845 G1856:H1862 H1855 H1835 G1846:H1853 G1826:H1834 G1836:H1844 G1874:H1956 G1977:H2047">
    <cfRule type="expression" dxfId="166" priority="196" stopIfTrue="1">
      <formula>IF(FIND("Flume Transfer Blower",$J1814)&gt;0,1,0)</formula>
    </cfRule>
  </conditionalFormatting>
  <conditionalFormatting sqref="G1854:H1854">
    <cfRule type="expression" dxfId="165" priority="195" stopIfTrue="1">
      <formula>IF(FIND("Flume Transfer Blower",$J1854)&gt;0,1,0)</formula>
    </cfRule>
  </conditionalFormatting>
  <conditionalFormatting sqref="G1957:H1976">
    <cfRule type="expression" dxfId="164" priority="194" stopIfTrue="1">
      <formula>IF(FIND("Flume Transfer Blower",$J1957)&gt;0,1,0)</formula>
    </cfRule>
  </conditionalFormatting>
  <conditionalFormatting sqref="G1863:H1873">
    <cfRule type="expression" dxfId="163" priority="193" stopIfTrue="1">
      <formula>IF(FIND("Flume Transfer Blower",$J1863)&gt;0,1,0)</formula>
    </cfRule>
  </conditionalFormatting>
  <conditionalFormatting sqref="G2048:H2048 G2076:H2077 G2080:H2089 G2105:H2115 G2079 G2104 G2116 G2118:H2122 G2129:H2133 H2164 G2155:H2163 G2225:H2229 G2137:H2144 G2165:H2172 G2189:H2195 G2205:H2218 G2181:H2187">
    <cfRule type="expression" dxfId="162" priority="163" stopIfTrue="1">
      <formula>IF(FIND("Flume Transfer Blower",#REF!)&gt;0,1,0)</formula>
    </cfRule>
  </conditionalFormatting>
  <conditionalFormatting sqref="G2050:H2056 G2049 G2068:H2075 G2067">
    <cfRule type="expression" dxfId="161" priority="162" stopIfTrue="1">
      <formula>IF(FIND("Flume Transfer Blower",#REF!)&gt;0,1,0)</formula>
    </cfRule>
  </conditionalFormatting>
  <conditionalFormatting sqref="H2049">
    <cfRule type="expression" dxfId="160" priority="161" stopIfTrue="1">
      <formula>IF(FIND("Flume Transfer Blower",#REF!)&gt;0,1,0)</formula>
    </cfRule>
  </conditionalFormatting>
  <conditionalFormatting sqref="H2067">
    <cfRule type="expression" dxfId="159" priority="160" stopIfTrue="1">
      <formula>IF(FIND("Flume Transfer Blower",#REF!)&gt;0,1,0)</formula>
    </cfRule>
  </conditionalFormatting>
  <conditionalFormatting sqref="G2078:H2078">
    <cfRule type="expression" dxfId="158" priority="159" stopIfTrue="1">
      <formula>IF(FIND("Flume Transfer Blower",#REF!)&gt;0,1,0)</formula>
    </cfRule>
  </conditionalFormatting>
  <conditionalFormatting sqref="G2103:H2103">
    <cfRule type="expression" dxfId="157" priority="158" stopIfTrue="1">
      <formula>IF(FIND("Flume Transfer Blower",#REF!)&gt;0,1,0)</formula>
    </cfRule>
  </conditionalFormatting>
  <conditionalFormatting sqref="H2079">
    <cfRule type="expression" dxfId="156" priority="157" stopIfTrue="1">
      <formula>IF(FIND("Flume Transfer Blower",#REF!)&gt;0,1,0)</formula>
    </cfRule>
  </conditionalFormatting>
  <conditionalFormatting sqref="H2104">
    <cfRule type="expression" dxfId="155" priority="156" stopIfTrue="1">
      <formula>IF(FIND("Flume Transfer Blower",#REF!)&gt;0,1,0)</formula>
    </cfRule>
  </conditionalFormatting>
  <conditionalFormatting sqref="G2134:H2136">
    <cfRule type="expression" dxfId="154" priority="155" stopIfTrue="1">
      <formula>IF(FIND("Flume Transfer Blower",#REF!)&gt;0,1,0)</formula>
    </cfRule>
  </conditionalFormatting>
  <conditionalFormatting sqref="G2117:H2117">
    <cfRule type="expression" dxfId="153" priority="154" stopIfTrue="1">
      <formula>IF(FIND("Flume Transfer Blower",#REF!)&gt;0,1,0)</formula>
    </cfRule>
  </conditionalFormatting>
  <conditionalFormatting sqref="G2128:H2128">
    <cfRule type="expression" dxfId="152" priority="153" stopIfTrue="1">
      <formula>IF(FIND("Flume Transfer Blower",#REF!)&gt;0,1,0)</formula>
    </cfRule>
  </conditionalFormatting>
  <conditionalFormatting sqref="H2116">
    <cfRule type="expression" dxfId="151" priority="152" stopIfTrue="1">
      <formula>IF(FIND("Flume Transfer Blower",#REF!)&gt;0,1,0)</formula>
    </cfRule>
  </conditionalFormatting>
  <conditionalFormatting sqref="G2188">
    <cfRule type="expression" dxfId="150" priority="151" stopIfTrue="1">
      <formula>IF(FIND("Flume Transfer Blower",#REF!)&gt;0,1,0)</formula>
    </cfRule>
  </conditionalFormatting>
  <conditionalFormatting sqref="G2180:H2180">
    <cfRule type="expression" dxfId="149" priority="150" stopIfTrue="1">
      <formula>IF(FIND("Flume Transfer Blower",#REF!)&gt;0,1,0)</formula>
    </cfRule>
  </conditionalFormatting>
  <conditionalFormatting sqref="H2188">
    <cfRule type="expression" dxfId="148" priority="149" stopIfTrue="1">
      <formula>IF(FIND("Flume Transfer Blower",#REF!)&gt;0,1,0)</formula>
    </cfRule>
  </conditionalFormatting>
  <conditionalFormatting sqref="G2164">
    <cfRule type="expression" dxfId="147" priority="148" stopIfTrue="1">
      <formula>IF(FIND("Flume Transfer Blower",$H2164)&gt;0,1,0)</formula>
    </cfRule>
  </conditionalFormatting>
  <conditionalFormatting sqref="G2063:H2066">
    <cfRule type="expression" dxfId="146" priority="147" stopIfTrue="1">
      <formula>IF(FIND("Flume Transfer Blower",#REF!)&gt;0,1,0)</formula>
    </cfRule>
  </conditionalFormatting>
  <conditionalFormatting sqref="G2057:H2062">
    <cfRule type="expression" dxfId="145" priority="146" stopIfTrue="1">
      <formula>IF(FIND("Flume Transfer Blower",#REF!)&gt;0,1,0)</formula>
    </cfRule>
  </conditionalFormatting>
  <conditionalFormatting sqref="G2090:H2092">
    <cfRule type="expression" dxfId="144" priority="144" stopIfTrue="1">
      <formula>IF(FIND("Flume Transfer Blower",#REF!)&gt;0,1,0)</formula>
    </cfRule>
  </conditionalFormatting>
  <conditionalFormatting sqref="G2093:H2102">
    <cfRule type="expression" dxfId="143" priority="145" stopIfTrue="1">
      <formula>IF(FIND("Flume Transfer Blower",#REF!)&gt;0,1,0)</formula>
    </cfRule>
  </conditionalFormatting>
  <conditionalFormatting sqref="G2123:H2127">
    <cfRule type="expression" dxfId="142" priority="143" stopIfTrue="1">
      <formula>IF(FIND("Flume Transfer Blower",#REF!)&gt;0,1,0)</formula>
    </cfRule>
  </conditionalFormatting>
  <conditionalFormatting sqref="G2145:H2146">
    <cfRule type="expression" dxfId="141" priority="141" stopIfTrue="1">
      <formula>IF(FIND("Flume Transfer Blower",#REF!)&gt;0,1,0)</formula>
    </cfRule>
  </conditionalFormatting>
  <conditionalFormatting sqref="G2173:H2175">
    <cfRule type="expression" dxfId="140" priority="139" stopIfTrue="1">
      <formula>IF(FIND("Flume Transfer Blower",#REF!)&gt;0,1,0)</formula>
    </cfRule>
  </conditionalFormatting>
  <conditionalFormatting sqref="G2147:H2154">
    <cfRule type="expression" dxfId="139" priority="142" stopIfTrue="1">
      <formula>IF(FIND("Flume Transfer Blower",#REF!)&gt;0,1,0)</formula>
    </cfRule>
  </conditionalFormatting>
  <conditionalFormatting sqref="G2196:H2197">
    <cfRule type="expression" dxfId="138" priority="137" stopIfTrue="1">
      <formula>IF(FIND("Flume Transfer Blower",#REF!)&gt;0,1,0)</formula>
    </cfRule>
  </conditionalFormatting>
  <conditionalFormatting sqref="G2176:H2179">
    <cfRule type="expression" dxfId="137" priority="140" stopIfTrue="1">
      <formula>IF(FIND("Flume Transfer Blower",#REF!)&gt;0,1,0)</formula>
    </cfRule>
  </conditionalFormatting>
  <conditionalFormatting sqref="G2198:H2204">
    <cfRule type="expression" dxfId="136" priority="138" stopIfTrue="1">
      <formula>IF(FIND("Flume Transfer Blower",#REF!)&gt;0,1,0)</formula>
    </cfRule>
  </conditionalFormatting>
  <conditionalFormatting sqref="G2221:H2224">
    <cfRule type="expression" dxfId="135" priority="136" stopIfTrue="1">
      <formula>IF(FIND("Flume Transfer Blower",#REF!)&gt;0,1,0)</formula>
    </cfRule>
  </conditionalFormatting>
  <conditionalFormatting sqref="G2219:H2220">
    <cfRule type="expression" dxfId="134" priority="135" stopIfTrue="1">
      <formula>IF(FIND("Flume Transfer Blower",#REF!)&gt;0,1,0)</formula>
    </cfRule>
  </conditionalFormatting>
  <conditionalFormatting sqref="G2334:H2334 G2230:H2230 G2281:H2281 G2232:H2233 G2293:H2295">
    <cfRule type="expression" dxfId="133" priority="133" stopIfTrue="1">
      <formula>IF(FIND("Flume Transfer Blower",$I2230)&gt;0,1,0)</formula>
    </cfRule>
  </conditionalFormatting>
  <conditionalFormatting sqref="G2230:H2230 G2232:H2247 G2312:H2318 G2320:H2338 G2299:H2310 G2250:H2295">
    <cfRule type="expression" dxfId="132" priority="134" stopIfTrue="1">
      <formula>IF(FIND("Flume Transfer Blower",$H2230)&gt;0,1,0)</formula>
    </cfRule>
  </conditionalFormatting>
  <conditionalFormatting sqref="G2231:H2231">
    <cfRule type="expression" dxfId="131" priority="131" stopIfTrue="1">
      <formula>IF(FIND("Flume Transfer Blower",$I2231)&gt;0,1,0)</formula>
    </cfRule>
  </conditionalFormatting>
  <conditionalFormatting sqref="G2231:H2231">
    <cfRule type="expression" dxfId="130" priority="132" stopIfTrue="1">
      <formula>IF(FIND("Flume Transfer Blower",$H2231)&gt;0,1,0)</formula>
    </cfRule>
  </conditionalFormatting>
  <conditionalFormatting sqref="G2296:H2298">
    <cfRule type="expression" dxfId="129" priority="129" stopIfTrue="1">
      <formula>IF(FIND("Flume Transfer Blower",$I2296)&gt;0,1,0)</formula>
    </cfRule>
  </conditionalFormatting>
  <conditionalFormatting sqref="G2296:H2298">
    <cfRule type="expression" dxfId="128" priority="130" stopIfTrue="1">
      <formula>IF(FIND("Flume Transfer Blower",$H2296)&gt;0,1,0)</formula>
    </cfRule>
  </conditionalFormatting>
  <conditionalFormatting sqref="G2319:H2319">
    <cfRule type="expression" dxfId="127" priority="128" stopIfTrue="1">
      <formula>IF(FIND("Flume Transfer Blower",$H2319)&gt;0,1,0)</formula>
    </cfRule>
  </conditionalFormatting>
  <conditionalFormatting sqref="G2249:H2249">
    <cfRule type="expression" dxfId="126" priority="127" stopIfTrue="1">
      <formula>IF(FIND("Flume Transfer Blower",$H2249)&gt;0,1,0)</formula>
    </cfRule>
  </conditionalFormatting>
  <conditionalFormatting sqref="G2248:H2248">
    <cfRule type="expression" dxfId="125" priority="126" stopIfTrue="1">
      <formula>IF(FIND("Flume Transfer Blower",$H2248)&gt;0,1,0)</formula>
    </cfRule>
  </conditionalFormatting>
  <conditionalFormatting sqref="G2311:H2311">
    <cfRule type="expression" dxfId="124" priority="125" stopIfTrue="1">
      <formula>IF(FIND("Flume Transfer Blower",$H2311)&gt;0,1,0)</formula>
    </cfRule>
  </conditionalFormatting>
  <conditionalFormatting sqref="G2350:H2352 H2346 G2340:H2341 G2344:H2344 G2397:H2398 G2392:H2395">
    <cfRule type="expression" dxfId="123" priority="117" stopIfTrue="1">
      <formula>IF(FIND("Flume Transfer Blower",$I2340)&gt;0,1,0)</formula>
    </cfRule>
  </conditionalFormatting>
  <conditionalFormatting sqref="G2391:H2391 G2342:H2343 G2353:H2389 G2399:H2416">
    <cfRule type="expression" dxfId="122" priority="118" stopIfTrue="1">
      <formula>IF(FIND("Flume Transfer Blower",$H2342)&gt;0,1,0)</formula>
    </cfRule>
  </conditionalFormatting>
  <conditionalFormatting sqref="G2348:G2349">
    <cfRule type="expression" dxfId="121" priority="119" stopIfTrue="1">
      <formula>IF(FIND("Flume Transfer Blower",$I2345)&gt;0,1,0)</formula>
    </cfRule>
  </conditionalFormatting>
  <conditionalFormatting sqref="H2347 G2345:G2347">
    <cfRule type="expression" dxfId="120" priority="120" stopIfTrue="1">
      <formula>IF(FIND("Flume Transfer Blower",$I2346)&gt;0,1,0)</formula>
    </cfRule>
  </conditionalFormatting>
  <conditionalFormatting sqref="H2348:H2349">
    <cfRule type="expression" dxfId="119" priority="121" stopIfTrue="1">
      <formula>IF(FIND("Flume Transfer Blower",$I2345)&gt;0,1,0)</formula>
    </cfRule>
  </conditionalFormatting>
  <conditionalFormatting sqref="H2345">
    <cfRule type="expression" dxfId="118" priority="122" stopIfTrue="1">
      <formula>IF(FIND("Flume Transfer Blower",$I2347)&gt;0,1,0)</formula>
    </cfRule>
  </conditionalFormatting>
  <conditionalFormatting sqref="G2396:H2396">
    <cfRule type="expression" dxfId="117" priority="123" stopIfTrue="1">
      <formula>IF(FIND("Flume Transfer Blower",$I2390)&gt;0,1,0)</formula>
    </cfRule>
  </conditionalFormatting>
  <conditionalFormatting sqref="G2390:H2390">
    <cfRule type="expression" dxfId="116" priority="124" stopIfTrue="1">
      <formula>IF(FIND("Flume Transfer Blower",#REF!)&gt;0,1,0)</formula>
    </cfRule>
  </conditionalFormatting>
  <conditionalFormatting sqref="G2455:H2471 G2474:H2475 G2477:H2486 G2488:H2512 G2421:H2433 G2435:H2452">
    <cfRule type="expression" dxfId="115" priority="114" stopIfTrue="1">
      <formula>IF(FIND("Flume Transfer Blower",$H2421)&gt;0,1,0)</formula>
    </cfRule>
  </conditionalFormatting>
  <conditionalFormatting sqref="G2453:H2454">
    <cfRule type="expression" dxfId="114" priority="113" stopIfTrue="1">
      <formula>IF(FIND("Flume Transfer Blower",$H2453)&gt;0,1,0)</formula>
    </cfRule>
  </conditionalFormatting>
  <conditionalFormatting sqref="G2487:H2487">
    <cfRule type="expression" dxfId="113" priority="115" stopIfTrue="1">
      <formula>IF(FIND("Flume Transfer Blower",#REF!)&gt;0,1,0)</formula>
    </cfRule>
  </conditionalFormatting>
  <conditionalFormatting sqref="G2472:H2472">
    <cfRule type="expression" dxfId="112" priority="112" stopIfTrue="1">
      <formula>IF(FIND("Flume Transfer Blower",$H2472)&gt;0,1,0)</formula>
    </cfRule>
  </conditionalFormatting>
  <conditionalFormatting sqref="G2473:H2473">
    <cfRule type="expression" dxfId="111" priority="111" stopIfTrue="1">
      <formula>IF(FIND("Flume Transfer Blower",$H2473)&gt;0,1,0)</formula>
    </cfRule>
  </conditionalFormatting>
  <conditionalFormatting sqref="G2476:H2476">
    <cfRule type="expression" dxfId="110" priority="110" stopIfTrue="1">
      <formula>IF(FIND("Flume Transfer Blower",$H2476)&gt;0,1,0)</formula>
    </cfRule>
  </conditionalFormatting>
  <conditionalFormatting sqref="G2417:H2420 G2434:H2434 G2693:H2697 G2774:H2775 G2822:H2822 G2706:H2706 H2701">
    <cfRule type="expression" dxfId="109" priority="116" stopIfTrue="1">
      <formula>IF(FIND("Flume Transfer Blower",$Q2417)&gt;0,1,0)</formula>
    </cfRule>
  </conditionalFormatting>
  <conditionalFormatting sqref="G2585 G2634:H2636 H2637:H2638 G2639:H2643 G2621:G2622 G2569:H2570 H2571 H2568 G2624:H2631 H2659:H2661 G2586:H2594 G2648:H2649 H2596 G2572:H2584 G2607:H2617 H2669:H2671 G2547:H2567 G2597:H2605 H2645:H2647 G2651:H2658 G2662:H2668 G2688:H2691 G2514:H2545 G2682:H2686 G2672:H2680">
    <cfRule type="expression" dxfId="108" priority="108" stopIfTrue="1">
      <formula>IF(FIND("Flume Transfer Blower",$H2514)&gt;0,1,0)</formula>
    </cfRule>
  </conditionalFormatting>
  <conditionalFormatting sqref="G2632:H2633">
    <cfRule type="expression" dxfId="107" priority="107" stopIfTrue="1">
      <formula>IF(FIND("Flume Transfer Blower",$H2632)&gt;0,1,0)</formula>
    </cfRule>
  </conditionalFormatting>
  <conditionalFormatting sqref="G2618:H2620">
    <cfRule type="expression" dxfId="106" priority="106" stopIfTrue="1">
      <formula>IF(FIND("Flume Transfer Blower",$H2618)&gt;0,1,0)</formula>
    </cfRule>
  </conditionalFormatting>
  <conditionalFormatting sqref="H2621">
    <cfRule type="expression" dxfId="105" priority="105" stopIfTrue="1">
      <formula>IF(FIND("Flume Transfer Blower",$H2621)&gt;0,1,0)</formula>
    </cfRule>
  </conditionalFormatting>
  <conditionalFormatting sqref="H2622">
    <cfRule type="expression" dxfId="104" priority="104" stopIfTrue="1">
      <formula>IF(FIND("Flume Transfer Blower",$H2622)&gt;0,1,0)</formula>
    </cfRule>
  </conditionalFormatting>
  <conditionalFormatting sqref="H2585">
    <cfRule type="expression" dxfId="103" priority="103" stopIfTrue="1">
      <formula>IF(FIND("Flume Transfer Blower",$H2585)&gt;0,1,0)</formula>
    </cfRule>
  </conditionalFormatting>
  <conditionalFormatting sqref="G2595:H2595">
    <cfRule type="expression" dxfId="102" priority="102" stopIfTrue="1">
      <formula>IF(FIND("Flume Transfer Blower",$H2595)&gt;0,1,0)</formula>
    </cfRule>
  </conditionalFormatting>
  <conditionalFormatting sqref="G2596">
    <cfRule type="expression" dxfId="101" priority="101" stopIfTrue="1">
      <formula>IF(FIND("Flume Transfer Blower",$H2596)&gt;0,1,0)</formula>
    </cfRule>
  </conditionalFormatting>
  <conditionalFormatting sqref="G2546:H2546">
    <cfRule type="expression" dxfId="100" priority="100" stopIfTrue="1">
      <formula>IF(FIND("Flume Transfer Blower",$H2546)&gt;0,1,0)</formula>
    </cfRule>
  </conditionalFormatting>
  <conditionalFormatting sqref="G2623">
    <cfRule type="expression" dxfId="99" priority="99" stopIfTrue="1">
      <formula>IF(FIND("Flume Transfer Blower",$H2623)&gt;0,1,0)</formula>
    </cfRule>
  </conditionalFormatting>
  <conditionalFormatting sqref="H2623">
    <cfRule type="expression" dxfId="98" priority="98" stopIfTrue="1">
      <formula>IF(FIND("Flume Transfer Blower",$H2623)&gt;0,1,0)</formula>
    </cfRule>
  </conditionalFormatting>
  <conditionalFormatting sqref="G2606:H2606">
    <cfRule type="expression" dxfId="97" priority="97" stopIfTrue="1">
      <formula>IF(FIND("Flume Transfer Blower",$H2606)&gt;0,1,0)</formula>
    </cfRule>
  </conditionalFormatting>
  <conditionalFormatting sqref="G2650:H2650">
    <cfRule type="expression" dxfId="96" priority="96" stopIfTrue="1">
      <formula>IF(FIND("Flume Transfer Blower",$H2650)&gt;0,1,0)</formula>
    </cfRule>
  </conditionalFormatting>
  <conditionalFormatting sqref="G2687:H2687">
    <cfRule type="expression" dxfId="95" priority="95" stopIfTrue="1">
      <formula>IF(FIND("Flume Transfer Blower",$H2687)&gt;0,1,0)</formula>
    </cfRule>
  </conditionalFormatting>
  <conditionalFormatting sqref="G2692:H2692">
    <cfRule type="expression" dxfId="94" priority="94" stopIfTrue="1">
      <formula>IF(FIND("Flume Transfer Blower",$H2692)&gt;0,1,0)</formula>
    </cfRule>
  </conditionalFormatting>
  <conditionalFormatting sqref="G2681:H2681">
    <cfRule type="expression" dxfId="93" priority="93" stopIfTrue="1">
      <formula>IF(FIND("Flume Transfer Blower",$H2681)&gt;0,1,0)</formula>
    </cfRule>
  </conditionalFormatting>
  <conditionalFormatting sqref="G2644:H2644">
    <cfRule type="expression" dxfId="92" priority="92" stopIfTrue="1">
      <formula>IF(FIND("Flume Transfer Blower",$H2644)&gt;0,1,0)</formula>
    </cfRule>
  </conditionalFormatting>
  <conditionalFormatting sqref="G2513:H2513">
    <cfRule type="expression" dxfId="91" priority="109" stopIfTrue="1">
      <formula>IF(FIND("Flume Transfer Blower",$N2513)&gt;0,1,0)</formula>
    </cfRule>
  </conditionalFormatting>
  <conditionalFormatting sqref="G2702:H2705 G2693:H2700 G2707:H2724 G2812:H2823 G2949 G2919:H2935 G2809 G2739:H2765 H2725:H2735 H2767:H2768 H2804:H2811 G2826:H2831 G2854:H2915 G2772:H2803 G2836:H2852 H2936:H2949 G2938:G2947 G2950:H2995 G3005:H3016 H2834:H2835">
    <cfRule type="expression" dxfId="90" priority="87" stopIfTrue="1">
      <formula>IF(FIND("Flume Transfer Blower",$H2693)&gt;0,1,0)</formula>
    </cfRule>
  </conditionalFormatting>
  <conditionalFormatting sqref="G2805:G2807">
    <cfRule type="expression" dxfId="89" priority="88" stopIfTrue="1">
      <formula>IF(FIND("Flume Transfer Blower",$H2804)&gt;0,1,0)</formula>
    </cfRule>
  </conditionalFormatting>
  <conditionalFormatting sqref="G2706:H2706">
    <cfRule type="expression" dxfId="88" priority="86" stopIfTrue="1">
      <formula>IF(FIND("Flume Transfer Blower",$H2706)&gt;0,1,0)</formula>
    </cfRule>
  </conditionalFormatting>
  <conditionalFormatting sqref="G2804">
    <cfRule type="expression" dxfId="87" priority="89" stopIfTrue="1">
      <formula>IF(FIND("Flume Transfer Blower",#REF!)&gt;0,1,0)</formula>
    </cfRule>
  </conditionalFormatting>
  <conditionalFormatting sqref="H2701">
    <cfRule type="expression" dxfId="86" priority="85" stopIfTrue="1">
      <formula>IF(FIND("Flume Transfer Blower",$H2701)&gt;0,1,0)</formula>
    </cfRule>
  </conditionalFormatting>
  <conditionalFormatting sqref="G2701">
    <cfRule type="expression" dxfId="85" priority="84" stopIfTrue="1">
      <formula>IF(FIND("Flume Transfer Blower",$H2701)&gt;0,1,0)</formula>
    </cfRule>
  </conditionalFormatting>
  <conditionalFormatting sqref="G2832:H2833">
    <cfRule type="expression" dxfId="84" priority="83" stopIfTrue="1">
      <formula>IF(FIND("Flume Transfer Blower",$H2832)&gt;0,1,0)</formula>
    </cfRule>
  </conditionalFormatting>
  <conditionalFormatting sqref="G2811">
    <cfRule type="expression" dxfId="83" priority="81" stopIfTrue="1">
      <formula>IF(FIND("Flume Transfer Blower",$H2810)&gt;0,1,0)</formula>
    </cfRule>
  </conditionalFormatting>
  <conditionalFormatting sqref="G2810">
    <cfRule type="expression" dxfId="82" priority="82" stopIfTrue="1">
      <formula>IF(FIND("Flume Transfer Blower",#REF!)&gt;0,1,0)</formula>
    </cfRule>
  </conditionalFormatting>
  <conditionalFormatting sqref="G2918:H2918">
    <cfRule type="expression" dxfId="81" priority="78" stopIfTrue="1">
      <formula>IF(FIND("Flume Transfer Blower",$H2918)&gt;0,1,0)</formula>
    </cfRule>
  </conditionalFormatting>
  <conditionalFormatting sqref="G2916:H2916">
    <cfRule type="expression" dxfId="80" priority="80" stopIfTrue="1">
      <formula>IF(FIND("Flume Transfer Blower",$H2916)&gt;0,1,0)</formula>
    </cfRule>
  </conditionalFormatting>
  <conditionalFormatting sqref="H2917">
    <cfRule type="expression" dxfId="79" priority="79" stopIfTrue="1">
      <formula>IF(FIND("Flume Transfer Blower",$H2917)&gt;0,1,0)</formula>
    </cfRule>
  </conditionalFormatting>
  <conditionalFormatting sqref="G3000:H3004">
    <cfRule type="expression" dxfId="78" priority="77" stopIfTrue="1">
      <formula>IF(FIND("Flume Transfer Blower",$H3000)&gt;0,1,0)</formula>
    </cfRule>
  </conditionalFormatting>
  <conditionalFormatting sqref="G2996:H2999">
    <cfRule type="expression" dxfId="77" priority="76" stopIfTrue="1">
      <formula>IF(FIND("Flume Transfer Blower",$H2996)&gt;0,1,0)</formula>
    </cfRule>
  </conditionalFormatting>
  <conditionalFormatting sqref="G2766:H2766">
    <cfRule type="expression" dxfId="76" priority="75" stopIfTrue="1">
      <formula>IF(FIND("Flume Transfer Blower",$H2766)&gt;0,1,0)</formula>
    </cfRule>
  </conditionalFormatting>
  <conditionalFormatting sqref="G2808">
    <cfRule type="expression" dxfId="75" priority="90" stopIfTrue="1">
      <formula>IF(FIND("Flume Transfer Blower",$H2805)&gt;0,1,0)</formula>
    </cfRule>
  </conditionalFormatting>
  <conditionalFormatting sqref="H2736:H2737">
    <cfRule type="expression" dxfId="74" priority="74" stopIfTrue="1">
      <formula>IF(FIND("Flume Transfer Blower",$H2736)&gt;0,1,0)</formula>
    </cfRule>
  </conditionalFormatting>
  <conditionalFormatting sqref="G2738:H2738">
    <cfRule type="expression" dxfId="73" priority="73" stopIfTrue="1">
      <formula>IF(FIND("Flume Transfer Blower",$H2738)&gt;0,1,0)</formula>
    </cfRule>
  </conditionalFormatting>
  <conditionalFormatting sqref="H2769:H2771">
    <cfRule type="expression" dxfId="72" priority="72" stopIfTrue="1">
      <formula>IF(FIND("Flume Transfer Blower",$H2769)&gt;0,1,0)</formula>
    </cfRule>
  </conditionalFormatting>
  <conditionalFormatting sqref="G2834">
    <cfRule type="expression" dxfId="71" priority="71" stopIfTrue="1">
      <formula>IF(FIND("Flume Transfer Blower",$H2834)&gt;0,1,0)</formula>
    </cfRule>
  </conditionalFormatting>
  <conditionalFormatting sqref="G2835">
    <cfRule type="expression" dxfId="70" priority="70" stopIfTrue="1">
      <formula>IF(FIND("Flume Transfer Blower",$H2835)&gt;0,1,0)</formula>
    </cfRule>
  </conditionalFormatting>
  <conditionalFormatting sqref="G2824:H2825">
    <cfRule type="expression" dxfId="69" priority="69" stopIfTrue="1">
      <formula>IF(FIND("Flume Transfer Blower",$H2824)&gt;0,1,0)</formula>
    </cfRule>
  </conditionalFormatting>
  <conditionalFormatting sqref="G2853:H2853">
    <cfRule type="expression" dxfId="68" priority="68" stopIfTrue="1">
      <formula>IF(FIND("Flume Transfer Blower",$H2853)&gt;0,1,0)</formula>
    </cfRule>
  </conditionalFormatting>
  <conditionalFormatting sqref="G2702:H2702">
    <cfRule type="expression" dxfId="67" priority="91" stopIfTrue="1">
      <formula>IF(FIND("Flume Transfer Blower",$Q2702)&gt;0,1,0)</formula>
    </cfRule>
  </conditionalFormatting>
  <conditionalFormatting sqref="H3017:H3074 H3235:H3236 H3204:H3209 H3211:H3231 H3242:H3263 H3238:H3239 H3077:H3202">
    <cfRule type="expression" dxfId="66" priority="67">
      <formula>IF(LEN(H3017)&gt;80,1,0)</formula>
    </cfRule>
  </conditionalFormatting>
  <conditionalFormatting sqref="H3036">
    <cfRule type="expression" dxfId="65" priority="66">
      <formula>IF(LEN(H3036)&gt;80,1,0)</formula>
    </cfRule>
  </conditionalFormatting>
  <conditionalFormatting sqref="H3119">
    <cfRule type="expression" dxfId="64" priority="65">
      <formula>IF(LEN(H3119)&gt;80,1,0)</formula>
    </cfRule>
  </conditionalFormatting>
  <conditionalFormatting sqref="H3129">
    <cfRule type="expression" dxfId="63" priority="64">
      <formula>IF(LEN(H3129)&gt;80,1,0)</formula>
    </cfRule>
  </conditionalFormatting>
  <conditionalFormatting sqref="H3162">
    <cfRule type="expression" dxfId="62" priority="63">
      <formula>IF(LEN(H3162)&gt;80,1,0)</formula>
    </cfRule>
  </conditionalFormatting>
  <conditionalFormatting sqref="H3059:H3060">
    <cfRule type="expression" dxfId="61" priority="62">
      <formula>IF(LEN(H3059)&gt;80,1,0)</formula>
    </cfRule>
  </conditionalFormatting>
  <conditionalFormatting sqref="H3073">
    <cfRule type="expression" dxfId="60" priority="61">
      <formula>IF(LEN(H3073)&gt;80,1,0)</formula>
    </cfRule>
  </conditionalFormatting>
  <conditionalFormatting sqref="H3085">
    <cfRule type="expression" dxfId="59" priority="60">
      <formula>IF(LEN(H3085)&gt;80,1,0)</formula>
    </cfRule>
  </conditionalFormatting>
  <conditionalFormatting sqref="H3163:H3175">
    <cfRule type="expression" dxfId="58" priority="59">
      <formula>IF(LEN(H3163)&gt;80,1,0)</formula>
    </cfRule>
  </conditionalFormatting>
  <conditionalFormatting sqref="H3176">
    <cfRule type="expression" dxfId="57" priority="58">
      <formula>IF(LEN(H3176)&gt;80,1,0)</formula>
    </cfRule>
  </conditionalFormatting>
  <conditionalFormatting sqref="H3177:H3178">
    <cfRule type="expression" dxfId="56" priority="57">
      <formula>IF(LEN(H3177)&gt;80,1,0)</formula>
    </cfRule>
  </conditionalFormatting>
  <conditionalFormatting sqref="H3179">
    <cfRule type="expression" dxfId="55" priority="56">
      <formula>IF(LEN(H3179)&gt;80,1,0)</formula>
    </cfRule>
  </conditionalFormatting>
  <conditionalFormatting sqref="H3199:H3201">
    <cfRule type="expression" dxfId="54" priority="55">
      <formula>IF(LEN(H3199)&gt;80,1,0)</formula>
    </cfRule>
  </conditionalFormatting>
  <conditionalFormatting sqref="H3245:H3252">
    <cfRule type="expression" dxfId="53" priority="54">
      <formula>IF(LEN(H3245)&gt;80,1,0)</formula>
    </cfRule>
  </conditionalFormatting>
  <conditionalFormatting sqref="H3109">
    <cfRule type="expression" dxfId="52" priority="53">
      <formula>IF(LEN(H3109)&gt;80,1,0)</formula>
    </cfRule>
  </conditionalFormatting>
  <conditionalFormatting sqref="H3103">
    <cfRule type="expression" dxfId="51" priority="52">
      <formula>IF(LEN(H3103)&gt;80,1,0)</formula>
    </cfRule>
  </conditionalFormatting>
  <conditionalFormatting sqref="H3115">
    <cfRule type="expression" dxfId="50" priority="51">
      <formula>IF(LEN(H3115)&gt;80,1,0)</formula>
    </cfRule>
  </conditionalFormatting>
  <conditionalFormatting sqref="H3137">
    <cfRule type="expression" dxfId="49" priority="50">
      <formula>IF(LEN(H3137)&gt;80,1,0)</formula>
    </cfRule>
  </conditionalFormatting>
  <conditionalFormatting sqref="H3194">
    <cfRule type="expression" dxfId="48" priority="49">
      <formula>IF(LEN(H3194)&gt;80,1,0)</formula>
    </cfRule>
  </conditionalFormatting>
  <conditionalFormatting sqref="H3116">
    <cfRule type="expression" dxfId="47" priority="48">
      <formula>IF(LEN(H3116)&gt;80,1,0)</formula>
    </cfRule>
  </conditionalFormatting>
  <conditionalFormatting sqref="H3125">
    <cfRule type="expression" dxfId="46" priority="47">
      <formula>IF(LEN(H3125)&gt;80,1,0)</formula>
    </cfRule>
  </conditionalFormatting>
  <conditionalFormatting sqref="H3203">
    <cfRule type="expression" dxfId="45" priority="46">
      <formula>IF(LEN(H3203)&gt;80,1,0)</formula>
    </cfRule>
  </conditionalFormatting>
  <conditionalFormatting sqref="H3076">
    <cfRule type="expression" dxfId="44" priority="45" stopIfTrue="1">
      <formula>IF(FIND("Flume Transfer Blower",$H3076)&gt;0,1,0)</formula>
    </cfRule>
  </conditionalFormatting>
  <conditionalFormatting sqref="H3075">
    <cfRule type="expression" dxfId="43" priority="44">
      <formula>IF(LEN(H3075)&gt;80,1,0)</formula>
    </cfRule>
  </conditionalFormatting>
  <conditionalFormatting sqref="H3233">
    <cfRule type="expression" dxfId="42" priority="43">
      <formula>IF(LEN(H3233)&gt;80,1,0)</formula>
    </cfRule>
  </conditionalFormatting>
  <conditionalFormatting sqref="H3232">
    <cfRule type="expression" dxfId="41" priority="42">
      <formula>IF(LEN(H3232)&gt;80,1,0)</formula>
    </cfRule>
  </conditionalFormatting>
  <conditionalFormatting sqref="H3240">
    <cfRule type="expression" dxfId="40" priority="41">
      <formula>IF(LEN(H3240)&gt;80,1,0)</formula>
    </cfRule>
  </conditionalFormatting>
  <conditionalFormatting sqref="H3310:H3311 G3478 G3315:H3316 G3413:H3435 G3338:H3339 G3264:H3309 G3438:H3458 G3464:H3477 G3482:H3488 G3343:H3354 G3320:H3334 G3356:H3407 G3460:H3461">
    <cfRule type="expression" dxfId="39" priority="40" stopIfTrue="1">
      <formula>IF(FIND("Flume Transfer Blower",$H3264)&gt;0,1,0)</formula>
    </cfRule>
  </conditionalFormatting>
  <conditionalFormatting sqref="G3462:H3463">
    <cfRule type="expression" dxfId="38" priority="39" stopIfTrue="1">
      <formula>IF(FIND("Flume Transfer Blower",$H3462)&gt;0,1,0)</formula>
    </cfRule>
  </conditionalFormatting>
  <conditionalFormatting sqref="G3479:H3481">
    <cfRule type="expression" dxfId="37" priority="38" stopIfTrue="1">
      <formula>IF(FIND("Flume Transfer Blower",$H3479)&gt;0,1,0)</formula>
    </cfRule>
  </conditionalFormatting>
  <conditionalFormatting sqref="H3341:H3342">
    <cfRule type="expression" dxfId="36" priority="37" stopIfTrue="1">
      <formula>IF(FIND("Flume Transfer Blower",$H3341)&gt;0,1,0)</formula>
    </cfRule>
  </conditionalFormatting>
  <conditionalFormatting sqref="G3312:H3312">
    <cfRule type="expression" dxfId="35" priority="36" stopIfTrue="1">
      <formula>IF(FIND("Flume Transfer Blower",$H3312)&gt;0,1,0)</formula>
    </cfRule>
  </conditionalFormatting>
  <conditionalFormatting sqref="H3478">
    <cfRule type="expression" dxfId="34" priority="35" stopIfTrue="1">
      <formula>IF(FIND("Flume Transfer Blower",$H3478)&gt;0,1,0)</formula>
    </cfRule>
  </conditionalFormatting>
  <conditionalFormatting sqref="G3355:H3356">
    <cfRule type="expression" dxfId="33" priority="34" stopIfTrue="1">
      <formula>IF(FIND("Flume Transfer Blower",$H3355)&gt;0,1,0)</formula>
    </cfRule>
  </conditionalFormatting>
  <conditionalFormatting sqref="G3313:H3314">
    <cfRule type="expression" dxfId="32" priority="33" stopIfTrue="1">
      <formula>IF(FIND("Flume Transfer Blower",$H3313)&gt;0,1,0)</formula>
    </cfRule>
  </conditionalFormatting>
  <conditionalFormatting sqref="G3408:H3412">
    <cfRule type="expression" dxfId="31" priority="32" stopIfTrue="1">
      <formula>IF(FIND("Flume Transfer Blower",$H3408)&gt;0,1,0)</formula>
    </cfRule>
  </conditionalFormatting>
  <conditionalFormatting sqref="G3342">
    <cfRule type="expression" dxfId="30" priority="31" stopIfTrue="1">
      <formula>IF(FIND("Flume Transfer Blower",$H3342)&gt;0,1,0)</formula>
    </cfRule>
  </conditionalFormatting>
  <conditionalFormatting sqref="G3317:H3319">
    <cfRule type="expression" dxfId="29" priority="30" stopIfTrue="1">
      <formula>IF(FIND("Flume Transfer Blower",$H3317)&gt;0,1,0)</formula>
    </cfRule>
  </conditionalFormatting>
  <conditionalFormatting sqref="G3335:H3337">
    <cfRule type="expression" dxfId="28" priority="29" stopIfTrue="1">
      <formula>IF(FIND("Flume Transfer Blower",$H3335)&gt;0,1,0)</formula>
    </cfRule>
  </conditionalFormatting>
  <conditionalFormatting sqref="G3436:H3437">
    <cfRule type="expression" dxfId="27" priority="28" stopIfTrue="1">
      <formula>IF(FIND("Flume Transfer Blower",$H3436)&gt;0,1,0)</formula>
    </cfRule>
  </conditionalFormatting>
  <conditionalFormatting sqref="G3459:H3459">
    <cfRule type="expression" dxfId="26" priority="27" stopIfTrue="1">
      <formula>IF(FIND("Flume Transfer Blower",$H3459)&gt;0,1,0)</formula>
    </cfRule>
  </conditionalFormatting>
  <conditionalFormatting sqref="G3493:H3497 G3527:H3534 G3538:H3542 G3502:H3523 G3499:H3499 G3574:H3596 G3544:H3564 G3567:H3570">
    <cfRule type="expression" dxfId="25" priority="25" stopIfTrue="1">
      <formula>IF(FIND("Flume Transfer Blower",$H3493)&gt;0,1,0)</formula>
    </cfRule>
  </conditionalFormatting>
  <conditionalFormatting sqref="G3489:H3492 G3597:H3597 G3543:H3543 G3535:H3537">
    <cfRule type="expression" dxfId="24" priority="26" stopIfTrue="1">
      <formula>IF(FIND("Flume Transfer Blower",#REF!)&gt;0,1,0)</formula>
    </cfRule>
  </conditionalFormatting>
  <conditionalFormatting sqref="G3571:H3573">
    <cfRule type="expression" dxfId="23" priority="24" stopIfTrue="1">
      <formula>IF(FIND("Flume Transfer Blower",$H3571)&gt;0,1,0)</formula>
    </cfRule>
  </conditionalFormatting>
  <conditionalFormatting sqref="G3524:H3526">
    <cfRule type="expression" dxfId="22" priority="23" stopIfTrue="1">
      <formula>IF(FIND("Flume Transfer Blower",$H3524)&gt;0,1,0)</formula>
    </cfRule>
  </conditionalFormatting>
  <conditionalFormatting sqref="G3500:H3501">
    <cfRule type="expression" dxfId="21" priority="22" stopIfTrue="1">
      <formula>IF(FIND("Flume Transfer Blower",$H3500)&gt;0,1,0)</formula>
    </cfRule>
  </conditionalFormatting>
  <conditionalFormatting sqref="G3498:H3498">
    <cfRule type="expression" dxfId="20" priority="21" stopIfTrue="1">
      <formula>IF(FIND("Flume Transfer Blower",$H3498)&gt;0,1,0)</formula>
    </cfRule>
  </conditionalFormatting>
  <conditionalFormatting sqref="G3565:H3566">
    <cfRule type="expression" dxfId="19" priority="20" stopIfTrue="1">
      <formula>IF(FIND("Flume Transfer Blower",$H3565)&gt;0,1,0)</formula>
    </cfRule>
  </conditionalFormatting>
  <conditionalFormatting sqref="G3598:H3600 G3610:H3611">
    <cfRule type="expression" dxfId="18" priority="18" stopIfTrue="1">
      <formula>IF(FIND("Flume Transfer Blower",$K3598)&gt;0,1,0)</formula>
    </cfRule>
  </conditionalFormatting>
  <conditionalFormatting sqref="G3601:H3609 G3614:H3695">
    <cfRule type="expression" dxfId="17" priority="19" stopIfTrue="1">
      <formula>IF(FIND("Flume Transfer Blower",$H3601)&gt;0,1,0)</formula>
    </cfRule>
  </conditionalFormatting>
  <conditionalFormatting sqref="G3612:H3613">
    <cfRule type="expression" dxfId="16" priority="17" stopIfTrue="1">
      <formula>IF(FIND("Flume Transfer Blower",$K3612)&gt;0,1,0)</formula>
    </cfRule>
  </conditionalFormatting>
  <conditionalFormatting sqref="H3696">
    <cfRule type="expression" dxfId="15" priority="16" stopIfTrue="1">
      <formula>IF(FIND("Flume Transfer Blower",$H3696)&gt;0,1,0)</formula>
    </cfRule>
  </conditionalFormatting>
  <conditionalFormatting sqref="G3751:H3752">
    <cfRule type="expression" dxfId="14" priority="8" stopIfTrue="1">
      <formula>IF(FIND("Flume Transfer Blower",$H3751)&gt;0,1,0)</formula>
    </cfRule>
  </conditionalFormatting>
  <conditionalFormatting sqref="G3730:H3730 G3721:H3728 G3759:H3759 G3764:H3768 G3770:H3810 G3812:H3813 G3702:H3719 G3742:H3750 G3735:H3740 G3732:H3733 G3753:H3755">
    <cfRule type="expression" dxfId="13" priority="12" stopIfTrue="1">
      <formula>IF(FIND("Flume Transfer Blower",$H3702)&gt;0,1,0)</formula>
    </cfRule>
  </conditionalFormatting>
  <conditionalFormatting sqref="G3741:H3741">
    <cfRule type="expression" dxfId="12" priority="11" stopIfTrue="1">
      <formula>IF(FIND("Flume Transfer Blower",$H3741)&gt;0,1,0)</formula>
    </cfRule>
  </conditionalFormatting>
  <conditionalFormatting sqref="G3720:H3720">
    <cfRule type="expression" dxfId="11" priority="10" stopIfTrue="1">
      <formula>IF(FIND("Flume Transfer Blower",#REF!)&gt;0,1,0)</formula>
    </cfRule>
  </conditionalFormatting>
  <conditionalFormatting sqref="G3729:H3729">
    <cfRule type="expression" dxfId="10" priority="13" stopIfTrue="1">
      <formula>IF(FIND("Flume Transfer Blower",#REF!)&gt;0,1,0)</formula>
    </cfRule>
  </conditionalFormatting>
  <conditionalFormatting sqref="G3731:H3731">
    <cfRule type="expression" dxfId="9" priority="14" stopIfTrue="1">
      <formula>IF(FIND("Flume Transfer Blower",#REF!)&gt;0,1,0)</formula>
    </cfRule>
  </conditionalFormatting>
  <conditionalFormatting sqref="G3734:H3734">
    <cfRule type="expression" dxfId="8" priority="9" stopIfTrue="1">
      <formula>IF(FIND("Flume Transfer Blower",$H3734)&gt;0,1,0)</formula>
    </cfRule>
  </conditionalFormatting>
  <conditionalFormatting sqref="G3697:H3701 G3756:H3758 G3760:H3763 G3769:H3769 G3811:H3811">
    <cfRule type="expression" dxfId="7" priority="15" stopIfTrue="1">
      <formula>IF(FIND("Flume Transfer Blower",$P3697)&gt;0,1,0)</formula>
    </cfRule>
  </conditionalFormatting>
  <conditionalFormatting sqref="G3814:H3818">
    <cfRule type="expression" dxfId="6" priority="5" stopIfTrue="1">
      <formula>IF(FIND("Flume Transfer Blower",$M3814)&gt;0,1,0)</formula>
    </cfRule>
  </conditionalFormatting>
  <conditionalFormatting sqref="G3852:H3868 G3871:H3872 G3874:H3883 G3885:H3909 G3819:H3849">
    <cfRule type="expression" dxfId="5" priority="6" stopIfTrue="1">
      <formula>IF(FIND("Flume Transfer Blower",$H3819)&gt;0,1,0)</formula>
    </cfRule>
  </conditionalFormatting>
  <conditionalFormatting sqref="G3850:H3851">
    <cfRule type="expression" dxfId="4" priority="4" stopIfTrue="1">
      <formula>IF(FIND("Flume Transfer Blower",$H3850)&gt;0,1,0)</formula>
    </cfRule>
  </conditionalFormatting>
  <conditionalFormatting sqref="G3884:H3884">
    <cfRule type="expression" dxfId="3" priority="7" stopIfTrue="1">
      <formula>IF(FIND("Flume Transfer Blower",#REF!)&gt;0,1,0)</formula>
    </cfRule>
  </conditionalFormatting>
  <conditionalFormatting sqref="G3869:H3869">
    <cfRule type="expression" dxfId="2" priority="3" stopIfTrue="1">
      <formula>IF(FIND("Flume Transfer Blower",$H3869)&gt;0,1,0)</formula>
    </cfRule>
  </conditionalFormatting>
  <conditionalFormatting sqref="G3870:H3870">
    <cfRule type="expression" dxfId="1" priority="2" stopIfTrue="1">
      <formula>IF(FIND("Flume Transfer Blower",$H3870)&gt;0,1,0)</formula>
    </cfRule>
  </conditionalFormatting>
  <conditionalFormatting sqref="G3873:H3873">
    <cfRule type="expression" dxfId="0" priority="1" stopIfTrue="1">
      <formula>IF(FIND("Flume Transfer Blower",$H3873)&gt;0,1,0)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2020-04-23T16:41:21Z</dcterms:modified>
</cp:coreProperties>
</file>