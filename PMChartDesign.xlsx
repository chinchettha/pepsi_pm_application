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psico-my.sharepoint.com/personal/piyabud_paboonrak_pepsico_com/Documents/Documents/"/>
    </mc:Choice>
  </mc:AlternateContent>
  <xr:revisionPtr revIDLastSave="98" documentId="8_{698B5BAB-7268-420D-B8DF-95955A32EE3C}" xr6:coauthVersionLast="47" xr6:coauthVersionMax="47" xr10:uidLastSave="{2B47B6F1-A693-4A02-8867-2807F6D9055F}"/>
  <bookViews>
    <workbookView xWindow="28680" yWindow="-120" windowWidth="29040" windowHeight="15720" xr2:uid="{6E3ABE77-E735-40A3-97DB-036A8911B184}"/>
  </bookViews>
  <sheets>
    <sheet name="Vibration" sheetId="2" r:id="rId1"/>
    <sheet name="Current" sheetId="1" r:id="rId2"/>
    <sheet name="Combustion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M12" i="2" l="1"/>
  <c r="L12" i="2"/>
  <c r="I12" i="2"/>
  <c r="H12" i="2"/>
  <c r="G12" i="2"/>
  <c r="F12" i="2"/>
  <c r="E12" i="2"/>
  <c r="D12" i="2"/>
  <c r="C12" i="2"/>
  <c r="B12" i="2"/>
  <c r="M11" i="2"/>
  <c r="L11" i="2"/>
  <c r="I11" i="2"/>
  <c r="H11" i="2"/>
  <c r="G11" i="2"/>
  <c r="F11" i="2"/>
  <c r="E11" i="2"/>
  <c r="D11" i="2"/>
  <c r="C11" i="2"/>
  <c r="B11" i="2"/>
  <c r="M10" i="2"/>
  <c r="L10" i="2"/>
  <c r="I10" i="2"/>
  <c r="H10" i="2"/>
  <c r="G10" i="2"/>
  <c r="F10" i="2"/>
  <c r="E10" i="2"/>
  <c r="D10" i="2"/>
  <c r="C10" i="2"/>
  <c r="B10" i="2"/>
  <c r="M9" i="2"/>
  <c r="L9" i="2"/>
  <c r="I9" i="2"/>
  <c r="H9" i="2"/>
  <c r="G9" i="2"/>
  <c r="F9" i="2"/>
  <c r="E9" i="2"/>
  <c r="D9" i="2"/>
  <c r="C9" i="2"/>
  <c r="B9" i="2"/>
  <c r="M8" i="2"/>
  <c r="L8" i="2"/>
  <c r="I8" i="2"/>
  <c r="H8" i="2"/>
  <c r="G8" i="2"/>
  <c r="F8" i="2"/>
  <c r="E8" i="2"/>
  <c r="D8" i="2"/>
  <c r="C8" i="2"/>
  <c r="B8" i="2"/>
  <c r="M7" i="2"/>
  <c r="L7" i="2"/>
  <c r="I7" i="2"/>
  <c r="H7" i="2"/>
  <c r="G7" i="2"/>
  <c r="F7" i="2"/>
  <c r="E7" i="2"/>
  <c r="D7" i="2"/>
  <c r="C7" i="2"/>
  <c r="B7" i="2"/>
  <c r="M6" i="2"/>
  <c r="L6" i="2"/>
  <c r="I6" i="2"/>
  <c r="H6" i="2"/>
  <c r="G6" i="2"/>
  <c r="F6" i="2"/>
  <c r="E6" i="2"/>
  <c r="D6" i="2"/>
  <c r="C6" i="2"/>
  <c r="B6" i="2"/>
  <c r="M5" i="2"/>
  <c r="L5" i="2"/>
  <c r="I5" i="2"/>
  <c r="H5" i="2"/>
  <c r="G5" i="2"/>
  <c r="F5" i="2"/>
  <c r="E5" i="2"/>
  <c r="D5" i="2"/>
  <c r="C5" i="2"/>
  <c r="B5" i="2"/>
</calcChain>
</file>

<file path=xl/sharedStrings.xml><?xml version="1.0" encoding="utf-8"?>
<sst xmlns="http://schemas.openxmlformats.org/spreadsheetml/2006/main" count="109" uniqueCount="68">
  <si>
    <t>Dst 07 dB 23</t>
  </si>
  <si>
    <t>Dst 08 dB 20</t>
  </si>
  <si>
    <t>Dst 06 dB 25</t>
  </si>
  <si>
    <t>Dst 05 dB 29</t>
  </si>
  <si>
    <t>Dst 06 dB 24</t>
  </si>
  <si>
    <t>Dst 06 dB 23</t>
  </si>
  <si>
    <t>Dst 06 dB 29</t>
  </si>
  <si>
    <t>Dst 03 dB 29</t>
  </si>
  <si>
    <t>Dst 08 dB 24</t>
  </si>
  <si>
    <t>Dst 09 dB 21</t>
  </si>
  <si>
    <t>Dst 06 dB 46</t>
  </si>
  <si>
    <t>Dst 06 dB 33</t>
  </si>
  <si>
    <t>Dst 10 dB 14</t>
  </si>
  <si>
    <t>Dst 07 dB 20</t>
  </si>
  <si>
    <t>Dst 04 dB 27</t>
  </si>
  <si>
    <t>Dst 04 dB 36</t>
  </si>
  <si>
    <t>Dst 05 dB 24</t>
  </si>
  <si>
    <t>Dst 07 dB 16</t>
  </si>
  <si>
    <t>Dst 05 dB 33</t>
  </si>
  <si>
    <t>Dst 08 dB 22</t>
  </si>
  <si>
    <t>Dst 05 dB 31</t>
  </si>
  <si>
    <t>Dst 08 dB 21</t>
  </si>
  <si>
    <t>Dst 05 dB 30</t>
  </si>
  <si>
    <t>Dst 05 dB 28</t>
  </si>
  <si>
    <t>Dst 06 dB 26</t>
  </si>
  <si>
    <t>Dst 04 dB 37</t>
  </si>
  <si>
    <t>dB</t>
  </si>
  <si>
    <t>Dst</t>
  </si>
  <si>
    <t>Average</t>
  </si>
  <si>
    <t>Pump Point#2</t>
  </si>
  <si>
    <t>Pump Point#1</t>
  </si>
  <si>
    <t>Motor Back</t>
  </si>
  <si>
    <t>Motor Front</t>
  </si>
  <si>
    <t>Main Oil Pump</t>
  </si>
  <si>
    <t>D/M/Y</t>
  </si>
  <si>
    <t xml:space="preserve"> Vibration Main Oil Pump-Stax</t>
  </si>
  <si>
    <t>Machine</t>
  </si>
  <si>
    <t>2021 Average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</si>
  <si>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</si>
  <si>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</si>
  <si>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</si>
  <si>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</si>
  <si>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</si>
  <si>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</si>
  <si>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</si>
  <si>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</si>
  <si>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</si>
  <si>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</si>
  <si>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</si>
  <si>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Flour Mixer</t>
  </si>
  <si>
    <t>POINT</t>
  </si>
  <si>
    <t>PARAMETER</t>
  </si>
  <si>
    <t>JAN</t>
  </si>
  <si>
    <t>Mar</t>
  </si>
  <si>
    <t>Aug</t>
  </si>
  <si>
    <t>Oct</t>
  </si>
  <si>
    <t>Dec</t>
  </si>
  <si>
    <t>Patail</t>
  </si>
  <si>
    <t xml:space="preserve">T. Air </t>
  </si>
  <si>
    <t>T. Gas</t>
  </si>
  <si>
    <t>O2 (%)</t>
  </si>
  <si>
    <t>CO (ppm)</t>
  </si>
  <si>
    <t>NO2 (ppm)</t>
  </si>
  <si>
    <t>SO2 (ppm)</t>
  </si>
  <si>
    <t>CO2      ( %)</t>
  </si>
  <si>
    <t>Eff.       (%)</t>
  </si>
  <si>
    <t>Losses</t>
  </si>
  <si>
    <t>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</si>
</sst>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61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rgb="FFC6EFCE"/>
        <bgColor rgb="FF000000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2" fontId="5" fillId="0" borderId="22" xfId="0" applyNumberFormat="1" applyFont="1" applyBorder="1" applyAlignment="1">
      <alignment horizontal="center"/>
    </xf>
    <xf numFmtId="2" fontId="5" fillId="0" borderId="23" xfId="0" applyNumberFormat="1" applyFont="1" applyBorder="1"/>
    <xf numFmtId="2" fontId="6" fillId="9" borderId="24" xfId="0" applyNumberFormat="1" applyFont="1" applyFill="1" applyBorder="1"/>
    <xf numFmtId="2" fontId="5" fillId="0" borderId="22" xfId="0" applyNumberFormat="1" applyFont="1" applyBorder="1"/>
    <xf numFmtId="2" fontId="6" fillId="9" borderId="25" xfId="0" applyNumberFormat="1" applyFont="1" applyFill="1" applyBorder="1"/>
    <xf numFmtId="2" fontId="5" fillId="0" borderId="26" xfId="0" applyNumberFormat="1" applyFont="1" applyBorder="1" applyAlignment="1">
      <alignment horizontal="center"/>
    </xf>
    <xf numFmtId="2" fontId="5" fillId="0" borderId="27" xfId="0" applyNumberFormat="1" applyFont="1" applyBorder="1"/>
    <xf numFmtId="2" fontId="6" fillId="9" borderId="28" xfId="0" applyNumberFormat="1" applyFont="1" applyFill="1" applyBorder="1"/>
    <xf numFmtId="2" fontId="5" fillId="0" borderId="26" xfId="0" applyNumberFormat="1" applyFont="1" applyBorder="1"/>
    <xf numFmtId="0" fontId="4" fillId="8" borderId="2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4" fillId="8" borderId="19" xfId="0" applyFont="1" applyFill="1" applyBorder="1" applyAlignment="1">
      <alignment horizontal="center"/>
    </xf>
    <xf numFmtId="0" fontId="4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8" borderId="17" xfId="0" applyFont="1" applyFill="1" applyBorder="1" applyAlignment="1">
      <alignment horizontal="center" vertical="center" wrapText="1"/>
    </xf>
    <xf numFmtId="0" fontId="4" fillId="8" borderId="18" xfId="0" applyFont="1" applyFill="1" applyBorder="1" applyAlignment="1">
      <alignment horizontal="center" vertical="center" wrapText="1"/>
    </xf>
    <xf numFmtId="0" fontId="4" fillId="8" borderId="33" xfId="0" applyFont="1" applyFill="1" applyBorder="1" applyAlignment="1">
      <alignment horizontal="center"/>
    </xf>
    <xf numFmtId="0" fontId="4" fillId="0" borderId="3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40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2" xfId="0" applyBorder="1"/>
    <xf numFmtId="0" fontId="0" fillId="0" borderId="43" xfId="0" applyBorder="1" applyAlignment="1">
      <alignment horizontal="center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Vibration Main Oil Pump-Stax -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Vibration!$C$2:$C$4</c:f>
              <c:strCache>
                <c:ptCount val="3"/>
                <c:pt idx="0">
                  <c:v>Main Oil Pump</c:v>
                </c:pt>
                <c:pt idx="1">
                  <c:v>Motor Front</c:v>
                </c:pt>
                <c:pt idx="2">
                  <c:v>dB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Vibration!$A$5:$A$12</c:f>
              <c:numCache>
                <c:formatCode>m/d/yyyy</c:formatCode>
                <c:ptCount val="8"/>
                <c:pt idx="0">
                  <c:v>42788</c:v>
                </c:pt>
                <c:pt idx="1">
                  <c:v>42950</c:v>
                </c:pt>
                <c:pt idx="2">
                  <c:v>42833</c:v>
                </c:pt>
                <c:pt idx="3">
                  <c:v>42886</c:v>
                </c:pt>
                <c:pt idx="4">
                  <c:v>42962</c:v>
                </c:pt>
                <c:pt idx="5">
                  <c:v>43005</c:v>
                </c:pt>
                <c:pt idx="6">
                  <c:v>43037</c:v>
                </c:pt>
                <c:pt idx="7">
                  <c:v>43068</c:v>
                </c:pt>
              </c:numCache>
            </c:numRef>
          </c:cat>
          <c:val>
            <c:numRef>
              <c:f>Vibration!$C$5:$C$12</c:f>
              <c:numCache>
                <c:formatCode>General</c:formatCode>
                <c:ptCount val="8"/>
                <c:pt idx="0">
                  <c:v>37</c:v>
                </c:pt>
                <c:pt idx="1">
                  <c:v>28</c:v>
                </c:pt>
                <c:pt idx="2">
                  <c:v>29</c:v>
                </c:pt>
                <c:pt idx="3">
                  <c:v>33</c:v>
                </c:pt>
                <c:pt idx="4">
                  <c:v>36</c:v>
                </c:pt>
                <c:pt idx="5">
                  <c:v>33</c:v>
                </c:pt>
                <c:pt idx="6">
                  <c:v>29</c:v>
                </c:pt>
                <c:pt idx="7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4E-4E61-840B-C9CE97187266}"/>
            </c:ext>
          </c:extLst>
        </c:ser>
        <c:ser>
          <c:idx val="3"/>
          <c:order val="1"/>
          <c:tx>
            <c:strRef>
              <c:f>Vibration!$E$2:$E$4</c:f>
              <c:strCache>
                <c:ptCount val="3"/>
                <c:pt idx="0">
                  <c:v>Main Oil Pump</c:v>
                </c:pt>
                <c:pt idx="1">
                  <c:v>Motor Back</c:v>
                </c:pt>
                <c:pt idx="2">
                  <c:v>dB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Vibration!$A$5:$A$12</c:f>
              <c:numCache>
                <c:formatCode>m/d/yyyy</c:formatCode>
                <c:ptCount val="8"/>
                <c:pt idx="0">
                  <c:v>42788</c:v>
                </c:pt>
                <c:pt idx="1">
                  <c:v>42950</c:v>
                </c:pt>
                <c:pt idx="2">
                  <c:v>42833</c:v>
                </c:pt>
                <c:pt idx="3">
                  <c:v>42886</c:v>
                </c:pt>
                <c:pt idx="4">
                  <c:v>42962</c:v>
                </c:pt>
                <c:pt idx="5">
                  <c:v>43005</c:v>
                </c:pt>
                <c:pt idx="6">
                  <c:v>43037</c:v>
                </c:pt>
                <c:pt idx="7">
                  <c:v>43068</c:v>
                </c:pt>
              </c:numCache>
            </c:numRef>
          </c:cat>
          <c:val>
            <c:numRef>
              <c:f>Vibration!$E$5:$E$12</c:f>
              <c:numCache>
                <c:formatCode>General</c:formatCode>
                <c:ptCount val="8"/>
                <c:pt idx="0">
                  <c:v>30</c:v>
                </c:pt>
                <c:pt idx="1">
                  <c:v>30</c:v>
                </c:pt>
                <c:pt idx="2">
                  <c:v>31</c:v>
                </c:pt>
                <c:pt idx="3">
                  <c:v>27</c:v>
                </c:pt>
                <c:pt idx="4">
                  <c:v>27</c:v>
                </c:pt>
                <c:pt idx="5">
                  <c:v>46</c:v>
                </c:pt>
                <c:pt idx="6">
                  <c:v>29</c:v>
                </c:pt>
                <c:pt idx="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4E-4E61-840B-C9CE97187266}"/>
            </c:ext>
          </c:extLst>
        </c:ser>
        <c:ser>
          <c:idx val="5"/>
          <c:order val="2"/>
          <c:tx>
            <c:strRef>
              <c:f>Vibration!$G$2:$G$4</c:f>
              <c:strCache>
                <c:ptCount val="3"/>
                <c:pt idx="0">
                  <c:v>Main Oil Pump</c:v>
                </c:pt>
                <c:pt idx="1">
                  <c:v>Pump Point#1</c:v>
                </c:pt>
                <c:pt idx="2">
                  <c:v>dB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Vibration!$A$5:$A$12</c:f>
              <c:numCache>
                <c:formatCode>m/d/yyyy</c:formatCode>
                <c:ptCount val="8"/>
                <c:pt idx="0">
                  <c:v>42788</c:v>
                </c:pt>
                <c:pt idx="1">
                  <c:v>42950</c:v>
                </c:pt>
                <c:pt idx="2">
                  <c:v>42833</c:v>
                </c:pt>
                <c:pt idx="3">
                  <c:v>42886</c:v>
                </c:pt>
                <c:pt idx="4">
                  <c:v>42962</c:v>
                </c:pt>
                <c:pt idx="5">
                  <c:v>43005</c:v>
                </c:pt>
                <c:pt idx="6">
                  <c:v>43037</c:v>
                </c:pt>
                <c:pt idx="7">
                  <c:v>43068</c:v>
                </c:pt>
              </c:numCache>
            </c:numRef>
          </c:cat>
          <c:val>
            <c:numRef>
              <c:f>Vibration!$G$5:$G$12</c:f>
              <c:numCache>
                <c:formatCode>General</c:formatCode>
                <c:ptCount val="8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16</c:v>
                </c:pt>
                <c:pt idx="4">
                  <c:v>20</c:v>
                </c:pt>
                <c:pt idx="5">
                  <c:v>21</c:v>
                </c:pt>
                <c:pt idx="6">
                  <c:v>23</c:v>
                </c:pt>
                <c:pt idx="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4E-4E61-840B-C9CE97187266}"/>
            </c:ext>
          </c:extLst>
        </c:ser>
        <c:ser>
          <c:idx val="7"/>
          <c:order val="3"/>
          <c:tx>
            <c:strRef>
              <c:f>Vibration!$I$2:$I$4</c:f>
              <c:strCache>
                <c:ptCount val="3"/>
                <c:pt idx="0">
                  <c:v>Main Oil Pump</c:v>
                </c:pt>
                <c:pt idx="1">
                  <c:v>Pump Point#2</c:v>
                </c:pt>
                <c:pt idx="2">
                  <c:v>dB</c:v>
                </c:pt>
              </c:strCache>
            </c:strRef>
          </c:tx>
          <c:spPr>
            <a:ln w="1270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Vibration!$A$5:$A$12</c:f>
              <c:numCache>
                <c:formatCode>m/d/yyyy</c:formatCode>
                <c:ptCount val="8"/>
                <c:pt idx="0">
                  <c:v>42788</c:v>
                </c:pt>
                <c:pt idx="1">
                  <c:v>42950</c:v>
                </c:pt>
                <c:pt idx="2">
                  <c:v>42833</c:v>
                </c:pt>
                <c:pt idx="3">
                  <c:v>42886</c:v>
                </c:pt>
                <c:pt idx="4">
                  <c:v>42962</c:v>
                </c:pt>
                <c:pt idx="5">
                  <c:v>43005</c:v>
                </c:pt>
                <c:pt idx="6">
                  <c:v>43037</c:v>
                </c:pt>
                <c:pt idx="7">
                  <c:v>43068</c:v>
                </c:pt>
              </c:numCache>
            </c:numRef>
          </c:cat>
          <c:val>
            <c:numRef>
              <c:f>Vibration!$I$5:$I$12</c:f>
              <c:numCache>
                <c:formatCode>General</c:formatCode>
                <c:ptCount val="8"/>
                <c:pt idx="0">
                  <c:v>26</c:v>
                </c:pt>
                <c:pt idx="1">
                  <c:v>24</c:v>
                </c:pt>
                <c:pt idx="2">
                  <c:v>25</c:v>
                </c:pt>
                <c:pt idx="3">
                  <c:v>24</c:v>
                </c:pt>
                <c:pt idx="4">
                  <c:v>14</c:v>
                </c:pt>
                <c:pt idx="5">
                  <c:v>24</c:v>
                </c:pt>
                <c:pt idx="6">
                  <c:v>24</c:v>
                </c:pt>
                <c:pt idx="7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4E-4E61-840B-C9CE97187266}"/>
            </c:ext>
          </c:extLst>
        </c:ser>
        <c:ser>
          <c:idx val="0"/>
          <c:order val="4"/>
          <c:tx>
            <c:strRef>
              <c:f>Vibration!$L$3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solidFill>
                <a:schemeClr val="accent5">
                  <a:alpha val="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28575" cap="rnd" cmpd="sng">
                <a:solidFill>
                  <a:srgbClr val="FF0000"/>
                </a:solidFill>
                <a:prstDash val="sysDot"/>
                <a:round/>
                <a:tailEnd type="none"/>
              </a:ln>
              <a:effectLst/>
            </c:spPr>
            <c:trendlineType val="poly"/>
            <c:order val="4"/>
            <c:dispRSqr val="0"/>
            <c:dispEq val="0"/>
          </c:trendline>
          <c:val>
            <c:numRef>
              <c:f>Vibration!$M$5:$M$12</c:f>
              <c:numCache>
                <c:formatCode>General</c:formatCode>
                <c:ptCount val="8"/>
                <c:pt idx="0">
                  <c:v>28.25</c:v>
                </c:pt>
                <c:pt idx="1">
                  <c:v>25.75</c:v>
                </c:pt>
                <c:pt idx="2">
                  <c:v>26.75</c:v>
                </c:pt>
                <c:pt idx="3">
                  <c:v>25</c:v>
                </c:pt>
                <c:pt idx="4">
                  <c:v>24.25</c:v>
                </c:pt>
                <c:pt idx="5">
                  <c:v>31</c:v>
                </c:pt>
                <c:pt idx="6">
                  <c:v>26.25</c:v>
                </c:pt>
                <c:pt idx="7">
                  <c:v>24.25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EF4E-4E61-840B-C9CE97187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8294576"/>
        <c:axId val="678295056"/>
      </c:lineChart>
      <c:dateAx>
        <c:axId val="6782945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295056"/>
        <c:crosses val="autoZero"/>
        <c:auto val="1"/>
        <c:lblOffset val="100"/>
        <c:baseTimeUnit val="days"/>
      </c:dateAx>
      <c:valAx>
        <c:axId val="67829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Sound level 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29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Vibration Main Oil Pump-Stax - Sound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Vibration!$B$2:$B$4</c:f>
              <c:strCache>
                <c:ptCount val="3"/>
                <c:pt idx="0">
                  <c:v>Main Oil Pump</c:v>
                </c:pt>
                <c:pt idx="1">
                  <c:v>Motor Front</c:v>
                </c:pt>
                <c:pt idx="2">
                  <c:v>Dst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Vibration!$A$5:$A$12</c:f>
              <c:numCache>
                <c:formatCode>m/d/yyyy</c:formatCode>
                <c:ptCount val="8"/>
                <c:pt idx="0">
                  <c:v>42788</c:v>
                </c:pt>
                <c:pt idx="1">
                  <c:v>42950</c:v>
                </c:pt>
                <c:pt idx="2">
                  <c:v>42833</c:v>
                </c:pt>
                <c:pt idx="3">
                  <c:v>42886</c:v>
                </c:pt>
                <c:pt idx="4">
                  <c:v>42962</c:v>
                </c:pt>
                <c:pt idx="5">
                  <c:v>43005</c:v>
                </c:pt>
                <c:pt idx="6">
                  <c:v>43037</c:v>
                </c:pt>
                <c:pt idx="7">
                  <c:v>43068</c:v>
                </c:pt>
              </c:numCache>
            </c:numRef>
          </c:cat>
          <c:val>
            <c:numRef>
              <c:f>Vibration!$B$5:$B$12</c:f>
              <c:numCache>
                <c:formatCode>General</c:formatCode>
                <c:ptCount val="8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6</c:v>
                </c:pt>
                <c:pt idx="6">
                  <c:v>3</c:v>
                </c:pt>
                <c:pt idx="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FC-4937-8F91-76A13FBB4209}"/>
            </c:ext>
          </c:extLst>
        </c:ser>
        <c:ser>
          <c:idx val="2"/>
          <c:order val="1"/>
          <c:tx>
            <c:strRef>
              <c:f>Vibration!$D$2:$D$4</c:f>
              <c:strCache>
                <c:ptCount val="3"/>
                <c:pt idx="0">
                  <c:v>Main Oil Pump</c:v>
                </c:pt>
                <c:pt idx="1">
                  <c:v>Motor Back</c:v>
                </c:pt>
                <c:pt idx="2">
                  <c:v>Dst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Vibration!$A$5:$A$12</c:f>
              <c:numCache>
                <c:formatCode>m/d/yyyy</c:formatCode>
                <c:ptCount val="8"/>
                <c:pt idx="0">
                  <c:v>42788</c:v>
                </c:pt>
                <c:pt idx="1">
                  <c:v>42950</c:v>
                </c:pt>
                <c:pt idx="2">
                  <c:v>42833</c:v>
                </c:pt>
                <c:pt idx="3">
                  <c:v>42886</c:v>
                </c:pt>
                <c:pt idx="4">
                  <c:v>42962</c:v>
                </c:pt>
                <c:pt idx="5">
                  <c:v>43005</c:v>
                </c:pt>
                <c:pt idx="6">
                  <c:v>43037</c:v>
                </c:pt>
                <c:pt idx="7">
                  <c:v>43068</c:v>
                </c:pt>
              </c:numCache>
            </c:numRef>
          </c:cat>
          <c:val>
            <c:numRef>
              <c:f>Vibration!$D$5:$D$12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FC-4937-8F91-76A13FBB4209}"/>
            </c:ext>
          </c:extLst>
        </c:ser>
        <c:ser>
          <c:idx val="4"/>
          <c:order val="2"/>
          <c:tx>
            <c:strRef>
              <c:f>Vibration!$F$2:$F$4</c:f>
              <c:strCache>
                <c:ptCount val="3"/>
                <c:pt idx="0">
                  <c:v>Main Oil Pump</c:v>
                </c:pt>
                <c:pt idx="1">
                  <c:v>Pump Point#1</c:v>
                </c:pt>
                <c:pt idx="2">
                  <c:v>Dst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Vibration!$A$5:$A$12</c:f>
              <c:numCache>
                <c:formatCode>m/d/yyyy</c:formatCode>
                <c:ptCount val="8"/>
                <c:pt idx="0">
                  <c:v>42788</c:v>
                </c:pt>
                <c:pt idx="1">
                  <c:v>42950</c:v>
                </c:pt>
                <c:pt idx="2">
                  <c:v>42833</c:v>
                </c:pt>
                <c:pt idx="3">
                  <c:v>42886</c:v>
                </c:pt>
                <c:pt idx="4">
                  <c:v>42962</c:v>
                </c:pt>
                <c:pt idx="5">
                  <c:v>43005</c:v>
                </c:pt>
                <c:pt idx="6">
                  <c:v>43037</c:v>
                </c:pt>
                <c:pt idx="7">
                  <c:v>43068</c:v>
                </c:pt>
              </c:numCache>
            </c:numRef>
          </c:cat>
          <c:val>
            <c:numRef>
              <c:f>Vibration!$F$5:$F$12</c:f>
              <c:numCache>
                <c:formatCode>General</c:formatCode>
                <c:ptCount val="8"/>
                <c:pt idx="0">
                  <c:v>7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9</c:v>
                </c:pt>
                <c:pt idx="6">
                  <c:v>6</c:v>
                </c:pt>
                <c:pt idx="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FC-4937-8F91-76A13FBB4209}"/>
            </c:ext>
          </c:extLst>
        </c:ser>
        <c:ser>
          <c:idx val="6"/>
          <c:order val="3"/>
          <c:tx>
            <c:strRef>
              <c:f>Vibration!$H$2:$H$4</c:f>
              <c:strCache>
                <c:ptCount val="3"/>
                <c:pt idx="0">
                  <c:v>Main Oil Pump</c:v>
                </c:pt>
                <c:pt idx="1">
                  <c:v>Pump Point#2</c:v>
                </c:pt>
                <c:pt idx="2">
                  <c:v>Dst</c:v>
                </c:pt>
              </c:strCache>
            </c:strRef>
          </c:tx>
          <c:spPr>
            <a:ln w="1270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cat>
            <c:numRef>
              <c:f>Vibration!$A$5:$A$12</c:f>
              <c:numCache>
                <c:formatCode>m/d/yyyy</c:formatCode>
                <c:ptCount val="8"/>
                <c:pt idx="0">
                  <c:v>42788</c:v>
                </c:pt>
                <c:pt idx="1">
                  <c:v>42950</c:v>
                </c:pt>
                <c:pt idx="2">
                  <c:v>42833</c:v>
                </c:pt>
                <c:pt idx="3">
                  <c:v>42886</c:v>
                </c:pt>
                <c:pt idx="4">
                  <c:v>42962</c:v>
                </c:pt>
                <c:pt idx="5">
                  <c:v>43005</c:v>
                </c:pt>
                <c:pt idx="6">
                  <c:v>43037</c:v>
                </c:pt>
                <c:pt idx="7">
                  <c:v>43068</c:v>
                </c:pt>
              </c:numCache>
            </c:numRef>
          </c:cat>
          <c:val>
            <c:numRef>
              <c:f>Vibration!$H$5:$H$12</c:f>
              <c:numCache>
                <c:formatCode>General</c:formatCode>
                <c:ptCount val="8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10</c:v>
                </c:pt>
                <c:pt idx="5">
                  <c:v>8</c:v>
                </c:pt>
                <c:pt idx="6">
                  <c:v>6</c:v>
                </c:pt>
                <c:pt idx="7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FC-4937-8F91-76A13FBB4209}"/>
            </c:ext>
          </c:extLst>
        </c:ser>
        <c:ser>
          <c:idx val="1"/>
          <c:order val="4"/>
          <c:tx>
            <c:strRef>
              <c:f>Vibration!$L$3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28575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val>
            <c:numRef>
              <c:f>Vibration!$L$5:$L$12</c:f>
              <c:numCache>
                <c:formatCode>General</c:formatCode>
                <c:ptCount val="8"/>
                <c:pt idx="0">
                  <c:v>5.5</c:v>
                </c:pt>
                <c:pt idx="1">
                  <c:v>6</c:v>
                </c:pt>
                <c:pt idx="2">
                  <c:v>6</c:v>
                </c:pt>
                <c:pt idx="3">
                  <c:v>5.25</c:v>
                </c:pt>
                <c:pt idx="4">
                  <c:v>6.25</c:v>
                </c:pt>
                <c:pt idx="5">
                  <c:v>7.25</c:v>
                </c:pt>
                <c:pt idx="6">
                  <c:v>5.25</c:v>
                </c:pt>
                <c:pt idx="7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CFC-4937-8F91-76A13FBB4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8294576"/>
        <c:axId val="678295056"/>
      </c:lineChart>
      <c:dateAx>
        <c:axId val="6782945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295056"/>
        <c:crosses val="autoZero"/>
        <c:auto val="1"/>
        <c:lblOffset val="100"/>
        <c:baseTimeUnit val="days"/>
      </c:dateAx>
      <c:valAx>
        <c:axId val="67829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Displacement (Micron)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29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Flour</a:t>
            </a:r>
            <a:r>
              <a:rPr lang="en-US" baseline="0"/>
              <a:t> Mixer Motor Current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Current!$D$4:$F$4</c:f>
              <c:numCache>
                <c:formatCode>0.00</c:formatCode>
                <c:ptCount val="3"/>
                <c:pt idx="0">
                  <c:v>20.3</c:v>
                </c:pt>
                <c:pt idx="1">
                  <c:v>20.100000000000001</c:v>
                </c:pt>
                <c:pt idx="2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D7-4F5E-B02C-83DF8E9F0702}"/>
            </c:ext>
          </c:extLst>
        </c:ser>
        <c:ser>
          <c:idx val="1"/>
          <c:order val="1"/>
          <c:tx>
            <c:v>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Current!$D$5:$F$5</c:f>
              <c:numCache>
                <c:formatCode>0.00</c:formatCode>
                <c:ptCount val="3"/>
                <c:pt idx="0">
                  <c:v>19.5</c:v>
                </c:pt>
                <c:pt idx="1">
                  <c:v>19.7</c:v>
                </c:pt>
                <c:pt idx="2">
                  <c:v>20.100000000000001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D7-4F5E-B02C-83DF8E9F0702}"/>
            </c:ext>
          </c:extLst>
        </c:ser>
        <c:ser>
          <c:idx val="2"/>
          <c:order val="2"/>
          <c:tx>
            <c:v>T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Current!$D$6:$F$6</c:f>
              <c:numCache>
                <c:formatCode>0.00</c:formatCode>
                <c:ptCount val="3"/>
                <c:pt idx="0">
                  <c:v>20.6</c:v>
                </c:pt>
                <c:pt idx="1">
                  <c:v>20.7</c:v>
                </c:pt>
                <c:pt idx="2">
                  <c:v>21.2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D7-4F5E-B02C-83DF8E9F0702}"/>
            </c:ext>
          </c:extLst>
        </c:ser>
        <c:ser>
          <c:idx val="3"/>
          <c:order val="3"/>
          <c:tx>
            <c:v>R-Ref (2021)</c:v>
          </c:tx>
          <c:spPr>
            <a:ln w="19050" cap="rnd">
              <a:solidFill>
                <a:schemeClr val="accent1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val>
            <c:numRef>
              <c:f>(Current!$B$4,Current!$B$4,Current!$B$4)</c:f>
              <c:numCache>
                <c:formatCode>0.00</c:formatCode>
                <c:ptCount val="3"/>
                <c:pt idx="0">
                  <c:v>22.89</c:v>
                </c:pt>
                <c:pt idx="1">
                  <c:v>22.89</c:v>
                </c:pt>
                <c:pt idx="2">
                  <c:v>22.89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D7-4F5E-B02C-83DF8E9F0702}"/>
            </c:ext>
          </c:extLst>
        </c:ser>
        <c:ser>
          <c:idx val="4"/>
          <c:order val="4"/>
          <c:tx>
            <c:v>S-Ref (2021)</c:v>
          </c:tx>
          <c:spPr>
            <a:ln w="19050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val>
            <c:numRef>
              <c:f>(Current!$B$5,Current!$B$5,Current!$B$5)</c:f>
              <c:numCache>
                <c:formatCode>0.00</c:formatCode>
                <c:ptCount val="3"/>
                <c:pt idx="0">
                  <c:v>22.58</c:v>
                </c:pt>
                <c:pt idx="1">
                  <c:v>22.58</c:v>
                </c:pt>
                <c:pt idx="2">
                  <c:v>22.58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D7-4F5E-B02C-83DF8E9F0702}"/>
            </c:ext>
          </c:extLst>
        </c:ser>
        <c:ser>
          <c:idx val="5"/>
          <c:order val="5"/>
          <c:tx>
            <c:v>T-Ref (2021)</c:v>
          </c:tx>
          <c:spPr>
            <a:ln w="19050" cap="rnd">
              <a:solidFill>
                <a:schemeClr val="accent3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val>
            <c:numRef>
              <c:f>(Current!$B$6,Current!$B$6,Current!$B$6)</c:f>
              <c:numCache>
                <c:formatCode>0.00</c:formatCode>
                <c:ptCount val="3"/>
                <c:pt idx="0">
                  <c:v>22.05</c:v>
                </c:pt>
                <c:pt idx="1">
                  <c:v>22.05</c:v>
                </c:pt>
                <c:pt idx="2">
                  <c:v>22.05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2D7-4F5E-B02C-83DF8E9F0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1539712"/>
        <c:axId val="1211526272"/>
      </c:lineChart>
      <c:catAx>
        <c:axId val="1211539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526272"/>
        <c:crosses val="autoZero"/>
        <c:auto val="1"/>
        <c:lblAlgn val="ctr"/>
        <c:lblOffset val="100"/>
        <c:noMultiLvlLbl val="0"/>
      </c:catAx>
      <c:valAx>
        <c:axId val="121152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53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Air &amp; Gas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Combustion!$C$14</c:f>
              <c:strCache>
                <c:ptCount val="1"/>
                <c:pt idx="0">
                  <c:v>T. Air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Combustion!$D$4:$H$4</c:f>
              <c:strCache>
                <c:ptCount val="5"/>
                <c:pt idx="0">
                  <c:v>JAN</c:v>
                </c:pt>
                <c:pt idx="1">
                  <c:v>Mar</c:v>
                </c:pt>
                <c:pt idx="2">
                  <c:v>Aug</c:v>
                </c:pt>
                <c:pt idx="3">
                  <c:v>Oct</c:v>
                </c:pt>
                <c:pt idx="4">
                  <c:v>Dec</c:v>
                </c:pt>
              </c:strCache>
            </c:strRef>
          </c:cat>
          <c:val>
            <c:numRef>
              <c:f>Combustion!$D$14:$H$14</c:f>
              <c:numCache>
                <c:formatCode>General</c:formatCode>
                <c:ptCount val="5"/>
                <c:pt idx="0">
                  <c:v>29</c:v>
                </c:pt>
                <c:pt idx="1">
                  <c:v>29</c:v>
                </c:pt>
                <c:pt idx="2">
                  <c:v>31</c:v>
                </c:pt>
                <c:pt idx="3">
                  <c:v>39</c:v>
                </c:pt>
                <c:pt idx="4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03-49DC-84E4-4EF084602E46}"/>
            </c:ext>
          </c:extLst>
        </c:ser>
        <c:ser>
          <c:idx val="1"/>
          <c:order val="1"/>
          <c:tx>
            <c:strRef>
              <c:f>Combustion!$C$15</c:f>
              <c:strCache>
                <c:ptCount val="1"/>
                <c:pt idx="0">
                  <c:v>T. Gas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Combustion!$D$4:$H$4</c:f>
              <c:strCache>
                <c:ptCount val="5"/>
                <c:pt idx="0">
                  <c:v>JAN</c:v>
                </c:pt>
                <c:pt idx="1">
                  <c:v>Mar</c:v>
                </c:pt>
                <c:pt idx="2">
                  <c:v>Aug</c:v>
                </c:pt>
                <c:pt idx="3">
                  <c:v>Oct</c:v>
                </c:pt>
                <c:pt idx="4">
                  <c:v>Dec</c:v>
                </c:pt>
              </c:strCache>
            </c:strRef>
          </c:cat>
          <c:val>
            <c:numRef>
              <c:f>Combustion!$D$15:$H$15</c:f>
              <c:numCache>
                <c:formatCode>General</c:formatCode>
                <c:ptCount val="5"/>
                <c:pt idx="0">
                  <c:v>65</c:v>
                </c:pt>
                <c:pt idx="1">
                  <c:v>487</c:v>
                </c:pt>
                <c:pt idx="2">
                  <c:v>496</c:v>
                </c:pt>
                <c:pt idx="3">
                  <c:v>516</c:v>
                </c:pt>
                <c:pt idx="4">
                  <c:v>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03-49DC-84E4-4EF084602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9677824"/>
        <c:axId val="1149678304"/>
      </c:lineChart>
      <c:lineChart>
        <c:grouping val="standard"/>
        <c:varyColors val="0"/>
        <c:ser>
          <c:idx val="2"/>
          <c:order val="2"/>
          <c:tx>
            <c:v>%Efficiency</c:v>
          </c:tx>
          <c:spPr>
            <a:ln w="2222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>
                    <a:alpha val="97000"/>
                  </a:schemeClr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Combustion!$D$21:$H$21</c:f>
              <c:numCache>
                <c:formatCode>General</c:formatCode>
                <c:ptCount val="5"/>
                <c:pt idx="0">
                  <c:v>97.8</c:v>
                </c:pt>
                <c:pt idx="1">
                  <c:v>82.1</c:v>
                </c:pt>
                <c:pt idx="2">
                  <c:v>80.5</c:v>
                </c:pt>
                <c:pt idx="3">
                  <c:v>79.900000000000006</c:v>
                </c:pt>
                <c:pt idx="4">
                  <c:v>78.7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003-49DC-84E4-4EF084602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4196480"/>
        <c:axId val="1464198880"/>
      </c:lineChart>
      <c:catAx>
        <c:axId val="114967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678304"/>
        <c:crosses val="autoZero"/>
        <c:auto val="1"/>
        <c:lblAlgn val="ctr"/>
        <c:lblOffset val="100"/>
        <c:noMultiLvlLbl val="0"/>
      </c:catAx>
      <c:valAx>
        <c:axId val="114967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(Celcius)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677824"/>
        <c:crosses val="autoZero"/>
        <c:crossBetween val="between"/>
      </c:valAx>
      <c:valAx>
        <c:axId val="14641988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196480"/>
        <c:crosses val="max"/>
        <c:crossBetween val="between"/>
      </c:valAx>
      <c:catAx>
        <c:axId val="1464196480"/>
        <c:scaling>
          <c:orientation val="minMax"/>
        </c:scaling>
        <c:delete val="1"/>
        <c:axPos val="b"/>
        <c:majorTickMark val="out"/>
        <c:minorTickMark val="none"/>
        <c:tickLblPos val="nextTo"/>
        <c:crossAx val="146419888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 &amp; O2 Proportion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Combustion!$C$16</c:f>
              <c:strCache>
                <c:ptCount val="1"/>
                <c:pt idx="0">
                  <c:v>O2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Combustion!$D$4:$H$4</c:f>
              <c:strCache>
                <c:ptCount val="5"/>
                <c:pt idx="0">
                  <c:v>JAN</c:v>
                </c:pt>
                <c:pt idx="1">
                  <c:v>Mar</c:v>
                </c:pt>
                <c:pt idx="2">
                  <c:v>Aug</c:v>
                </c:pt>
                <c:pt idx="3">
                  <c:v>Oct</c:v>
                </c:pt>
                <c:pt idx="4">
                  <c:v>Dec</c:v>
                </c:pt>
              </c:strCache>
            </c:strRef>
          </c:cat>
          <c:val>
            <c:numRef>
              <c:f>Combustion!$D$16:$H$16</c:f>
              <c:numCache>
                <c:formatCode>General</c:formatCode>
                <c:ptCount val="5"/>
                <c:pt idx="0">
                  <c:v>9</c:v>
                </c:pt>
                <c:pt idx="1">
                  <c:v>0.8</c:v>
                </c:pt>
                <c:pt idx="2">
                  <c:v>2.4</c:v>
                </c:pt>
                <c:pt idx="3">
                  <c:v>2.2000000000000002</c:v>
                </c:pt>
                <c:pt idx="4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C-4AD9-867F-27A7E0B0DC46}"/>
            </c:ext>
          </c:extLst>
        </c:ser>
        <c:ser>
          <c:idx val="1"/>
          <c:order val="1"/>
          <c:tx>
            <c:strRef>
              <c:f>Combustion!$C$20</c:f>
              <c:strCache>
                <c:ptCount val="1"/>
                <c:pt idx="0">
                  <c:v>CO2      ( 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Combustion!$D$4:$H$4</c:f>
              <c:strCache>
                <c:ptCount val="5"/>
                <c:pt idx="0">
                  <c:v>JAN</c:v>
                </c:pt>
                <c:pt idx="1">
                  <c:v>Mar</c:v>
                </c:pt>
                <c:pt idx="2">
                  <c:v>Aug</c:v>
                </c:pt>
                <c:pt idx="3">
                  <c:v>Oct</c:v>
                </c:pt>
                <c:pt idx="4">
                  <c:v>Dec</c:v>
                </c:pt>
              </c:strCache>
            </c:strRef>
          </c:cat>
          <c:val>
            <c:numRef>
              <c:f>Combustion!$D$20:$H$20</c:f>
              <c:numCache>
                <c:formatCode>General</c:formatCode>
                <c:ptCount val="5"/>
                <c:pt idx="0">
                  <c:v>8</c:v>
                </c:pt>
                <c:pt idx="1">
                  <c:v>13.5</c:v>
                </c:pt>
                <c:pt idx="2">
                  <c:v>12.4</c:v>
                </c:pt>
                <c:pt idx="3">
                  <c:v>12.5</c:v>
                </c:pt>
                <c:pt idx="4">
                  <c:v>11.7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2C-4AD9-867F-27A7E0B0D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4667696"/>
        <c:axId val="1534669136"/>
      </c:lineChart>
      <c:catAx>
        <c:axId val="1534667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669136"/>
        <c:crosses val="autoZero"/>
        <c:auto val="1"/>
        <c:lblAlgn val="ctr"/>
        <c:lblOffset val="100"/>
        <c:noMultiLvlLbl val="0"/>
      </c:catAx>
      <c:valAx>
        <c:axId val="153466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66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Impurities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Combustion!$C$17</c:f>
              <c:strCache>
                <c:ptCount val="1"/>
                <c:pt idx="0">
                  <c:v>CO (ppm)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Combustion!$D$4:$H$4</c:f>
              <c:strCache>
                <c:ptCount val="5"/>
                <c:pt idx="0">
                  <c:v>JAN</c:v>
                </c:pt>
                <c:pt idx="1">
                  <c:v>Mar</c:v>
                </c:pt>
                <c:pt idx="2">
                  <c:v>Aug</c:v>
                </c:pt>
                <c:pt idx="3">
                  <c:v>Oct</c:v>
                </c:pt>
                <c:pt idx="4">
                  <c:v>Dec</c:v>
                </c:pt>
              </c:strCache>
            </c:strRef>
          </c:cat>
          <c:val>
            <c:numRef>
              <c:f>Combustion!$D$17:$H$17</c:f>
              <c:numCache>
                <c:formatCode>General</c:formatCode>
                <c:ptCount val="5"/>
                <c:pt idx="0">
                  <c:v>11</c:v>
                </c:pt>
                <c:pt idx="1">
                  <c:v>134</c:v>
                </c:pt>
                <c:pt idx="2">
                  <c:v>0</c:v>
                </c:pt>
                <c:pt idx="3">
                  <c:v>9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08-4924-B052-E3A3C16313F9}"/>
            </c:ext>
          </c:extLst>
        </c:ser>
        <c:ser>
          <c:idx val="1"/>
          <c:order val="1"/>
          <c:tx>
            <c:strRef>
              <c:f>Combustion!$C$18</c:f>
              <c:strCache>
                <c:ptCount val="1"/>
                <c:pt idx="0">
                  <c:v>NO2 (ppm)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Combustion!$D$4:$H$4</c:f>
              <c:strCache>
                <c:ptCount val="5"/>
                <c:pt idx="0">
                  <c:v>JAN</c:v>
                </c:pt>
                <c:pt idx="1">
                  <c:v>Mar</c:v>
                </c:pt>
                <c:pt idx="2">
                  <c:v>Aug</c:v>
                </c:pt>
                <c:pt idx="3">
                  <c:v>Oct</c:v>
                </c:pt>
                <c:pt idx="4">
                  <c:v>Dec</c:v>
                </c:pt>
              </c:strCache>
            </c:strRef>
          </c:cat>
          <c:val>
            <c:numRef>
              <c:f>Combustion!$D$18:$H$18</c:f>
              <c:numCache>
                <c:formatCode>General</c:formatCode>
                <c:ptCount val="5"/>
                <c:pt idx="0">
                  <c:v>8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08-4924-B052-E3A3C16313F9}"/>
            </c:ext>
          </c:extLst>
        </c:ser>
        <c:ser>
          <c:idx val="2"/>
          <c:order val="2"/>
          <c:tx>
            <c:strRef>
              <c:f>Combustion!$C$19</c:f>
              <c:strCache>
                <c:ptCount val="1"/>
                <c:pt idx="0">
                  <c:v>SO2 (ppm)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Combustion!$D$4:$H$4</c:f>
              <c:strCache>
                <c:ptCount val="5"/>
                <c:pt idx="0">
                  <c:v>JAN</c:v>
                </c:pt>
                <c:pt idx="1">
                  <c:v>Mar</c:v>
                </c:pt>
                <c:pt idx="2">
                  <c:v>Aug</c:v>
                </c:pt>
                <c:pt idx="3">
                  <c:v>Oct</c:v>
                </c:pt>
                <c:pt idx="4">
                  <c:v>Dec</c:v>
                </c:pt>
              </c:strCache>
            </c:strRef>
          </c:cat>
          <c:val>
            <c:numRef>
              <c:f>Combustion!$D$19:$H$19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08-4924-B052-E3A3C16313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4271360"/>
        <c:axId val="1464281440"/>
      </c:barChart>
      <c:catAx>
        <c:axId val="146427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281440"/>
        <c:crosses val="autoZero"/>
        <c:auto val="1"/>
        <c:lblAlgn val="ctr"/>
        <c:lblOffset val="100"/>
        <c:noMultiLvlLbl val="0"/>
      </c:catAx>
      <c:valAx>
        <c:axId val="146428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27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133349</xdr:rowOff>
    </xdr:from>
    <xdr:to>
      <xdr:col>4</xdr:col>
      <xdr:colOff>905076</xdr:colOff>
      <xdr:row>45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6E6BE1-A26F-42B1-A8F9-19D5D09C93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19051</xdr:colOff>
      <xdr:row>20</xdr:row>
      <xdr:rowOff>114299</xdr:rowOff>
    </xdr:from>
    <xdr:to>
      <xdr:col>10</xdr:col>
      <xdr:colOff>295275</xdr:colOff>
      <xdr:row>45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26047A-05DC-484E-9085-088F14DA94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7</xdr:row>
      <xdr:rowOff>125412</xdr:rowOff>
    </xdr:from>
    <xdr:to>
      <xdr:col>6</xdr:col>
      <xdr:colOff>292100</xdr:colOff>
      <xdr:row>22</xdr:row>
      <xdr:rowOff>160337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14B5A3-4284-476B-F40C-4A684E7D32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125412</xdr:colOff>
      <xdr:row>6</xdr:row>
      <xdr:rowOff>55562</xdr:rowOff>
    </xdr:from>
    <xdr:to>
      <xdr:col>16</xdr:col>
      <xdr:colOff>430212</xdr:colOff>
      <xdr:row>21</xdr:row>
      <xdr:rowOff>77787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FBD468-C556-BC01-A18E-8EE49A3D62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131762</xdr:colOff>
      <xdr:row>21</xdr:row>
      <xdr:rowOff>169862</xdr:rowOff>
    </xdr:from>
    <xdr:to>
      <xdr:col>16</xdr:col>
      <xdr:colOff>436562</xdr:colOff>
      <xdr:row>36</xdr:row>
      <xdr:rowOff>179387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594720D-587B-9348-A45A-7430E5963A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468312</xdr:colOff>
      <xdr:row>6</xdr:row>
      <xdr:rowOff>74612</xdr:rowOff>
    </xdr:from>
    <xdr:to>
      <xdr:col>24</xdr:col>
      <xdr:colOff>163512</xdr:colOff>
      <xdr:row>21</xdr:row>
      <xdr:rowOff>93662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FAFBD9A-633A-C932-2601-4478D6149B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66EEC-A485-45CB-A54F-853DD6C97C14}">
  <dimension ref="A1:M20"/>
  <sheetViews>
    <sheetView tabSelected="1" zoomScale="85" zoomScaleNormal="85" workbookViewId="0">
      <selection activeCell="L38" sqref="L38"/>
    </sheetView>
  </sheetViews>
  <sheetFormatPr defaultRowHeight="14.5" x14ac:dyDescent="0.35"/>
  <cols>
    <col min="1" max="9" width="13.1796875" customWidth="1"/>
  </cols>
  <sheetData>
    <row r="1" spans="1:13" ht="15" thickBot="1" x14ac:dyDescent="0.4">
      <c r="A1" s="37" t="s">
        <v>35</v>
      </c>
      <c r="B1" s="38"/>
      <c r="C1" s="38"/>
      <c r="D1" s="38"/>
      <c r="E1" s="38"/>
      <c r="F1" s="38"/>
      <c r="G1" s="38"/>
      <c r="H1" s="38"/>
      <c r="I1" s="39"/>
    </row>
    <row r="2" spans="1:13" x14ac:dyDescent="0.35">
      <c r="A2" s="45" t="s">
        <v>34</v>
      </c>
      <c r="B2" s="40" t="s">
        <v>33</v>
      </c>
      <c r="C2" s="41"/>
      <c r="D2" s="41"/>
      <c r="E2" s="41"/>
      <c r="F2" s="41"/>
      <c r="G2" s="41"/>
      <c r="H2" s="41"/>
      <c r="I2" s="42"/>
    </row>
    <row r="3" spans="1:13" x14ac:dyDescent="0.35">
      <c r="A3" s="46"/>
      <c r="B3" s="43" t="s">
        <v>32</v>
      </c>
      <c r="C3" s="44"/>
      <c r="D3" s="43" t="s">
        <v>31</v>
      </c>
      <c r="E3" s="44"/>
      <c r="F3" s="35" t="s">
        <v>30</v>
      </c>
      <c r="G3" s="36"/>
      <c r="H3" s="35" t="s">
        <v>29</v>
      </c>
      <c r="I3" s="36"/>
      <c r="L3" s="35" t="s">
        <v>28</v>
      </c>
      <c r="M3" s="36"/>
    </row>
    <row r="4" spans="1:13" x14ac:dyDescent="0.35">
      <c r="A4" s="47"/>
      <c r="B4" s="6" t="s">
        <v>27</v>
      </c>
      <c r="C4" s="6" t="s">
        <v>26</v>
      </c>
      <c r="D4" s="6" t="s">
        <v>27</v>
      </c>
      <c r="E4" s="6" t="s">
        <v>26</v>
      </c>
      <c r="F4" s="5" t="s">
        <v>27</v>
      </c>
      <c r="G4" s="5" t="s">
        <v>26</v>
      </c>
      <c r="H4" s="5" t="s">
        <v>27</v>
      </c>
      <c r="I4" s="5" t="s">
        <v>26</v>
      </c>
      <c r="L4" s="5" t="s">
        <v>27</v>
      </c>
      <c r="M4" s="5" t="s">
        <v>26</v>
      </c>
    </row>
    <row r="5" spans="1:13" x14ac:dyDescent="0.35">
      <c r="A5" s="4">
        <v>42788</v>
      </c>
      <c r="B5" s="2">
        <f t="shared" ref="B5:B12" si="0">--MID(B13,FIND("Dst",B13)+4,2)</f>
        <v>4</v>
      </c>
      <c r="C5" s="2">
        <f t="shared" ref="C5:C12" si="1">--MID(B13,FIND("dB",B13)+3,2)</f>
        <v>37</v>
      </c>
      <c r="D5" s="2">
        <f t="shared" ref="D5:D12" si="2">--MID(D13,FIND("Dst",D13)+4,2)</f>
        <v>5</v>
      </c>
      <c r="E5" s="2">
        <f t="shared" ref="E5:E12" si="3">--MID(D13,FIND("dB",D13)+3,2)</f>
        <v>30</v>
      </c>
      <c r="F5" s="2">
        <f t="shared" ref="F5:F12" si="4">--MID(F13,FIND("Dst",F13)+4,2)</f>
        <v>7</v>
      </c>
      <c r="G5" s="2">
        <f t="shared" ref="G5:G12" si="5">--MID(F13,FIND("dB",F13)+3,2)</f>
        <v>20</v>
      </c>
      <c r="H5" s="2">
        <f t="shared" ref="H5:H12" si="6">--MID(H13,FIND("Dst",H13)+4,2)</f>
        <v>6</v>
      </c>
      <c r="I5" s="2">
        <f t="shared" ref="I5:I12" si="7">--MID(H13,FIND("dB",H13)+3,2)</f>
        <v>26</v>
      </c>
      <c r="L5" s="1">
        <f t="shared" ref="L5:M12" si="8">AVERAGE(B5,D5,F5,H5)</f>
        <v>5.5</v>
      </c>
      <c r="M5" s="1">
        <f t="shared" si="8"/>
        <v>28.25</v>
      </c>
    </row>
    <row r="6" spans="1:13" x14ac:dyDescent="0.35">
      <c r="A6" s="4">
        <v>42950</v>
      </c>
      <c r="B6" s="2">
        <f t="shared" si="0"/>
        <v>5</v>
      </c>
      <c r="C6" s="2">
        <f t="shared" si="1"/>
        <v>28</v>
      </c>
      <c r="D6" s="2">
        <f t="shared" si="2"/>
        <v>5</v>
      </c>
      <c r="E6" s="2">
        <f t="shared" si="3"/>
        <v>30</v>
      </c>
      <c r="F6" s="2">
        <f t="shared" si="4"/>
        <v>8</v>
      </c>
      <c r="G6" s="2">
        <f t="shared" si="5"/>
        <v>21</v>
      </c>
      <c r="H6" s="2">
        <f t="shared" si="6"/>
        <v>6</v>
      </c>
      <c r="I6" s="2">
        <f t="shared" si="7"/>
        <v>24</v>
      </c>
      <c r="L6" s="1">
        <f t="shared" si="8"/>
        <v>6</v>
      </c>
      <c r="M6" s="1">
        <f t="shared" si="8"/>
        <v>25.75</v>
      </c>
    </row>
    <row r="7" spans="1:13" x14ac:dyDescent="0.35">
      <c r="A7" s="3">
        <v>42833</v>
      </c>
      <c r="B7" s="2">
        <f t="shared" si="0"/>
        <v>5</v>
      </c>
      <c r="C7" s="2">
        <f t="shared" si="1"/>
        <v>29</v>
      </c>
      <c r="D7" s="2">
        <f t="shared" si="2"/>
        <v>5</v>
      </c>
      <c r="E7" s="2">
        <f t="shared" si="3"/>
        <v>31</v>
      </c>
      <c r="F7" s="2">
        <f t="shared" si="4"/>
        <v>8</v>
      </c>
      <c r="G7" s="2">
        <f t="shared" si="5"/>
        <v>22</v>
      </c>
      <c r="H7" s="2">
        <f t="shared" si="6"/>
        <v>6</v>
      </c>
      <c r="I7" s="2">
        <f t="shared" si="7"/>
        <v>25</v>
      </c>
      <c r="L7" s="1">
        <f t="shared" si="8"/>
        <v>6</v>
      </c>
      <c r="M7" s="1">
        <f t="shared" si="8"/>
        <v>26.75</v>
      </c>
    </row>
    <row r="8" spans="1:13" x14ac:dyDescent="0.35">
      <c r="A8" s="3">
        <v>42886</v>
      </c>
      <c r="B8" s="2">
        <f t="shared" si="0"/>
        <v>5</v>
      </c>
      <c r="C8" s="2">
        <f t="shared" si="1"/>
        <v>33</v>
      </c>
      <c r="D8" s="2">
        <f t="shared" si="2"/>
        <v>4</v>
      </c>
      <c r="E8" s="2">
        <f t="shared" si="3"/>
        <v>27</v>
      </c>
      <c r="F8" s="2">
        <f t="shared" si="4"/>
        <v>7</v>
      </c>
      <c r="G8" s="2">
        <f t="shared" si="5"/>
        <v>16</v>
      </c>
      <c r="H8" s="2">
        <f t="shared" si="6"/>
        <v>5</v>
      </c>
      <c r="I8" s="2">
        <f t="shared" si="7"/>
        <v>24</v>
      </c>
      <c r="L8" s="1">
        <f t="shared" si="8"/>
        <v>5.25</v>
      </c>
      <c r="M8" s="1">
        <f t="shared" si="8"/>
        <v>25</v>
      </c>
    </row>
    <row r="9" spans="1:13" x14ac:dyDescent="0.35">
      <c r="A9" s="4">
        <v>42962</v>
      </c>
      <c r="B9" s="2">
        <f t="shared" si="0"/>
        <v>4</v>
      </c>
      <c r="C9" s="2">
        <f t="shared" si="1"/>
        <v>36</v>
      </c>
      <c r="D9" s="2">
        <f t="shared" si="2"/>
        <v>4</v>
      </c>
      <c r="E9" s="2">
        <f t="shared" si="3"/>
        <v>27</v>
      </c>
      <c r="F9" s="2">
        <f t="shared" si="4"/>
        <v>7</v>
      </c>
      <c r="G9" s="2">
        <f t="shared" si="5"/>
        <v>20</v>
      </c>
      <c r="H9" s="2">
        <f t="shared" si="6"/>
        <v>10</v>
      </c>
      <c r="I9" s="2">
        <f t="shared" si="7"/>
        <v>14</v>
      </c>
      <c r="L9" s="1">
        <f t="shared" si="8"/>
        <v>6.25</v>
      </c>
      <c r="M9" s="1">
        <f t="shared" si="8"/>
        <v>24.25</v>
      </c>
    </row>
    <row r="10" spans="1:13" x14ac:dyDescent="0.35">
      <c r="A10" s="4">
        <v>43005</v>
      </c>
      <c r="B10" s="2">
        <f t="shared" si="0"/>
        <v>6</v>
      </c>
      <c r="C10" s="2">
        <f t="shared" si="1"/>
        <v>33</v>
      </c>
      <c r="D10" s="2">
        <f t="shared" si="2"/>
        <v>6</v>
      </c>
      <c r="E10" s="2">
        <f t="shared" si="3"/>
        <v>46</v>
      </c>
      <c r="F10" s="2">
        <f t="shared" si="4"/>
        <v>9</v>
      </c>
      <c r="G10" s="2">
        <f t="shared" si="5"/>
        <v>21</v>
      </c>
      <c r="H10" s="2">
        <f t="shared" si="6"/>
        <v>8</v>
      </c>
      <c r="I10" s="2">
        <f t="shared" si="7"/>
        <v>24</v>
      </c>
      <c r="L10" s="1">
        <f t="shared" si="8"/>
        <v>7.25</v>
      </c>
      <c r="M10" s="1">
        <f t="shared" si="8"/>
        <v>31</v>
      </c>
    </row>
    <row r="11" spans="1:13" x14ac:dyDescent="0.35">
      <c r="A11" s="4">
        <v>43037</v>
      </c>
      <c r="B11" s="2">
        <f t="shared" si="0"/>
        <v>3</v>
      </c>
      <c r="C11" s="2">
        <f t="shared" si="1"/>
        <v>29</v>
      </c>
      <c r="D11" s="2">
        <f t="shared" si="2"/>
        <v>6</v>
      </c>
      <c r="E11" s="2">
        <f t="shared" si="3"/>
        <v>29</v>
      </c>
      <c r="F11" s="2">
        <f t="shared" si="4"/>
        <v>6</v>
      </c>
      <c r="G11" s="2">
        <f t="shared" si="5"/>
        <v>23</v>
      </c>
      <c r="H11" s="2">
        <f t="shared" si="6"/>
        <v>6</v>
      </c>
      <c r="I11" s="2">
        <f t="shared" si="7"/>
        <v>24</v>
      </c>
      <c r="L11" s="1">
        <f t="shared" si="8"/>
        <v>5.25</v>
      </c>
      <c r="M11" s="1">
        <f t="shared" si="8"/>
        <v>26.25</v>
      </c>
    </row>
    <row r="12" spans="1:13" x14ac:dyDescent="0.35">
      <c r="A12" s="3">
        <v>43068</v>
      </c>
      <c r="B12" s="2">
        <f t="shared" si="0"/>
        <v>5</v>
      </c>
      <c r="C12" s="2">
        <f t="shared" si="1"/>
        <v>29</v>
      </c>
      <c r="D12" s="2">
        <f t="shared" si="2"/>
        <v>6</v>
      </c>
      <c r="E12" s="2">
        <f t="shared" si="3"/>
        <v>25</v>
      </c>
      <c r="F12" s="2">
        <f t="shared" si="4"/>
        <v>8</v>
      </c>
      <c r="G12" s="2">
        <f t="shared" si="5"/>
        <v>20</v>
      </c>
      <c r="H12" s="2">
        <f t="shared" si="6"/>
        <v>7</v>
      </c>
      <c r="I12" s="2">
        <f t="shared" si="7"/>
        <v>23</v>
      </c>
      <c r="L12" s="1">
        <f t="shared" si="8"/>
        <v>6.5</v>
      </c>
      <c r="M12" s="1">
        <f t="shared" si="8"/>
        <v>24.25</v>
      </c>
    </row>
    <row r="13" spans="1:13" hidden="1" x14ac:dyDescent="0.35">
      <c r="B13" t="s">
        <v>25</v>
      </c>
      <c r="D13" t="s">
        <v>22</v>
      </c>
      <c r="F13" t="s">
        <v>13</v>
      </c>
      <c r="H13" t="s">
        <v>24</v>
      </c>
    </row>
    <row r="14" spans="1:13" hidden="1" x14ac:dyDescent="0.35">
      <c r="B14" t="s">
        <v>23</v>
      </c>
      <c r="D14" t="s">
        <v>22</v>
      </c>
      <c r="F14" t="s">
        <v>21</v>
      </c>
      <c r="H14" t="s">
        <v>4</v>
      </c>
    </row>
    <row r="15" spans="1:13" hidden="1" x14ac:dyDescent="0.35">
      <c r="B15" t="s">
        <v>3</v>
      </c>
      <c r="D15" t="s">
        <v>20</v>
      </c>
      <c r="F15" t="s">
        <v>19</v>
      </c>
      <c r="H15" t="s">
        <v>2</v>
      </c>
    </row>
    <row r="16" spans="1:13" hidden="1" x14ac:dyDescent="0.35">
      <c r="B16" t="s">
        <v>18</v>
      </c>
      <c r="D16" t="s">
        <v>14</v>
      </c>
      <c r="F16" t="s">
        <v>17</v>
      </c>
      <c r="H16" t="s">
        <v>16</v>
      </c>
    </row>
    <row r="17" spans="2:8" hidden="1" x14ac:dyDescent="0.35">
      <c r="B17" t="s">
        <v>15</v>
      </c>
      <c r="D17" t="s">
        <v>14</v>
      </c>
      <c r="F17" t="s">
        <v>13</v>
      </c>
      <c r="H17" t="s">
        <v>12</v>
      </c>
    </row>
    <row r="18" spans="2:8" hidden="1" x14ac:dyDescent="0.35">
      <c r="B18" t="s">
        <v>11</v>
      </c>
      <c r="D18" t="s">
        <v>10</v>
      </c>
      <c r="F18" t="s">
        <v>9</v>
      </c>
      <c r="H18" t="s">
        <v>8</v>
      </c>
    </row>
    <row r="19" spans="2:8" hidden="1" x14ac:dyDescent="0.35">
      <c r="B19" t="s">
        <v>7</v>
      </c>
      <c r="D19" t="s">
        <v>6</v>
      </c>
      <c r="F19" t="s">
        <v>5</v>
      </c>
      <c r="H19" t="s">
        <v>4</v>
      </c>
    </row>
    <row r="20" spans="2:8" hidden="1" x14ac:dyDescent="0.35">
      <c r="B20" t="s">
        <v>3</v>
      </c>
      <c r="D20" t="s">
        <v>2</v>
      </c>
      <c r="F20" t="s">
        <v>1</v>
      </c>
      <c r="H20" t="s">
        <v>0</v>
      </c>
    </row>
  </sheetData>
  <mergeCells count="8">
    <mergeCell ref="L3:M3"/>
    <mergeCell ref="A1:I1"/>
    <mergeCell ref="B2:I2"/>
    <mergeCell ref="B3:C3"/>
    <mergeCell ref="D3:E3"/>
    <mergeCell ref="F3:G3"/>
    <mergeCell ref="H3:I3"/>
    <mergeCell ref="A2:A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20D60-B860-4ADD-A295-2CD9BD2FA6D2}">
  <dimension ref="A1:W6"/>
  <sheetViews>
    <sheetView workbookViewId="0">
      <selection activeCell="L24" sqref="L24"/>
    </sheetView>
  </sheetViews>
  <sheetFormatPr defaultRowHeight="14.5" x14ac:dyDescent="0.35"/>
  <sheetData>
    <row r="1" spans="1:23" x14ac:dyDescent="0.35">
      <c r="A1" s="23" t="s">
        <v>36</v>
      </c>
      <c r="B1" s="7"/>
      <c r="C1" s="26">
        <v>2021</v>
      </c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8"/>
    </row>
    <row r="2" spans="1:23" x14ac:dyDescent="0.35">
      <c r="A2" s="24"/>
      <c r="B2" s="29" t="s">
        <v>37</v>
      </c>
      <c r="C2" s="31" t="s">
        <v>38</v>
      </c>
      <c r="D2" s="21"/>
      <c r="E2" s="8" t="s">
        <v>39</v>
      </c>
      <c r="F2" s="20" t="s">
        <v>40</v>
      </c>
      <c r="G2" s="21"/>
      <c r="H2" s="20" t="s">
        <v>41</v>
      </c>
      <c r="I2" s="21"/>
      <c r="J2" s="20" t="s">
        <v>42</v>
      </c>
      <c r="K2" s="21"/>
      <c r="L2" s="20" t="s">
        <v>43</v>
      </c>
      <c r="M2" s="21"/>
      <c r="N2" s="20" t="s">
        <v>44</v>
      </c>
      <c r="O2" s="21"/>
      <c r="P2" s="20" t="s">
        <v>45</v>
      </c>
      <c r="Q2" s="21"/>
      <c r="R2" s="20" t="s">
        <v>46</v>
      </c>
      <c r="S2" s="21"/>
      <c r="T2" s="20" t="s">
        <v>47</v>
      </c>
      <c r="U2" s="21"/>
      <c r="V2" s="20" t="s">
        <v>48</v>
      </c>
      <c r="W2" s="22"/>
    </row>
    <row r="3" spans="1:23" ht="15" thickBot="1" x14ac:dyDescent="0.4">
      <c r="A3" s="25"/>
      <c r="B3" s="30"/>
      <c r="C3" s="9">
        <v>1</v>
      </c>
      <c r="D3" s="9">
        <v>2</v>
      </c>
      <c r="E3" s="9">
        <v>1</v>
      </c>
      <c r="F3" s="9">
        <v>1</v>
      </c>
      <c r="G3" s="9">
        <v>2</v>
      </c>
      <c r="H3" s="9">
        <v>1</v>
      </c>
      <c r="I3" s="9">
        <v>2</v>
      </c>
      <c r="J3" s="9">
        <v>1</v>
      </c>
      <c r="K3" s="9">
        <v>2</v>
      </c>
      <c r="L3" s="9">
        <v>1</v>
      </c>
      <c r="M3" s="9">
        <v>2</v>
      </c>
      <c r="N3" s="9">
        <v>1</v>
      </c>
      <c r="O3" s="9">
        <v>2</v>
      </c>
      <c r="P3" s="9">
        <v>1</v>
      </c>
      <c r="Q3" s="9">
        <v>2</v>
      </c>
      <c r="R3" s="9">
        <v>1</v>
      </c>
      <c r="S3" s="9">
        <v>2</v>
      </c>
      <c r="T3" s="9">
        <v>1</v>
      </c>
      <c r="U3" s="9">
        <v>2</v>
      </c>
      <c r="V3" s="9">
        <v>1</v>
      </c>
      <c r="W3" s="10">
        <v>2</v>
      </c>
    </row>
    <row r="4" spans="1:23" x14ac:dyDescent="0.35">
      <c r="A4" s="32" t="s">
        <v>49</v>
      </c>
      <c r="B4" s="11">
        <v>22.89</v>
      </c>
      <c r="C4" s="12"/>
      <c r="D4" s="13">
        <v>20.3</v>
      </c>
      <c r="E4" s="13">
        <v>20.100000000000001</v>
      </c>
      <c r="F4" s="13">
        <v>20.5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3">
        <v>20.9</v>
      </c>
      <c r="U4" s="12"/>
      <c r="V4" s="12"/>
      <c r="W4" s="14"/>
    </row>
    <row r="5" spans="1:23" x14ac:dyDescent="0.35">
      <c r="A5" s="33"/>
      <c r="B5" s="11">
        <v>22.58</v>
      </c>
      <c r="C5" s="12"/>
      <c r="D5" s="15">
        <v>19.5</v>
      </c>
      <c r="E5" s="15">
        <v>19.7</v>
      </c>
      <c r="F5" s="15">
        <v>20.100000000000001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5">
        <v>20</v>
      </c>
      <c r="U5" s="12"/>
      <c r="V5" s="12"/>
      <c r="W5" s="14"/>
    </row>
    <row r="6" spans="1:23" x14ac:dyDescent="0.35">
      <c r="A6" s="34"/>
      <c r="B6" s="16">
        <v>22.05</v>
      </c>
      <c r="C6" s="17"/>
      <c r="D6" s="18">
        <v>20.6</v>
      </c>
      <c r="E6" s="18">
        <v>20.7</v>
      </c>
      <c r="F6" s="18">
        <v>21.2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8">
        <v>21.5</v>
      </c>
      <c r="U6" s="17"/>
      <c r="V6" s="17"/>
      <c r="W6" s="19"/>
    </row>
  </sheetData>
  <mergeCells count="14">
    <mergeCell ref="A4:A6"/>
    <mergeCell ref="V2:W2"/>
    <mergeCell ref="A1:A3"/>
    <mergeCell ref="C1:W1"/>
    <mergeCell ref="B2:B3"/>
    <mergeCell ref="C2:D2"/>
    <mergeCell ref="F2:G2"/>
    <mergeCell ref="H2:I2"/>
    <mergeCell ref="J2:K2"/>
    <mergeCell ref="L2:M2"/>
    <mergeCell ref="N2:O2"/>
    <mergeCell ref="P2:Q2"/>
    <mergeCell ref="R2:S2"/>
    <mergeCell ref="T2:U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8924-55F3-40DA-9664-3DBA5EEAC2A3}">
  <dimension ref="B3:H40"/>
  <sheetViews>
    <sheetView topLeftCell="C1" workbookViewId="0">
      <selection activeCell="S25" sqref="S25"/>
    </sheetView>
  </sheetViews>
  <sheetFormatPr defaultRowHeight="14.5" x14ac:dyDescent="0.35"/>
  <cols>
    <col min="1" max="1" width="3.1796875" customWidth="1"/>
    <col min="2" max="2" width="10.7265625" customWidth="1"/>
    <col min="3" max="3" width="20.54296875" style="75" customWidth="1"/>
    <col min="4" max="4" width="8.7265625" style="1"/>
  </cols>
  <sheetData>
    <row r="3" spans="2:8" x14ac:dyDescent="0.35">
      <c r="B3" s="48" t="s">
        <v>50</v>
      </c>
      <c r="C3" s="48" t="s">
        <v>51</v>
      </c>
      <c r="D3" s="49">
        <v>2021</v>
      </c>
      <c r="E3" s="49"/>
      <c r="F3" s="49"/>
      <c r="G3" s="49"/>
      <c r="H3" s="49"/>
    </row>
    <row r="4" spans="2:8" ht="15" thickBot="1" x14ac:dyDescent="0.4">
      <c r="B4" s="50"/>
      <c r="C4" s="50"/>
      <c r="D4" s="51" t="s">
        <v>52</v>
      </c>
      <c r="E4" s="51" t="s">
        <v>53</v>
      </c>
      <c r="F4" s="51" t="s">
        <v>54</v>
      </c>
      <c r="G4" s="51" t="s">
        <v>55</v>
      </c>
      <c r="H4" s="51" t="s">
        <v>56</v>
      </c>
    </row>
    <row r="5" spans="2:8" x14ac:dyDescent="0.35">
      <c r="B5" s="52" t="s">
        <v>57</v>
      </c>
      <c r="C5" s="53" t="s">
        <v>58</v>
      </c>
      <c r="D5" s="53">
        <v>28</v>
      </c>
      <c r="E5" s="53">
        <v>29</v>
      </c>
      <c r="F5" s="53">
        <v>31</v>
      </c>
      <c r="G5" s="53">
        <v>39</v>
      </c>
      <c r="H5" s="54">
        <v>37</v>
      </c>
    </row>
    <row r="6" spans="2:8" x14ac:dyDescent="0.35">
      <c r="B6" s="55"/>
      <c r="C6" s="56" t="s">
        <v>59</v>
      </c>
      <c r="D6" s="56">
        <v>59</v>
      </c>
      <c r="E6" s="56">
        <v>476</v>
      </c>
      <c r="F6" s="56">
        <v>501</v>
      </c>
      <c r="G6" s="56">
        <v>497</v>
      </c>
      <c r="H6" s="57">
        <v>272</v>
      </c>
    </row>
    <row r="7" spans="2:8" x14ac:dyDescent="0.35">
      <c r="B7" s="55"/>
      <c r="C7" s="56" t="s">
        <v>60</v>
      </c>
      <c r="D7" s="56">
        <v>8.1</v>
      </c>
      <c r="E7" s="56">
        <v>2</v>
      </c>
      <c r="F7" s="56">
        <v>4.3</v>
      </c>
      <c r="G7" s="56">
        <v>5.9</v>
      </c>
      <c r="H7" s="57">
        <v>6.8</v>
      </c>
    </row>
    <row r="8" spans="2:8" x14ac:dyDescent="0.35">
      <c r="B8" s="55"/>
      <c r="C8" s="56" t="s">
        <v>61</v>
      </c>
      <c r="D8" s="56">
        <v>17</v>
      </c>
      <c r="E8" s="56">
        <v>255</v>
      </c>
      <c r="F8" s="56">
        <v>0</v>
      </c>
      <c r="G8" s="56">
        <v>19</v>
      </c>
      <c r="H8" s="57">
        <v>0</v>
      </c>
    </row>
    <row r="9" spans="2:8" x14ac:dyDescent="0.35">
      <c r="B9" s="55"/>
      <c r="C9" s="56" t="s">
        <v>62</v>
      </c>
      <c r="D9" s="56">
        <v>7</v>
      </c>
      <c r="E9" s="56">
        <v>0</v>
      </c>
      <c r="F9" s="56">
        <v>1</v>
      </c>
      <c r="G9" s="56">
        <v>1</v>
      </c>
      <c r="H9" s="57">
        <v>2</v>
      </c>
    </row>
    <row r="10" spans="2:8" x14ac:dyDescent="0.35">
      <c r="B10" s="55"/>
      <c r="C10" s="56" t="s">
        <v>63</v>
      </c>
      <c r="D10" s="56">
        <v>0</v>
      </c>
      <c r="E10" s="56">
        <v>0</v>
      </c>
      <c r="F10" s="56">
        <v>1</v>
      </c>
      <c r="G10" s="56">
        <v>0</v>
      </c>
      <c r="H10" s="57">
        <v>0</v>
      </c>
    </row>
    <row r="11" spans="2:8" x14ac:dyDescent="0.35">
      <c r="B11" s="55"/>
      <c r="C11" s="56" t="s">
        <v>64</v>
      </c>
      <c r="D11" s="56">
        <v>8.6</v>
      </c>
      <c r="E11" s="56">
        <v>12.7</v>
      </c>
      <c r="F11" s="56">
        <v>11.1</v>
      </c>
      <c r="G11" s="56">
        <v>10.1</v>
      </c>
      <c r="H11" s="57">
        <v>8.6999999999999993</v>
      </c>
    </row>
    <row r="12" spans="2:8" x14ac:dyDescent="0.35">
      <c r="B12" s="55"/>
      <c r="C12" s="56" t="s">
        <v>65</v>
      </c>
      <c r="D12" s="56">
        <v>98.2</v>
      </c>
      <c r="E12" s="56">
        <v>81.7</v>
      </c>
      <c r="F12" s="56">
        <v>78.599999999999994</v>
      </c>
      <c r="G12" s="56">
        <v>77.599999999999994</v>
      </c>
      <c r="H12" s="57">
        <v>87</v>
      </c>
    </row>
    <row r="13" spans="2:8" ht="15" thickBot="1" x14ac:dyDescent="0.4">
      <c r="B13" s="58"/>
      <c r="C13" s="59" t="s">
        <v>66</v>
      </c>
      <c r="D13" s="59">
        <v>1.8</v>
      </c>
      <c r="E13" s="59">
        <v>18.3</v>
      </c>
      <c r="F13" s="59">
        <v>21.4</v>
      </c>
      <c r="G13" s="59">
        <v>22.4</v>
      </c>
      <c r="H13" s="60">
        <v>13</v>
      </c>
    </row>
    <row r="14" spans="2:8" x14ac:dyDescent="0.35">
      <c r="B14" s="61">
        <v>50</v>
      </c>
      <c r="C14" s="53" t="s">
        <v>58</v>
      </c>
      <c r="D14" s="53">
        <v>29</v>
      </c>
      <c r="E14" s="53">
        <v>29</v>
      </c>
      <c r="F14" s="53">
        <v>31</v>
      </c>
      <c r="G14" s="53">
        <v>39</v>
      </c>
      <c r="H14" s="54">
        <v>31</v>
      </c>
    </row>
    <row r="15" spans="2:8" x14ac:dyDescent="0.35">
      <c r="B15" s="62"/>
      <c r="C15" s="56" t="s">
        <v>59</v>
      </c>
      <c r="D15" s="56">
        <v>65</v>
      </c>
      <c r="E15" s="56">
        <v>487</v>
      </c>
      <c r="F15" s="56">
        <v>496</v>
      </c>
      <c r="G15" s="56">
        <v>516</v>
      </c>
      <c r="H15" s="57">
        <v>515</v>
      </c>
    </row>
    <row r="16" spans="2:8" x14ac:dyDescent="0.35">
      <c r="B16" s="62"/>
      <c r="C16" s="56" t="s">
        <v>60</v>
      </c>
      <c r="D16" s="56">
        <v>9</v>
      </c>
      <c r="E16" s="56">
        <v>0.8</v>
      </c>
      <c r="F16" s="56">
        <v>2.4</v>
      </c>
      <c r="G16" s="56">
        <v>2.2000000000000002</v>
      </c>
      <c r="H16" s="57">
        <v>3.5</v>
      </c>
    </row>
    <row r="17" spans="2:8" x14ac:dyDescent="0.35">
      <c r="B17" s="62"/>
      <c r="C17" s="56" t="s">
        <v>61</v>
      </c>
      <c r="D17" s="56">
        <v>11</v>
      </c>
      <c r="E17" s="56">
        <v>134</v>
      </c>
      <c r="F17" s="56">
        <v>0</v>
      </c>
      <c r="G17" s="56">
        <v>9</v>
      </c>
      <c r="H17" s="57">
        <v>8</v>
      </c>
    </row>
    <row r="18" spans="2:8" x14ac:dyDescent="0.35">
      <c r="B18" s="62"/>
      <c r="C18" s="56" t="s">
        <v>62</v>
      </c>
      <c r="D18" s="56">
        <v>8</v>
      </c>
      <c r="E18" s="56">
        <v>0</v>
      </c>
      <c r="F18" s="56">
        <v>1</v>
      </c>
      <c r="G18" s="56">
        <v>1</v>
      </c>
      <c r="H18" s="57">
        <v>6</v>
      </c>
    </row>
    <row r="19" spans="2:8" x14ac:dyDescent="0.35">
      <c r="B19" s="62"/>
      <c r="C19" s="56" t="s">
        <v>63</v>
      </c>
      <c r="D19" s="56">
        <v>0</v>
      </c>
      <c r="E19" s="56">
        <v>2</v>
      </c>
      <c r="F19" s="56">
        <v>1</v>
      </c>
      <c r="G19" s="56">
        <v>1</v>
      </c>
      <c r="H19" s="57">
        <v>0</v>
      </c>
    </row>
    <row r="20" spans="2:8" x14ac:dyDescent="0.35">
      <c r="B20" s="62"/>
      <c r="C20" s="56" t="s">
        <v>64</v>
      </c>
      <c r="D20" s="56">
        <v>8</v>
      </c>
      <c r="E20" s="56">
        <v>13.5</v>
      </c>
      <c r="F20" s="56">
        <v>12.4</v>
      </c>
      <c r="G20" s="56">
        <v>12.5</v>
      </c>
      <c r="H20" s="57">
        <v>11.7</v>
      </c>
    </row>
    <row r="21" spans="2:8" x14ac:dyDescent="0.35">
      <c r="B21" s="62"/>
      <c r="C21" s="56" t="s">
        <v>65</v>
      </c>
      <c r="D21" s="56">
        <v>97.8</v>
      </c>
      <c r="E21" s="56">
        <v>82.1</v>
      </c>
      <c r="F21" s="56">
        <v>80.5</v>
      </c>
      <c r="G21" s="56">
        <v>79.900000000000006</v>
      </c>
      <c r="H21" s="57">
        <v>78.7</v>
      </c>
    </row>
    <row r="22" spans="2:8" ht="15" thickBot="1" x14ac:dyDescent="0.4">
      <c r="B22" s="63"/>
      <c r="C22" s="59" t="s">
        <v>66</v>
      </c>
      <c r="D22" s="59">
        <v>2.2000000000000002</v>
      </c>
      <c r="E22" s="59">
        <v>17.899999999999999</v>
      </c>
      <c r="F22" s="59">
        <v>19.5</v>
      </c>
      <c r="G22" s="59">
        <v>20.100000000000001</v>
      </c>
      <c r="H22" s="60">
        <v>21.3</v>
      </c>
    </row>
    <row r="23" spans="2:8" x14ac:dyDescent="0.35">
      <c r="B23" s="61">
        <v>75</v>
      </c>
      <c r="C23" s="53" t="s">
        <v>58</v>
      </c>
      <c r="D23" s="53">
        <v>28</v>
      </c>
      <c r="E23" s="53">
        <v>29</v>
      </c>
      <c r="F23" s="53"/>
      <c r="G23" s="53">
        <v>40</v>
      </c>
      <c r="H23" s="54">
        <v>33</v>
      </c>
    </row>
    <row r="24" spans="2:8" x14ac:dyDescent="0.35">
      <c r="B24" s="62"/>
      <c r="C24" s="56" t="s">
        <v>59</v>
      </c>
      <c r="D24" s="56">
        <v>71</v>
      </c>
      <c r="E24" s="56">
        <v>486</v>
      </c>
      <c r="F24" s="56"/>
      <c r="G24" s="56">
        <v>537</v>
      </c>
      <c r="H24" s="57">
        <v>550</v>
      </c>
    </row>
    <row r="25" spans="2:8" x14ac:dyDescent="0.35">
      <c r="B25" s="62"/>
      <c r="C25" s="56" t="s">
        <v>60</v>
      </c>
      <c r="D25" s="56">
        <v>7.7</v>
      </c>
      <c r="E25" s="56">
        <v>1.4</v>
      </c>
      <c r="F25" s="56"/>
      <c r="G25" s="56">
        <v>1.8</v>
      </c>
      <c r="H25" s="57">
        <v>4.0999999999999996</v>
      </c>
    </row>
    <row r="26" spans="2:8" x14ac:dyDescent="0.35">
      <c r="B26" s="62"/>
      <c r="C26" s="56" t="s">
        <v>61</v>
      </c>
      <c r="D26" s="64">
        <v>10</v>
      </c>
      <c r="E26" s="65">
        <v>10</v>
      </c>
      <c r="F26" s="65"/>
      <c r="G26" s="56">
        <v>1</v>
      </c>
      <c r="H26" s="66">
        <v>23</v>
      </c>
    </row>
    <row r="27" spans="2:8" x14ac:dyDescent="0.35">
      <c r="B27" s="62"/>
      <c r="C27" s="56" t="s">
        <v>62</v>
      </c>
      <c r="D27" s="64">
        <v>5</v>
      </c>
      <c r="E27" s="65">
        <v>0</v>
      </c>
      <c r="F27" s="65"/>
      <c r="G27" s="56">
        <v>0</v>
      </c>
      <c r="H27" s="66">
        <v>10</v>
      </c>
    </row>
    <row r="28" spans="2:8" x14ac:dyDescent="0.35">
      <c r="B28" s="62"/>
      <c r="C28" s="56" t="s">
        <v>63</v>
      </c>
      <c r="D28" s="64">
        <v>0</v>
      </c>
      <c r="E28" s="65">
        <v>3</v>
      </c>
      <c r="F28" s="65"/>
      <c r="G28" s="56">
        <v>3</v>
      </c>
      <c r="H28" s="66">
        <v>0</v>
      </c>
    </row>
    <row r="29" spans="2:8" x14ac:dyDescent="0.35">
      <c r="B29" s="62"/>
      <c r="C29" s="56" t="s">
        <v>64</v>
      </c>
      <c r="D29" s="64">
        <v>8.9</v>
      </c>
      <c r="E29" s="65">
        <v>13.1</v>
      </c>
      <c r="F29" s="65"/>
      <c r="G29" s="56">
        <v>12.8</v>
      </c>
      <c r="H29" s="66">
        <v>11.3</v>
      </c>
    </row>
    <row r="30" spans="2:8" x14ac:dyDescent="0.35">
      <c r="B30" s="62"/>
      <c r="C30" s="56" t="s">
        <v>65</v>
      </c>
      <c r="D30" s="64">
        <v>97.6</v>
      </c>
      <c r="E30" s="65">
        <v>81.7</v>
      </c>
      <c r="F30" s="65"/>
      <c r="G30" s="56">
        <v>79.599999999999994</v>
      </c>
      <c r="H30" s="66">
        <v>76.5</v>
      </c>
    </row>
    <row r="31" spans="2:8" ht="15" thickBot="1" x14ac:dyDescent="0.4">
      <c r="B31" s="63"/>
      <c r="C31" s="59" t="s">
        <v>66</v>
      </c>
      <c r="D31" s="67">
        <v>2.4</v>
      </c>
      <c r="E31" s="68">
        <v>18.3</v>
      </c>
      <c r="F31" s="68"/>
      <c r="G31" s="59">
        <v>20.399999999999999</v>
      </c>
      <c r="H31" s="69">
        <v>23.5</v>
      </c>
    </row>
    <row r="32" spans="2:8" x14ac:dyDescent="0.35">
      <c r="B32" s="70" t="s">
        <v>67</v>
      </c>
      <c r="C32" s="53" t="s">
        <v>58</v>
      </c>
      <c r="D32" s="71">
        <v>28</v>
      </c>
      <c r="E32" s="53">
        <v>29</v>
      </c>
      <c r="F32" s="53">
        <v>30</v>
      </c>
      <c r="G32" s="53">
        <v>39</v>
      </c>
      <c r="H32" s="72">
        <v>33</v>
      </c>
    </row>
    <row r="33" spans="2:8" x14ac:dyDescent="0.35">
      <c r="B33" s="73"/>
      <c r="C33" s="56" t="s">
        <v>59</v>
      </c>
      <c r="D33" s="64">
        <v>72</v>
      </c>
      <c r="E33" s="56">
        <v>473</v>
      </c>
      <c r="F33" s="56">
        <v>494</v>
      </c>
      <c r="G33" s="56">
        <v>523</v>
      </c>
      <c r="H33" s="66">
        <v>544</v>
      </c>
    </row>
    <row r="34" spans="2:8" x14ac:dyDescent="0.35">
      <c r="B34" s="73"/>
      <c r="C34" s="56" t="s">
        <v>60</v>
      </c>
      <c r="D34" s="64">
        <v>6.5</v>
      </c>
      <c r="E34" s="56">
        <v>1.6</v>
      </c>
      <c r="F34" s="56">
        <v>2.9</v>
      </c>
      <c r="G34" s="56">
        <v>2.9</v>
      </c>
      <c r="H34" s="66">
        <v>4.5</v>
      </c>
    </row>
    <row r="35" spans="2:8" x14ac:dyDescent="0.35">
      <c r="B35" s="73"/>
      <c r="C35" s="56" t="s">
        <v>61</v>
      </c>
      <c r="D35" s="64">
        <v>6</v>
      </c>
      <c r="E35" s="56">
        <v>46</v>
      </c>
      <c r="F35" s="56">
        <v>0</v>
      </c>
      <c r="G35" s="56">
        <v>4</v>
      </c>
      <c r="H35" s="66">
        <v>22</v>
      </c>
    </row>
    <row r="36" spans="2:8" x14ac:dyDescent="0.35">
      <c r="B36" s="73"/>
      <c r="C36" s="56" t="s">
        <v>62</v>
      </c>
      <c r="D36" s="64">
        <v>5</v>
      </c>
      <c r="E36" s="56">
        <v>0</v>
      </c>
      <c r="F36" s="56">
        <v>1</v>
      </c>
      <c r="G36" s="56">
        <v>1</v>
      </c>
      <c r="H36" s="66">
        <v>10</v>
      </c>
    </row>
    <row r="37" spans="2:8" x14ac:dyDescent="0.35">
      <c r="B37" s="73"/>
      <c r="C37" s="56" t="s">
        <v>63</v>
      </c>
      <c r="D37" s="64">
        <v>0</v>
      </c>
      <c r="E37" s="56">
        <v>1</v>
      </c>
      <c r="F37" s="56">
        <v>0</v>
      </c>
      <c r="G37" s="56">
        <v>1</v>
      </c>
      <c r="H37" s="66">
        <v>0</v>
      </c>
    </row>
    <row r="38" spans="2:8" x14ac:dyDescent="0.35">
      <c r="B38" s="73"/>
      <c r="C38" s="56" t="s">
        <v>64</v>
      </c>
      <c r="D38" s="64">
        <v>9.6999999999999993</v>
      </c>
      <c r="E38" s="56">
        <v>12.9</v>
      </c>
      <c r="F38" s="56">
        <v>12.1</v>
      </c>
      <c r="G38" s="56">
        <v>12.1</v>
      </c>
      <c r="H38" s="66">
        <v>11</v>
      </c>
    </row>
    <row r="39" spans="2:8" x14ac:dyDescent="0.35">
      <c r="B39" s="73"/>
      <c r="C39" s="56" t="s">
        <v>65</v>
      </c>
      <c r="D39" s="64">
        <v>97.7</v>
      </c>
      <c r="E39" s="56">
        <v>82</v>
      </c>
      <c r="F39" s="56">
        <v>80</v>
      </c>
      <c r="G39" s="56">
        <v>79.2</v>
      </c>
      <c r="H39" s="66">
        <v>76.5</v>
      </c>
    </row>
    <row r="40" spans="2:8" ht="15" thickBot="1" x14ac:dyDescent="0.4">
      <c r="B40" s="74"/>
      <c r="C40" s="59" t="s">
        <v>66</v>
      </c>
      <c r="D40" s="67">
        <v>2.2999999999999998</v>
      </c>
      <c r="E40" s="59">
        <v>18</v>
      </c>
      <c r="F40" s="59">
        <v>20</v>
      </c>
      <c r="G40" s="59">
        <v>20.8</v>
      </c>
      <c r="H40" s="69">
        <v>23.5</v>
      </c>
    </row>
  </sheetData>
  <mergeCells count="7">
    <mergeCell ref="B32:B40"/>
    <mergeCell ref="B3:B4"/>
    <mergeCell ref="C3:C4"/>
    <mergeCell ref="D3:H3"/>
    <mergeCell ref="B5:B13"/>
    <mergeCell ref="B14:B22"/>
    <mergeCell ref="B23:B31"/>
  </mergeCells>
  <pageMargins left="0.7" right="0.7" top="0.75" bottom="0.75" header="0.3" footer="0.3"/>
  <pageSetup paperSize="9" orientation="portrait" horizontalDpi="300" verticalDpi="300" r:id="rId1"/>
  <drawing r:id="rId2"/>
</worksheet>
</file>

<file path=docMetadata/LabelInfo.xml><?xml version="1.0" encoding="utf-8"?>
<clbl:labelList xmlns:clbl="http://schemas.microsoft.com/office/2020/mipLabelMetadata">
  <clbl:label id="{42cc3295-cd0e-449c-b98e-5ce5b560c1d3}" enabled="0" method="" siteId="{42cc3295-cd0e-449c-b98e-5ce5b560c1d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Vibration</vt:lpstr>
      <vt:lpstr>Current</vt:lpstr>
      <vt:lpstr>Combustion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Paboonrak, Piyabud {PEP}</dc:creator>
  <cp:lastModifiedBy>Paboonrak, Piyabud {PEP}</cp:lastModifiedBy>
  <dcterms:created xsi:type="dcterms:W3CDTF">2026-06-24T03:23:18Z</dcterms:created>
  <dcterms:modified xsi:type="dcterms:W3CDTF">2026-06-24T06:09:24Z</dcterms:modified>
</cp:coreProperties>
</file>